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hidePivotFieldList="1" defaultThemeVersion="166925"/>
  <mc:AlternateContent xmlns:mc="http://schemas.openxmlformats.org/markup-compatibility/2006">
    <mc:Choice Requires="x15">
      <x15ac:absPath xmlns:x15ac="http://schemas.microsoft.com/office/spreadsheetml/2010/11/ac" url="C:\Users\tarun\Downloads\"/>
    </mc:Choice>
  </mc:AlternateContent>
  <xr:revisionPtr revIDLastSave="0" documentId="13_ncr:1_{337738F2-2A01-4A33-BE54-3EB5FF0A5672}" xr6:coauthVersionLast="47" xr6:coauthVersionMax="47" xr10:uidLastSave="{00000000-0000-0000-0000-000000000000}"/>
  <bookViews>
    <workbookView xWindow="-108" yWindow="-108" windowWidth="23256" windowHeight="12456" xr2:uid="{00000000-000D-0000-FFFF-FFFF00000000}"/>
  </bookViews>
  <sheets>
    <sheet name="Dashboard" sheetId="2" r:id="rId1"/>
    <sheet name="Data" sheetId="1" state="hidden" r:id="rId2"/>
    <sheet name="Temp Pivot " sheetId="5" state="hidden" r:id="rId3"/>
    <sheet name="Rest Pivot" sheetId="6" state="hidden" r:id="rId4"/>
    <sheet name="Hosp Pivot " sheetId="7" state="hidden" r:id="rId5"/>
    <sheet name="Rec Pivot" sheetId="8" state="hidden" r:id="rId6"/>
    <sheet name="Crime Pivot" sheetId="10" state="hidden" r:id="rId7"/>
    <sheet name="Top 10 Data" sheetId="4" state="hidden" r:id="rId8"/>
  </sheets>
  <definedNames>
    <definedName name="_xlnm._FilterDatabase" localSheetId="1" hidden="1">Data!$A$1:$AT$149</definedName>
    <definedName name="_xlchart.v5.0" hidden="1">'Rec Pivot'!$A$3</definedName>
    <definedName name="_xlchart.v5.1" hidden="1">'Rec Pivot'!$A$4:$A$13</definedName>
    <definedName name="_xlchart.v5.2" hidden="1">'Rec Pivot'!$C$3</definedName>
    <definedName name="_xlchart.v5.3" hidden="1">'Rec Pivot'!$C$4:$C$13</definedName>
    <definedName name="Columns">Dashboard!$AN$95</definedName>
    <definedName name="Drill_Chart">OFFSET(Start,Rows,Columns,1,1)</definedName>
    <definedName name="Rows">Dashboard!$AK$91</definedName>
    <definedName name="Show_Chart">OFFSET(Start,Rows,0,1,1)</definedName>
    <definedName name="Slicer_City1">#N/A</definedName>
    <definedName name="Slicer_Factors">#N/A</definedName>
    <definedName name="Slicer_Level_of_Detail">#N/A</definedName>
    <definedName name="Start">Dashboard!$AC$99</definedName>
  </definedNames>
  <calcPr calcId="191028"/>
  <pivotCaches>
    <pivotCache cacheId="0" r:id="rId9"/>
    <pivotCache cacheId="1" r:id="rId10"/>
    <pivotCache cacheId="2"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5" i="8" l="1"/>
  <c r="Z6" i="8"/>
  <c r="Z7" i="8"/>
  <c r="Z8" i="8"/>
  <c r="Z9" i="8"/>
  <c r="Z10" i="8"/>
  <c r="Z11" i="8"/>
  <c r="Z12" i="8"/>
  <c r="Z13" i="8"/>
  <c r="Z4" i="8"/>
  <c r="AU11" i="4"/>
  <c r="AI11" i="4"/>
  <c r="X11" i="4"/>
  <c r="W11" i="4"/>
  <c r="V11" i="4"/>
  <c r="Q11" i="4"/>
  <c r="AU10" i="4"/>
  <c r="AI10" i="4"/>
  <c r="X10" i="4"/>
  <c r="W10" i="4"/>
  <c r="V10" i="4"/>
  <c r="Q10" i="4"/>
  <c r="AU9" i="4"/>
  <c r="AI9" i="4"/>
  <c r="X9" i="4"/>
  <c r="W9" i="4"/>
  <c r="V9" i="4"/>
  <c r="Q9" i="4"/>
  <c r="AU8" i="4"/>
  <c r="AI8" i="4"/>
  <c r="X8" i="4"/>
  <c r="W8" i="4"/>
  <c r="V8" i="4"/>
  <c r="Q8" i="4"/>
  <c r="AU7" i="4"/>
  <c r="AI7" i="4"/>
  <c r="X7" i="4"/>
  <c r="W7" i="4"/>
  <c r="V7" i="4"/>
  <c r="Q7" i="4"/>
  <c r="AU6" i="4"/>
  <c r="AI6" i="4"/>
  <c r="X6" i="4"/>
  <c r="W6" i="4"/>
  <c r="V6" i="4"/>
  <c r="Q6" i="4"/>
  <c r="AU5" i="4"/>
  <c r="AI5" i="4"/>
  <c r="X5" i="4"/>
  <c r="W5" i="4"/>
  <c r="V5" i="4"/>
  <c r="Q5" i="4"/>
  <c r="AU4" i="4"/>
  <c r="AI4" i="4"/>
  <c r="X4" i="4"/>
  <c r="W4" i="4"/>
  <c r="V4" i="4"/>
  <c r="Q4" i="4"/>
  <c r="AU3" i="4"/>
  <c r="AI3" i="4"/>
  <c r="X3" i="4"/>
  <c r="W3" i="4"/>
  <c r="V3" i="4"/>
  <c r="Q3" i="4"/>
  <c r="AU2" i="4"/>
  <c r="AI2" i="4"/>
  <c r="X2" i="4"/>
  <c r="W2" i="4"/>
  <c r="V2" i="4"/>
  <c r="Q2" i="4"/>
  <c r="Q12" i="1"/>
  <c r="Q13" i="1"/>
  <c r="Q14" i="1"/>
  <c r="Q15" i="1"/>
  <c r="Q16" i="1"/>
  <c r="Q17" i="1"/>
  <c r="Q18" i="1"/>
  <c r="Q19" i="1"/>
  <c r="Q20" i="1"/>
  <c r="Q21" i="1"/>
  <c r="Q22" i="1"/>
  <c r="Q23" i="1"/>
  <c r="Q24" i="1"/>
  <c r="Q25" i="1"/>
  <c r="Q26" i="1"/>
  <c r="Q3" i="1"/>
  <c r="Q27" i="1"/>
  <c r="Q7" i="1"/>
  <c r="Q28" i="1"/>
  <c r="Q29" i="1"/>
  <c r="Q30" i="1"/>
  <c r="Q31" i="1"/>
  <c r="Q32" i="1"/>
  <c r="Q33" i="1"/>
  <c r="Q9" i="1"/>
  <c r="Q34" i="1"/>
  <c r="Q35" i="1"/>
  <c r="Q36" i="1"/>
  <c r="Q37" i="1"/>
  <c r="Q38" i="1"/>
  <c r="Q39" i="1"/>
  <c r="Q40" i="1"/>
  <c r="Q41" i="1"/>
  <c r="Q4" i="1"/>
  <c r="Q42" i="1"/>
  <c r="Q43" i="1"/>
  <c r="Q44" i="1"/>
  <c r="Q45" i="1"/>
  <c r="Q46" i="1"/>
  <c r="Q47" i="1"/>
  <c r="Q48" i="1"/>
  <c r="Q49" i="1"/>
  <c r="Q50" i="1"/>
  <c r="Q51" i="1"/>
  <c r="Q52" i="1"/>
  <c r="Q53" i="1"/>
  <c r="Q54" i="1"/>
  <c r="Q55" i="1"/>
  <c r="Q56" i="1"/>
  <c r="Q57" i="1"/>
  <c r="Q58" i="1"/>
  <c r="Q59" i="1"/>
  <c r="Q60" i="1"/>
  <c r="Q61" i="1"/>
  <c r="Q62" i="1"/>
  <c r="Q8" i="1"/>
  <c r="Q63" i="1"/>
  <c r="Q64" i="1"/>
  <c r="Q65" i="1"/>
  <c r="Q66" i="1"/>
  <c r="Q67" i="1"/>
  <c r="Q68" i="1"/>
  <c r="Q69" i="1"/>
  <c r="Q70" i="1"/>
  <c r="Q71" i="1"/>
  <c r="Q72" i="1"/>
  <c r="Q10"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1" i="1"/>
  <c r="Q108" i="1"/>
  <c r="Q109" i="1"/>
  <c r="Q110" i="1"/>
  <c r="Q111" i="1"/>
  <c r="Q112" i="1"/>
  <c r="Q113" i="1"/>
  <c r="Q114" i="1"/>
  <c r="Q115" i="1"/>
  <c r="Q116" i="1"/>
  <c r="Q117" i="1"/>
  <c r="Q118" i="1"/>
  <c r="Q119" i="1"/>
  <c r="Q120" i="1"/>
  <c r="Q121" i="1"/>
  <c r="Q122" i="1"/>
  <c r="Q123" i="1"/>
  <c r="Q6" i="1"/>
  <c r="Q124" i="1"/>
  <c r="Q125" i="1"/>
  <c r="Q2" i="1"/>
  <c r="Q126" i="1"/>
  <c r="Q127" i="1"/>
  <c r="Q128" i="1"/>
  <c r="Q129" i="1"/>
  <c r="Q130" i="1"/>
  <c r="Q131" i="1"/>
  <c r="Q132" i="1"/>
  <c r="Q133" i="1"/>
  <c r="Q134" i="1"/>
  <c r="Q135" i="1"/>
  <c r="Q136" i="1"/>
  <c r="Q137" i="1"/>
  <c r="Q138" i="1"/>
  <c r="Q139" i="1"/>
  <c r="Q140" i="1"/>
  <c r="Q5" i="1"/>
  <c r="Q141" i="1"/>
  <c r="Q142" i="1"/>
  <c r="Q143" i="1"/>
  <c r="Q144" i="1"/>
  <c r="Q145" i="1"/>
  <c r="Q146" i="1"/>
  <c r="Q147" i="1"/>
  <c r="Q148" i="1"/>
  <c r="Q149" i="1"/>
  <c r="AU12" i="1"/>
  <c r="AU13" i="1"/>
  <c r="AU14" i="1"/>
  <c r="AU15" i="1"/>
  <c r="AU16" i="1"/>
  <c r="AU17" i="1"/>
  <c r="AU18" i="1"/>
  <c r="AU19" i="1"/>
  <c r="AU20" i="1"/>
  <c r="AU21" i="1"/>
  <c r="AU22" i="1"/>
  <c r="AU23" i="1"/>
  <c r="AU24" i="1"/>
  <c r="AU25" i="1"/>
  <c r="AU26" i="1"/>
  <c r="AU3" i="1"/>
  <c r="AU27" i="1"/>
  <c r="AU7" i="1"/>
  <c r="AU28" i="1"/>
  <c r="AU29" i="1"/>
  <c r="AU30" i="1"/>
  <c r="AU31" i="1"/>
  <c r="AU32" i="1"/>
  <c r="AU33" i="1"/>
  <c r="AU9" i="1"/>
  <c r="AU34" i="1"/>
  <c r="AU35" i="1"/>
  <c r="AU36" i="1"/>
  <c r="AU37" i="1"/>
  <c r="AU38" i="1"/>
  <c r="AU39" i="1"/>
  <c r="AU40" i="1"/>
  <c r="AU41" i="1"/>
  <c r="AU4" i="1"/>
  <c r="AU42" i="1"/>
  <c r="AU43" i="1"/>
  <c r="AU44" i="1"/>
  <c r="AU45" i="1"/>
  <c r="AU46" i="1"/>
  <c r="AU47" i="1"/>
  <c r="AU48" i="1"/>
  <c r="AU49" i="1"/>
  <c r="AU50" i="1"/>
  <c r="AU51" i="1"/>
  <c r="AU52" i="1"/>
  <c r="AU53" i="1"/>
  <c r="AU54" i="1"/>
  <c r="AU55" i="1"/>
  <c r="AU56" i="1"/>
  <c r="AU57" i="1"/>
  <c r="AU58" i="1"/>
  <c r="AU59" i="1"/>
  <c r="AU60" i="1"/>
  <c r="AU61" i="1"/>
  <c r="AU62" i="1"/>
  <c r="AU8" i="1"/>
  <c r="AU63" i="1"/>
  <c r="AU64" i="1"/>
  <c r="AU65" i="1"/>
  <c r="AU66" i="1"/>
  <c r="AU67" i="1"/>
  <c r="AU68" i="1"/>
  <c r="AU69" i="1"/>
  <c r="AU70" i="1"/>
  <c r="AU71" i="1"/>
  <c r="AU72" i="1"/>
  <c r="AU10"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1" i="1"/>
  <c r="AU108" i="1"/>
  <c r="AU109" i="1"/>
  <c r="AU110" i="1"/>
  <c r="AU111" i="1"/>
  <c r="AU112" i="1"/>
  <c r="AU113" i="1"/>
  <c r="AU114" i="1"/>
  <c r="AU115" i="1"/>
  <c r="AU116" i="1"/>
  <c r="AU117" i="1"/>
  <c r="AU118" i="1"/>
  <c r="AU119" i="1"/>
  <c r="AU120" i="1"/>
  <c r="AU121" i="1"/>
  <c r="AU122" i="1"/>
  <c r="AU123" i="1"/>
  <c r="AU6" i="1"/>
  <c r="AU124" i="1"/>
  <c r="AU125" i="1"/>
  <c r="AU2" i="1"/>
  <c r="AU126" i="1"/>
  <c r="AU127" i="1"/>
  <c r="AU128" i="1"/>
  <c r="AU129" i="1"/>
  <c r="AU130" i="1"/>
  <c r="AU131" i="1"/>
  <c r="AU132" i="1"/>
  <c r="AU133" i="1"/>
  <c r="AU134" i="1"/>
  <c r="AU135" i="1"/>
  <c r="AU136" i="1"/>
  <c r="AU137" i="1"/>
  <c r="AU138" i="1"/>
  <c r="AU139" i="1"/>
  <c r="AU140" i="1"/>
  <c r="AU5" i="1"/>
  <c r="AU141" i="1"/>
  <c r="AU142" i="1"/>
  <c r="AU143" i="1"/>
  <c r="AU144" i="1"/>
  <c r="AU145" i="1"/>
  <c r="AU146" i="1"/>
  <c r="AU147" i="1"/>
  <c r="AU148" i="1"/>
  <c r="AU149" i="1"/>
  <c r="AI13" i="1"/>
  <c r="AI14" i="1"/>
  <c r="AI15" i="1"/>
  <c r="AI16" i="1"/>
  <c r="AI17" i="1"/>
  <c r="AI18" i="1"/>
  <c r="AI19" i="1"/>
  <c r="AI20" i="1"/>
  <c r="AI21" i="1"/>
  <c r="AI22" i="1"/>
  <c r="AI23" i="1"/>
  <c r="AI24" i="1"/>
  <c r="AI25" i="1"/>
  <c r="AI26" i="1"/>
  <c r="AI3" i="1"/>
  <c r="AI27" i="1"/>
  <c r="AI7" i="1"/>
  <c r="AI28" i="1"/>
  <c r="AI29" i="1"/>
  <c r="AI30" i="1"/>
  <c r="AI31" i="1"/>
  <c r="AI32" i="1"/>
  <c r="AI33" i="1"/>
  <c r="AI9" i="1"/>
  <c r="AI34" i="1"/>
  <c r="AI35" i="1"/>
  <c r="AI36" i="1"/>
  <c r="AI37" i="1"/>
  <c r="AI38" i="1"/>
  <c r="AI39" i="1"/>
  <c r="AI40" i="1"/>
  <c r="AI41" i="1"/>
  <c r="AI4" i="1"/>
  <c r="AI42" i="1"/>
  <c r="AI43" i="1"/>
  <c r="AI44" i="1"/>
  <c r="AI45" i="1"/>
  <c r="AI46" i="1"/>
  <c r="AI47" i="1"/>
  <c r="AI48" i="1"/>
  <c r="AI49" i="1"/>
  <c r="AI50" i="1"/>
  <c r="AI51" i="1"/>
  <c r="AI52" i="1"/>
  <c r="AI53" i="1"/>
  <c r="AI54" i="1"/>
  <c r="AI55" i="1"/>
  <c r="AI56" i="1"/>
  <c r="AI57" i="1"/>
  <c r="AI58" i="1"/>
  <c r="AI59" i="1"/>
  <c r="AI60" i="1"/>
  <c r="AI61" i="1"/>
  <c r="AI62" i="1"/>
  <c r="AI8" i="1"/>
  <c r="AI63" i="1"/>
  <c r="AI64" i="1"/>
  <c r="AI65" i="1"/>
  <c r="AI66" i="1"/>
  <c r="AI67" i="1"/>
  <c r="AI68" i="1"/>
  <c r="AI69" i="1"/>
  <c r="AI70" i="1"/>
  <c r="AI71" i="1"/>
  <c r="AI72" i="1"/>
  <c r="AI10"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1" i="1"/>
  <c r="AI108" i="1"/>
  <c r="AI109" i="1"/>
  <c r="AI110" i="1"/>
  <c r="AI111" i="1"/>
  <c r="AI112" i="1"/>
  <c r="AI113" i="1"/>
  <c r="AI114" i="1"/>
  <c r="AI115" i="1"/>
  <c r="AI116" i="1"/>
  <c r="AI117" i="1"/>
  <c r="AI118" i="1"/>
  <c r="AI119" i="1"/>
  <c r="AI120" i="1"/>
  <c r="AI121" i="1"/>
  <c r="AI122" i="1"/>
  <c r="AI123" i="1"/>
  <c r="AI6" i="1"/>
  <c r="AI124" i="1"/>
  <c r="AI125" i="1"/>
  <c r="AI2" i="1"/>
  <c r="AI126" i="1"/>
  <c r="AI127" i="1"/>
  <c r="AI128" i="1"/>
  <c r="AI129" i="1"/>
  <c r="AI130" i="1"/>
  <c r="AI131" i="1"/>
  <c r="AI132" i="1"/>
  <c r="AI133" i="1"/>
  <c r="AI134" i="1"/>
  <c r="AI135" i="1"/>
  <c r="AI136" i="1"/>
  <c r="AI137" i="1"/>
  <c r="AI138" i="1"/>
  <c r="AI139" i="1"/>
  <c r="AI140" i="1"/>
  <c r="AI5" i="1"/>
  <c r="AI141" i="1"/>
  <c r="AI142" i="1"/>
  <c r="AI143" i="1"/>
  <c r="AI144" i="1"/>
  <c r="AI145" i="1"/>
  <c r="AI146" i="1"/>
  <c r="AI147" i="1"/>
  <c r="AI148" i="1"/>
  <c r="AI149" i="1"/>
  <c r="AI12" i="1"/>
  <c r="X12" i="1"/>
  <c r="X13" i="1"/>
  <c r="X14" i="1"/>
  <c r="X15" i="1"/>
  <c r="X16" i="1"/>
  <c r="X17" i="1"/>
  <c r="X18" i="1"/>
  <c r="X19" i="1"/>
  <c r="X20" i="1"/>
  <c r="X21" i="1"/>
  <c r="X22" i="1"/>
  <c r="X23" i="1"/>
  <c r="X24" i="1"/>
  <c r="X25" i="1"/>
  <c r="X26" i="1"/>
  <c r="X3" i="1"/>
  <c r="X27" i="1"/>
  <c r="X7" i="1"/>
  <c r="X28" i="1"/>
  <c r="X29" i="1"/>
  <c r="X30" i="1"/>
  <c r="X31" i="1"/>
  <c r="X32" i="1"/>
  <c r="X33" i="1"/>
  <c r="X9" i="1"/>
  <c r="X34" i="1"/>
  <c r="X35" i="1"/>
  <c r="X36" i="1"/>
  <c r="X37" i="1"/>
  <c r="X38" i="1"/>
  <c r="X39" i="1"/>
  <c r="X40" i="1"/>
  <c r="X41" i="1"/>
  <c r="X4" i="1"/>
  <c r="X42" i="1"/>
  <c r="X43" i="1"/>
  <c r="X44" i="1"/>
  <c r="X45" i="1"/>
  <c r="X46" i="1"/>
  <c r="X47" i="1"/>
  <c r="X48" i="1"/>
  <c r="X49" i="1"/>
  <c r="X50" i="1"/>
  <c r="X51" i="1"/>
  <c r="X52" i="1"/>
  <c r="X53" i="1"/>
  <c r="X54" i="1"/>
  <c r="X55" i="1"/>
  <c r="X56" i="1"/>
  <c r="X57" i="1"/>
  <c r="X58" i="1"/>
  <c r="X59" i="1"/>
  <c r="X60" i="1"/>
  <c r="X61" i="1"/>
  <c r="X62" i="1"/>
  <c r="X8" i="1"/>
  <c r="X63" i="1"/>
  <c r="X64" i="1"/>
  <c r="X65" i="1"/>
  <c r="X66" i="1"/>
  <c r="X67" i="1"/>
  <c r="X68" i="1"/>
  <c r="X69" i="1"/>
  <c r="X70" i="1"/>
  <c r="X71" i="1"/>
  <c r="X72" i="1"/>
  <c r="X10"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1" i="1"/>
  <c r="X108" i="1"/>
  <c r="X109" i="1"/>
  <c r="X110" i="1"/>
  <c r="X111" i="1"/>
  <c r="X112" i="1"/>
  <c r="X113" i="1"/>
  <c r="X114" i="1"/>
  <c r="X115" i="1"/>
  <c r="X116" i="1"/>
  <c r="X117" i="1"/>
  <c r="X118" i="1"/>
  <c r="X119" i="1"/>
  <c r="X120" i="1"/>
  <c r="X121" i="1"/>
  <c r="X122" i="1"/>
  <c r="X123" i="1"/>
  <c r="X6" i="1"/>
  <c r="X124" i="1"/>
  <c r="X125" i="1"/>
  <c r="X2" i="1"/>
  <c r="X126" i="1"/>
  <c r="X127" i="1"/>
  <c r="X128" i="1"/>
  <c r="X129" i="1"/>
  <c r="X130" i="1"/>
  <c r="X131" i="1"/>
  <c r="X132" i="1"/>
  <c r="X133" i="1"/>
  <c r="X134" i="1"/>
  <c r="X135" i="1"/>
  <c r="X136" i="1"/>
  <c r="X137" i="1"/>
  <c r="X138" i="1"/>
  <c r="X139" i="1"/>
  <c r="X140" i="1"/>
  <c r="X5" i="1"/>
  <c r="X141" i="1"/>
  <c r="X142" i="1"/>
  <c r="X143" i="1"/>
  <c r="X144" i="1"/>
  <c r="X145" i="1"/>
  <c r="X146" i="1"/>
  <c r="X147" i="1"/>
  <c r="X148" i="1"/>
  <c r="X149" i="1"/>
  <c r="V12" i="1"/>
  <c r="V13" i="1"/>
  <c r="V14" i="1"/>
  <c r="V15" i="1"/>
  <c r="V16" i="1"/>
  <c r="V17" i="1"/>
  <c r="V18" i="1"/>
  <c r="V19" i="1"/>
  <c r="V20" i="1"/>
  <c r="V21" i="1"/>
  <c r="V22" i="1"/>
  <c r="V23" i="1"/>
  <c r="V24" i="1"/>
  <c r="V25" i="1"/>
  <c r="V26" i="1"/>
  <c r="V3" i="1"/>
  <c r="V27" i="1"/>
  <c r="V7" i="1"/>
  <c r="V28" i="1"/>
  <c r="V29" i="1"/>
  <c r="V30" i="1"/>
  <c r="V31" i="1"/>
  <c r="V32" i="1"/>
  <c r="V33" i="1"/>
  <c r="V9" i="1"/>
  <c r="V34" i="1"/>
  <c r="V35" i="1"/>
  <c r="V36" i="1"/>
  <c r="V37" i="1"/>
  <c r="V38" i="1"/>
  <c r="V39" i="1"/>
  <c r="V40" i="1"/>
  <c r="V41" i="1"/>
  <c r="V4" i="1"/>
  <c r="V42" i="1"/>
  <c r="V43" i="1"/>
  <c r="V44" i="1"/>
  <c r="V45" i="1"/>
  <c r="V46" i="1"/>
  <c r="V47" i="1"/>
  <c r="V48" i="1"/>
  <c r="V49" i="1"/>
  <c r="V50" i="1"/>
  <c r="V51" i="1"/>
  <c r="V52" i="1"/>
  <c r="V53" i="1"/>
  <c r="V54" i="1"/>
  <c r="V55" i="1"/>
  <c r="V56" i="1"/>
  <c r="V57" i="1"/>
  <c r="V58" i="1"/>
  <c r="V59" i="1"/>
  <c r="V60" i="1"/>
  <c r="V61" i="1"/>
  <c r="V62" i="1"/>
  <c r="V8" i="1"/>
  <c r="V63" i="1"/>
  <c r="V64" i="1"/>
  <c r="V65" i="1"/>
  <c r="V66" i="1"/>
  <c r="V67" i="1"/>
  <c r="V68" i="1"/>
  <c r="V69" i="1"/>
  <c r="V70" i="1"/>
  <c r="V71" i="1"/>
  <c r="V72" i="1"/>
  <c r="V10"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1" i="1"/>
  <c r="V108" i="1"/>
  <c r="V109" i="1"/>
  <c r="V110" i="1"/>
  <c r="V111" i="1"/>
  <c r="V112" i="1"/>
  <c r="V113" i="1"/>
  <c r="V114" i="1"/>
  <c r="V115" i="1"/>
  <c r="V116" i="1"/>
  <c r="V117" i="1"/>
  <c r="V118" i="1"/>
  <c r="V119" i="1"/>
  <c r="V120" i="1"/>
  <c r="V121" i="1"/>
  <c r="V122" i="1"/>
  <c r="V123" i="1"/>
  <c r="V6" i="1"/>
  <c r="V124" i="1"/>
  <c r="V125" i="1"/>
  <c r="V2" i="1"/>
  <c r="V126" i="1"/>
  <c r="V127" i="1"/>
  <c r="V128" i="1"/>
  <c r="V129" i="1"/>
  <c r="V130" i="1"/>
  <c r="V131" i="1"/>
  <c r="V132" i="1"/>
  <c r="V133" i="1"/>
  <c r="V134" i="1"/>
  <c r="V135" i="1"/>
  <c r="V136" i="1"/>
  <c r="V137" i="1"/>
  <c r="V138" i="1"/>
  <c r="V139" i="1"/>
  <c r="V140" i="1"/>
  <c r="V5" i="1"/>
  <c r="V141" i="1"/>
  <c r="V142" i="1"/>
  <c r="V143" i="1"/>
  <c r="V144" i="1"/>
  <c r="V145" i="1"/>
  <c r="V146" i="1"/>
  <c r="V147" i="1"/>
  <c r="V148" i="1"/>
  <c r="V149" i="1"/>
  <c r="W12" i="1"/>
  <c r="W13" i="1"/>
  <c r="W14" i="1"/>
  <c r="W15" i="1"/>
  <c r="W16" i="1"/>
  <c r="W17" i="1"/>
  <c r="W18" i="1"/>
  <c r="W19" i="1"/>
  <c r="W20" i="1"/>
  <c r="W21" i="1"/>
  <c r="W22" i="1"/>
  <c r="W23" i="1"/>
  <c r="W24" i="1"/>
  <c r="W25" i="1"/>
  <c r="W26" i="1"/>
  <c r="W3" i="1"/>
  <c r="W27" i="1"/>
  <c r="W7" i="1"/>
  <c r="W28" i="1"/>
  <c r="W29" i="1"/>
  <c r="W30" i="1"/>
  <c r="W31" i="1"/>
  <c r="W32" i="1"/>
  <c r="W33" i="1"/>
  <c r="W9" i="1"/>
  <c r="W34" i="1"/>
  <c r="W35" i="1"/>
  <c r="W36" i="1"/>
  <c r="W37" i="1"/>
  <c r="W38" i="1"/>
  <c r="W39" i="1"/>
  <c r="W40" i="1"/>
  <c r="W41" i="1"/>
  <c r="W4" i="1"/>
  <c r="W42" i="1"/>
  <c r="W43" i="1"/>
  <c r="W44" i="1"/>
  <c r="W45" i="1"/>
  <c r="W46" i="1"/>
  <c r="W47" i="1"/>
  <c r="W48" i="1"/>
  <c r="W49" i="1"/>
  <c r="W50" i="1"/>
  <c r="W51" i="1"/>
  <c r="W52" i="1"/>
  <c r="W53" i="1"/>
  <c r="W54" i="1"/>
  <c r="W55" i="1"/>
  <c r="W56" i="1"/>
  <c r="W57" i="1"/>
  <c r="W58" i="1"/>
  <c r="W59" i="1"/>
  <c r="W60" i="1"/>
  <c r="W61" i="1"/>
  <c r="W62" i="1"/>
  <c r="W8" i="1"/>
  <c r="W63" i="1"/>
  <c r="W64" i="1"/>
  <c r="W65" i="1"/>
  <c r="W66" i="1"/>
  <c r="W67" i="1"/>
  <c r="W68" i="1"/>
  <c r="W69" i="1"/>
  <c r="W70" i="1"/>
  <c r="W71" i="1"/>
  <c r="W72" i="1"/>
  <c r="W10"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1" i="1"/>
  <c r="W108" i="1"/>
  <c r="W109" i="1"/>
  <c r="W110" i="1"/>
  <c r="W111" i="1"/>
  <c r="W112" i="1"/>
  <c r="W113" i="1"/>
  <c r="W114" i="1"/>
  <c r="W115" i="1"/>
  <c r="W116" i="1"/>
  <c r="W117" i="1"/>
  <c r="W118" i="1"/>
  <c r="W119" i="1"/>
  <c r="W120" i="1"/>
  <c r="W121" i="1"/>
  <c r="W122" i="1"/>
  <c r="W123" i="1"/>
  <c r="W6" i="1"/>
  <c r="W124" i="1"/>
  <c r="W125" i="1"/>
  <c r="W2" i="1"/>
  <c r="W126" i="1"/>
  <c r="W127" i="1"/>
  <c r="W128" i="1"/>
  <c r="W129" i="1"/>
  <c r="W130" i="1"/>
  <c r="W131" i="1"/>
  <c r="W132" i="1"/>
  <c r="W133" i="1"/>
  <c r="W134" i="1"/>
  <c r="W135" i="1"/>
  <c r="W136" i="1"/>
  <c r="W137" i="1"/>
  <c r="W138" i="1"/>
  <c r="W139" i="1"/>
  <c r="W140" i="1"/>
  <c r="W5" i="1"/>
  <c r="W141" i="1"/>
  <c r="W142" i="1"/>
  <c r="W143" i="1"/>
  <c r="W144" i="1"/>
  <c r="W145" i="1"/>
  <c r="W146" i="1"/>
  <c r="W147" i="1"/>
  <c r="W148" i="1"/>
  <c r="W149" i="1"/>
  <c r="AJ4" i="4" l="1"/>
  <c r="AJ5" i="4"/>
  <c r="R4" i="4"/>
  <c r="R7" i="4"/>
  <c r="AJ10" i="4"/>
  <c r="R8" i="4"/>
  <c r="AJ3" i="4"/>
  <c r="AV5" i="4"/>
  <c r="AJ11" i="4"/>
  <c r="AV4" i="4"/>
  <c r="AV7" i="4"/>
  <c r="R6" i="4"/>
  <c r="AV9" i="4"/>
  <c r="AJ8" i="4"/>
  <c r="AV6" i="4"/>
  <c r="AV8" i="4"/>
  <c r="AV3" i="4"/>
  <c r="R5" i="4"/>
  <c r="AJ7" i="4"/>
  <c r="AJ9" i="4"/>
  <c r="R11" i="4"/>
  <c r="AV11" i="4"/>
  <c r="R2" i="4"/>
  <c r="R10" i="4"/>
  <c r="AV2" i="4"/>
  <c r="R9" i="4"/>
  <c r="AV10" i="4"/>
  <c r="AJ6" i="4"/>
  <c r="R3" i="4"/>
  <c r="AJ2" i="4"/>
  <c r="R145" i="1"/>
  <c r="R69" i="1"/>
  <c r="R123" i="1"/>
  <c r="R84" i="1"/>
  <c r="R39" i="1"/>
  <c r="R122" i="1"/>
  <c r="R75" i="1"/>
  <c r="R25" i="1"/>
  <c r="R142" i="1"/>
  <c r="R135" i="1"/>
  <c r="R127" i="1"/>
  <c r="R121" i="1"/>
  <c r="R113" i="1"/>
  <c r="R106" i="1"/>
  <c r="R98" i="1"/>
  <c r="R90" i="1"/>
  <c r="R82" i="1"/>
  <c r="R74" i="1"/>
  <c r="R67" i="1"/>
  <c r="R60" i="1"/>
  <c r="R52" i="1"/>
  <c r="R44" i="1"/>
  <c r="R37" i="1"/>
  <c r="R30" i="1"/>
  <c r="R24" i="1"/>
  <c r="R16" i="1"/>
  <c r="R11" i="1"/>
  <c r="R62" i="1"/>
  <c r="R26" i="1"/>
  <c r="R107" i="1"/>
  <c r="R61" i="1"/>
  <c r="R31" i="1"/>
  <c r="R149" i="1"/>
  <c r="R141" i="1"/>
  <c r="R134" i="1"/>
  <c r="R126" i="1"/>
  <c r="R120" i="1"/>
  <c r="R112" i="1"/>
  <c r="R105" i="1"/>
  <c r="R97" i="1"/>
  <c r="R89" i="1"/>
  <c r="R81" i="1"/>
  <c r="R73" i="1"/>
  <c r="R66" i="1"/>
  <c r="R59" i="1"/>
  <c r="R51" i="1"/>
  <c r="R43" i="1"/>
  <c r="R36" i="1"/>
  <c r="R29" i="1"/>
  <c r="R23" i="1"/>
  <c r="R40" i="1"/>
  <c r="R129" i="1"/>
  <c r="R92" i="1"/>
  <c r="R54" i="1"/>
  <c r="R136" i="1"/>
  <c r="R83" i="1"/>
  <c r="R53" i="1"/>
  <c r="R148" i="1"/>
  <c r="R5" i="1"/>
  <c r="R133" i="1"/>
  <c r="R2" i="1"/>
  <c r="R119" i="1"/>
  <c r="R111" i="1"/>
  <c r="R104" i="1"/>
  <c r="R96" i="1"/>
  <c r="R88" i="1"/>
  <c r="R80" i="1"/>
  <c r="R10" i="1"/>
  <c r="R65" i="1"/>
  <c r="R58" i="1"/>
  <c r="R50" i="1"/>
  <c r="R42" i="1"/>
  <c r="R35" i="1"/>
  <c r="R28" i="1"/>
  <c r="R22" i="1"/>
  <c r="R14" i="1"/>
  <c r="R137" i="1"/>
  <c r="R100" i="1"/>
  <c r="R46" i="1"/>
  <c r="R143" i="1"/>
  <c r="R91" i="1"/>
  <c r="R45" i="1"/>
  <c r="R147" i="1"/>
  <c r="R140" i="1"/>
  <c r="R132" i="1"/>
  <c r="R125" i="1"/>
  <c r="R118" i="1"/>
  <c r="R110" i="1"/>
  <c r="R103" i="1"/>
  <c r="R95" i="1"/>
  <c r="R87" i="1"/>
  <c r="R79" i="1"/>
  <c r="R72" i="1"/>
  <c r="R64" i="1"/>
  <c r="R57" i="1"/>
  <c r="R49" i="1"/>
  <c r="R4" i="1"/>
  <c r="R34" i="1"/>
  <c r="R7" i="1"/>
  <c r="R21" i="1"/>
  <c r="R13" i="1"/>
  <c r="R144" i="1"/>
  <c r="R115" i="1"/>
  <c r="R76" i="1"/>
  <c r="R32" i="1"/>
  <c r="R114" i="1"/>
  <c r="R68" i="1"/>
  <c r="R17" i="1"/>
  <c r="R146" i="1"/>
  <c r="R139" i="1"/>
  <c r="R131" i="1"/>
  <c r="R124" i="1"/>
  <c r="R117" i="1"/>
  <c r="R109" i="1"/>
  <c r="R102" i="1"/>
  <c r="R94" i="1"/>
  <c r="R86" i="1"/>
  <c r="R78" i="1"/>
  <c r="R71" i="1"/>
  <c r="R63" i="1"/>
  <c r="R56" i="1"/>
  <c r="R48" i="1"/>
  <c r="R41" i="1"/>
  <c r="R9" i="1"/>
  <c r="R27" i="1"/>
  <c r="R20" i="1"/>
  <c r="R12" i="1"/>
  <c r="R18" i="1"/>
  <c r="R128" i="1"/>
  <c r="R99" i="1"/>
  <c r="R38" i="1"/>
  <c r="R108" i="1"/>
  <c r="R70" i="1"/>
  <c r="R3" i="1"/>
  <c r="R6" i="1"/>
  <c r="R85" i="1"/>
  <c r="R19" i="1"/>
  <c r="R116" i="1"/>
  <c r="R77" i="1"/>
  <c r="R33" i="1"/>
  <c r="R138" i="1"/>
  <c r="R8" i="1"/>
  <c r="R15" i="1"/>
  <c r="R93" i="1"/>
  <c r="R47" i="1"/>
  <c r="R130" i="1"/>
  <c r="R55" i="1"/>
  <c r="R101" i="1"/>
  <c r="AV3" i="1"/>
  <c r="AV144" i="1"/>
  <c r="AV137" i="1"/>
  <c r="AV129" i="1"/>
  <c r="AV123" i="1"/>
  <c r="AV115" i="1"/>
  <c r="AV11" i="1"/>
  <c r="AV100" i="1"/>
  <c r="AV92" i="1"/>
  <c r="AV84" i="1"/>
  <c r="AV76" i="1"/>
  <c r="AV69" i="1"/>
  <c r="AV62" i="1"/>
  <c r="AV54" i="1"/>
  <c r="AV46" i="1"/>
  <c r="AV39" i="1"/>
  <c r="AV32" i="1"/>
  <c r="AV26" i="1"/>
  <c r="AV18" i="1"/>
  <c r="AV145" i="1"/>
  <c r="AV101" i="1"/>
  <c r="AV70" i="1"/>
  <c r="AV19" i="1"/>
  <c r="AV143" i="1"/>
  <c r="AV136" i="1"/>
  <c r="AV128" i="1"/>
  <c r="AV122" i="1"/>
  <c r="AV114" i="1"/>
  <c r="AV107" i="1"/>
  <c r="AV99" i="1"/>
  <c r="AV91" i="1"/>
  <c r="AV83" i="1"/>
  <c r="AV75" i="1"/>
  <c r="AV68" i="1"/>
  <c r="AV61" i="1"/>
  <c r="AV53" i="1"/>
  <c r="AV45" i="1"/>
  <c r="AV38" i="1"/>
  <c r="AV31" i="1"/>
  <c r="AV25" i="1"/>
  <c r="AV17" i="1"/>
  <c r="AV6" i="1"/>
  <c r="AV77" i="1"/>
  <c r="AV33" i="1"/>
  <c r="AV142" i="1"/>
  <c r="AV135" i="1"/>
  <c r="AV127" i="1"/>
  <c r="AV121" i="1"/>
  <c r="AV113" i="1"/>
  <c r="AV106" i="1"/>
  <c r="AV98" i="1"/>
  <c r="AV90" i="1"/>
  <c r="AV82" i="1"/>
  <c r="AV74" i="1"/>
  <c r="AV67" i="1"/>
  <c r="AV60" i="1"/>
  <c r="AV52" i="1"/>
  <c r="AV44" i="1"/>
  <c r="AV37" i="1"/>
  <c r="AV30" i="1"/>
  <c r="AV24" i="1"/>
  <c r="AV16" i="1"/>
  <c r="AV55" i="1"/>
  <c r="AV149" i="1"/>
  <c r="AV141" i="1"/>
  <c r="AV134" i="1"/>
  <c r="AV126" i="1"/>
  <c r="AV120" i="1"/>
  <c r="AV112" i="1"/>
  <c r="AV105" i="1"/>
  <c r="AV97" i="1"/>
  <c r="AV89" i="1"/>
  <c r="AV81" i="1"/>
  <c r="AV73" i="1"/>
  <c r="AV66" i="1"/>
  <c r="AV59" i="1"/>
  <c r="AV51" i="1"/>
  <c r="AV43" i="1"/>
  <c r="AV36" i="1"/>
  <c r="AV29" i="1"/>
  <c r="AV23" i="1"/>
  <c r="AV15" i="1"/>
  <c r="AV138" i="1"/>
  <c r="AV108" i="1"/>
  <c r="AV85" i="1"/>
  <c r="AV47" i="1"/>
  <c r="AV148" i="1"/>
  <c r="AV5" i="1"/>
  <c r="AV133" i="1"/>
  <c r="AV2" i="1"/>
  <c r="AV119" i="1"/>
  <c r="AV111" i="1"/>
  <c r="AV104" i="1"/>
  <c r="AV96" i="1"/>
  <c r="AV88" i="1"/>
  <c r="AV80" i="1"/>
  <c r="AV10" i="1"/>
  <c r="AV65" i="1"/>
  <c r="AV58" i="1"/>
  <c r="AV50" i="1"/>
  <c r="AV42" i="1"/>
  <c r="AV35" i="1"/>
  <c r="AV28" i="1"/>
  <c r="AV22" i="1"/>
  <c r="AV14" i="1"/>
  <c r="AV130" i="1"/>
  <c r="AV116" i="1"/>
  <c r="AV93" i="1"/>
  <c r="AV40" i="1"/>
  <c r="AV147" i="1"/>
  <c r="AV140" i="1"/>
  <c r="AV132" i="1"/>
  <c r="AV125" i="1"/>
  <c r="AV118" i="1"/>
  <c r="AV110" i="1"/>
  <c r="AV103" i="1"/>
  <c r="AV95" i="1"/>
  <c r="AV87" i="1"/>
  <c r="AV79" i="1"/>
  <c r="AV72" i="1"/>
  <c r="AV64" i="1"/>
  <c r="AV57" i="1"/>
  <c r="AV49" i="1"/>
  <c r="AV4" i="1"/>
  <c r="AV34" i="1"/>
  <c r="AV7" i="1"/>
  <c r="AV21" i="1"/>
  <c r="AV13" i="1"/>
  <c r="AV8" i="1"/>
  <c r="AV146" i="1"/>
  <c r="AV139" i="1"/>
  <c r="AV131" i="1"/>
  <c r="AV124" i="1"/>
  <c r="AV117" i="1"/>
  <c r="AV109" i="1"/>
  <c r="AV102" i="1"/>
  <c r="AV94" i="1"/>
  <c r="AV86" i="1"/>
  <c r="AV78" i="1"/>
  <c r="AV71" i="1"/>
  <c r="AV63" i="1"/>
  <c r="AV56" i="1"/>
  <c r="AV48" i="1"/>
  <c r="AV41" i="1"/>
  <c r="AV9" i="1"/>
  <c r="AV27" i="1"/>
  <c r="AV20" i="1"/>
  <c r="AV12" i="1"/>
  <c r="AJ147" i="1"/>
  <c r="AJ145" i="1"/>
  <c r="AJ138" i="1"/>
  <c r="AJ130" i="1"/>
  <c r="AJ6" i="1"/>
  <c r="AJ116" i="1"/>
  <c r="AJ108" i="1"/>
  <c r="AJ101" i="1"/>
  <c r="AJ93" i="1"/>
  <c r="AJ85" i="1"/>
  <c r="AJ77" i="1"/>
  <c r="AJ70" i="1"/>
  <c r="AJ8" i="1"/>
  <c r="AJ55" i="1"/>
  <c r="AJ47" i="1"/>
  <c r="AJ40" i="1"/>
  <c r="AJ33" i="1"/>
  <c r="AJ3" i="1"/>
  <c r="AJ19" i="1"/>
  <c r="AJ144" i="1"/>
  <c r="AJ137" i="1"/>
  <c r="AJ129" i="1"/>
  <c r="AJ123" i="1"/>
  <c r="AJ115" i="1"/>
  <c r="AJ11" i="1"/>
  <c r="AJ100" i="1"/>
  <c r="AJ92" i="1"/>
  <c r="AJ84" i="1"/>
  <c r="AJ76" i="1"/>
  <c r="AJ69" i="1"/>
  <c r="AJ62" i="1"/>
  <c r="AJ54" i="1"/>
  <c r="AJ46" i="1"/>
  <c r="AJ39" i="1"/>
  <c r="AJ32" i="1"/>
  <c r="AJ26" i="1"/>
  <c r="AJ18" i="1"/>
  <c r="AJ143" i="1"/>
  <c r="AJ136" i="1"/>
  <c r="AJ128" i="1"/>
  <c r="AJ122" i="1"/>
  <c r="AJ114" i="1"/>
  <c r="AJ107" i="1"/>
  <c r="AJ99" i="1"/>
  <c r="AJ91" i="1"/>
  <c r="AJ83" i="1"/>
  <c r="AJ75" i="1"/>
  <c r="AJ68" i="1"/>
  <c r="AJ61" i="1"/>
  <c r="AJ53" i="1"/>
  <c r="AJ82" i="1"/>
  <c r="AJ38" i="1"/>
  <c r="AJ31" i="1"/>
  <c r="AJ25" i="1"/>
  <c r="AJ146" i="1"/>
  <c r="AJ12" i="1"/>
  <c r="AJ30" i="1"/>
  <c r="AJ24" i="1"/>
  <c r="AJ16" i="1"/>
  <c r="AJ149" i="1"/>
  <c r="AJ141" i="1"/>
  <c r="AJ134" i="1"/>
  <c r="AJ126" i="1"/>
  <c r="AJ120" i="1"/>
  <c r="AJ112" i="1"/>
  <c r="AJ105" i="1"/>
  <c r="AJ97" i="1"/>
  <c r="AJ89" i="1"/>
  <c r="AJ81" i="1"/>
  <c r="AJ73" i="1"/>
  <c r="AJ66" i="1"/>
  <c r="AJ59" i="1"/>
  <c r="AJ51" i="1"/>
  <c r="AJ43" i="1"/>
  <c r="AJ36" i="1"/>
  <c r="AJ29" i="1"/>
  <c r="AJ23" i="1"/>
  <c r="AJ15" i="1"/>
  <c r="AJ148" i="1"/>
  <c r="AJ5" i="1"/>
  <c r="AJ133" i="1"/>
  <c r="AJ2" i="1"/>
  <c r="AJ119" i="1"/>
  <c r="AJ111" i="1"/>
  <c r="AJ104" i="1"/>
  <c r="AJ96" i="1"/>
  <c r="AJ88" i="1"/>
  <c r="AJ80" i="1"/>
  <c r="AJ10" i="1"/>
  <c r="AJ65" i="1"/>
  <c r="AJ58" i="1"/>
  <c r="AJ50" i="1"/>
  <c r="AJ42" i="1"/>
  <c r="AJ35" i="1"/>
  <c r="AJ28" i="1"/>
  <c r="AJ22" i="1"/>
  <c r="AJ14" i="1"/>
  <c r="AJ140" i="1"/>
  <c r="AJ132" i="1"/>
  <c r="AJ125" i="1"/>
  <c r="AJ118" i="1"/>
  <c r="AJ110" i="1"/>
  <c r="AJ103" i="1"/>
  <c r="AJ95" i="1"/>
  <c r="AJ87" i="1"/>
  <c r="AJ79" i="1"/>
  <c r="AJ72" i="1"/>
  <c r="AJ64" i="1"/>
  <c r="AJ57" i="1"/>
  <c r="AJ49" i="1"/>
  <c r="AJ4" i="1"/>
  <c r="AJ34" i="1"/>
  <c r="AJ7" i="1"/>
  <c r="AJ21" i="1"/>
  <c r="AJ27" i="1"/>
  <c r="AJ71" i="1"/>
  <c r="AJ45" i="1"/>
  <c r="AJ17" i="1"/>
  <c r="AJ142" i="1"/>
  <c r="AJ135" i="1"/>
  <c r="AJ127" i="1"/>
  <c r="AJ121" i="1"/>
  <c r="AJ113" i="1"/>
  <c r="AJ106" i="1"/>
  <c r="AJ98" i="1"/>
  <c r="AJ90" i="1"/>
  <c r="AJ74" i="1"/>
  <c r="AJ67" i="1"/>
  <c r="AJ60" i="1"/>
  <c r="AJ52" i="1"/>
  <c r="AJ44" i="1"/>
  <c r="AJ37" i="1"/>
  <c r="AJ13" i="1"/>
  <c r="AJ139" i="1"/>
  <c r="AJ131" i="1"/>
  <c r="AJ124" i="1"/>
  <c r="AJ117" i="1"/>
  <c r="AJ109" i="1"/>
  <c r="AJ102" i="1"/>
  <c r="AJ94" i="1"/>
  <c r="AJ86" i="1"/>
  <c r="AJ78" i="1"/>
  <c r="AJ63" i="1"/>
  <c r="AJ56" i="1"/>
  <c r="AJ48" i="1"/>
  <c r="AJ41" i="1"/>
  <c r="AJ9" i="1"/>
  <c r="AJ20" i="1"/>
</calcChain>
</file>

<file path=xl/sharedStrings.xml><?xml version="1.0" encoding="utf-8"?>
<sst xmlns="http://schemas.openxmlformats.org/spreadsheetml/2006/main" count="947" uniqueCount="499">
  <si>
    <t>City</t>
  </si>
  <si>
    <t>Austin</t>
  </si>
  <si>
    <t>San Francisco</t>
  </si>
  <si>
    <t>Honolulu</t>
  </si>
  <si>
    <t>Seattle</t>
  </si>
  <si>
    <t>Nashville</t>
  </si>
  <si>
    <t>Denver</t>
  </si>
  <si>
    <t>Boston</t>
  </si>
  <si>
    <t>Miami Beach</t>
  </si>
  <si>
    <t>Minneapolis</t>
  </si>
  <si>
    <t>Oklahoma City</t>
  </si>
  <si>
    <t>Value</t>
  </si>
  <si>
    <t>Factors</t>
  </si>
  <si>
    <t>Row Labels</t>
  </si>
  <si>
    <t>Temperature</t>
  </si>
  <si>
    <t>Restaurents</t>
  </si>
  <si>
    <t>Grand Total</t>
  </si>
  <si>
    <t>Hospitals</t>
  </si>
  <si>
    <t>Recreation</t>
  </si>
  <si>
    <t>Level of Detail</t>
  </si>
  <si>
    <t>Crimes</t>
  </si>
  <si>
    <t>Overall</t>
  </si>
  <si>
    <t>Drill down</t>
  </si>
  <si>
    <t>Starting Position</t>
  </si>
  <si>
    <t>State</t>
  </si>
  <si>
    <t>CONCAT</t>
  </si>
  <si>
    <t>Unemployment Rate</t>
  </si>
  <si>
    <t>American</t>
  </si>
  <si>
    <t>Cafe</t>
  </si>
  <si>
    <t>Deserts</t>
  </si>
  <si>
    <t>Others</t>
  </si>
  <si>
    <t>Italian</t>
  </si>
  <si>
    <t>Mexican</t>
  </si>
  <si>
    <t>Barbecue</t>
  </si>
  <si>
    <t>Bar and Pub</t>
  </si>
  <si>
    <t>Healthy</t>
  </si>
  <si>
    <t>Asian</t>
  </si>
  <si>
    <t>Afghan</t>
  </si>
  <si>
    <t>Indian</t>
  </si>
  <si>
    <t>Restaurant count</t>
  </si>
  <si>
    <t>Restaurant rank</t>
  </si>
  <si>
    <t>Min Temperature</t>
  </si>
  <si>
    <t>Max Temperature</t>
  </si>
  <si>
    <t>Avg Temperature</t>
  </si>
  <si>
    <t>Max Temperature Rank</t>
  </si>
  <si>
    <t>Min Temp Rank</t>
  </si>
  <si>
    <t>Avg Temp Rank</t>
  </si>
  <si>
    <t>GENERAL ACUTE CARE</t>
  </si>
  <si>
    <t>SPECIAL</t>
  </si>
  <si>
    <t>CHILDREN</t>
  </si>
  <si>
    <t>LONG TERM CARE</t>
  </si>
  <si>
    <t>PSYCHIATRIC</t>
  </si>
  <si>
    <t>REHABILITATION</t>
  </si>
  <si>
    <t>CRITICAL ACCESS</t>
  </si>
  <si>
    <t>MILITARY</t>
  </si>
  <si>
    <t>WOMEN</t>
  </si>
  <si>
    <t>CHRONIC DISEASE</t>
  </si>
  <si>
    <t>Hospital Count</t>
  </si>
  <si>
    <t>Hos Rank</t>
  </si>
  <si>
    <t>2009</t>
  </si>
  <si>
    <t>2010</t>
  </si>
  <si>
    <t>2011</t>
  </si>
  <si>
    <t>2012</t>
  </si>
  <si>
    <t>2013</t>
  </si>
  <si>
    <t>2014</t>
  </si>
  <si>
    <t>2015</t>
  </si>
  <si>
    <t>2017</t>
  </si>
  <si>
    <t>2018</t>
  </si>
  <si>
    <t>2019</t>
  </si>
  <si>
    <t>Average crime rate</t>
  </si>
  <si>
    <t>Crime rank</t>
  </si>
  <si>
    <t xml:space="preserve">January  </t>
  </si>
  <si>
    <t>February</t>
  </si>
  <si>
    <t>March</t>
  </si>
  <si>
    <t>April</t>
  </si>
  <si>
    <t>May</t>
  </si>
  <si>
    <t>June</t>
  </si>
  <si>
    <t>July</t>
  </si>
  <si>
    <t>August</t>
  </si>
  <si>
    <t>September</t>
  </si>
  <si>
    <t>October</t>
  </si>
  <si>
    <t>November</t>
  </si>
  <si>
    <t>December</t>
  </si>
  <si>
    <t>TX</t>
  </si>
  <si>
    <t>AUSTIN-TX</t>
  </si>
  <si>
    <t>CA</t>
  </si>
  <si>
    <t>SAN FRANCISCO-CA</t>
  </si>
  <si>
    <t>HI</t>
  </si>
  <si>
    <t>HONOLULU-HI</t>
  </si>
  <si>
    <t>WA</t>
  </si>
  <si>
    <t>SEATTLE-WA</t>
  </si>
  <si>
    <t>TN</t>
  </si>
  <si>
    <t>NASHVILLE-TN</t>
  </si>
  <si>
    <t>CO</t>
  </si>
  <si>
    <t>DENVER-CO</t>
  </si>
  <si>
    <t>MA</t>
  </si>
  <si>
    <t>BOSTON-MA</t>
  </si>
  <si>
    <t>FL</t>
  </si>
  <si>
    <t>MIAMI BEACH-FL</t>
  </si>
  <si>
    <t>MN</t>
  </si>
  <si>
    <t>MINNEAPOLIS-MN</t>
  </si>
  <si>
    <t>OK</t>
  </si>
  <si>
    <t>OKLAHOMA CITY-OK</t>
  </si>
  <si>
    <t>AK</t>
  </si>
  <si>
    <t>Anchorage</t>
  </si>
  <si>
    <t>ANCHORAGE-AK</t>
  </si>
  <si>
    <t>Fairbanks</t>
  </si>
  <si>
    <t>FAIRBANKS-AK</t>
  </si>
  <si>
    <t>Juneau</t>
  </si>
  <si>
    <t>JUNEAU-AK</t>
  </si>
  <si>
    <t>AL</t>
  </si>
  <si>
    <t>Birmingham</t>
  </si>
  <si>
    <t>BIRMINGHAM-AL</t>
  </si>
  <si>
    <t>Huntsville</t>
  </si>
  <si>
    <t>HUNTSVILLE-AL</t>
  </si>
  <si>
    <t>Mobile</t>
  </si>
  <si>
    <t>MOBILE-AL</t>
  </si>
  <si>
    <t>Montgomery</t>
  </si>
  <si>
    <t>MONTGOMERY-AL</t>
  </si>
  <si>
    <t>AR</t>
  </si>
  <si>
    <t>Fort Smith</t>
  </si>
  <si>
    <t>FORT SMITH-AR</t>
  </si>
  <si>
    <t>Little Rock</t>
  </si>
  <si>
    <t>LITTLE ROCK-AR</t>
  </si>
  <si>
    <t>AZ</t>
  </si>
  <si>
    <t>Phoenix</t>
  </si>
  <si>
    <t>PHOENIX-AZ</t>
  </si>
  <si>
    <t>Tucson</t>
  </si>
  <si>
    <t>TUCSON-AZ</t>
  </si>
  <si>
    <t>Fresno</t>
  </si>
  <si>
    <t>FRESNO-CA</t>
  </si>
  <si>
    <t>Los Angeles</t>
  </si>
  <si>
    <t>LOS ANGELES-CA</t>
  </si>
  <si>
    <t>Sacramento</t>
  </si>
  <si>
    <t>SACRAMENTO-CA</t>
  </si>
  <si>
    <t>San Diego</t>
  </si>
  <si>
    <t>SAN DIEGO-CA</t>
  </si>
  <si>
    <t>Colorado Springs</t>
  </si>
  <si>
    <t>COLORADO SPRINGS-CO</t>
  </si>
  <si>
    <t>Grand Junction</t>
  </si>
  <si>
    <t>GRAND JUNCTION-CO</t>
  </si>
  <si>
    <t>Pueblo</t>
  </si>
  <si>
    <t>PUEBLO-CO</t>
  </si>
  <si>
    <t>CT</t>
  </si>
  <si>
    <t>Bridgeport</t>
  </si>
  <si>
    <t>BRIDGEPORT-CT</t>
  </si>
  <si>
    <t>Hartford</t>
  </si>
  <si>
    <t>HARTFORD-CT</t>
  </si>
  <si>
    <t>DC</t>
  </si>
  <si>
    <t>Washington</t>
  </si>
  <si>
    <t>WASHINGTON-DC</t>
  </si>
  <si>
    <t>Jacksonville</t>
  </si>
  <si>
    <t>JACKSONVILLE-FL</t>
  </si>
  <si>
    <t>Orlando</t>
  </si>
  <si>
    <t>ORLANDO-FL</t>
  </si>
  <si>
    <t>Tallahassee</t>
  </si>
  <si>
    <t>TALLAHASSEE-FL</t>
  </si>
  <si>
    <t>Tampa</t>
  </si>
  <si>
    <t>TAMPA-FL</t>
  </si>
  <si>
    <t>West Palm Beach</t>
  </si>
  <si>
    <t>WEST PALM BEACH-FL</t>
  </si>
  <si>
    <t>GA</t>
  </si>
  <si>
    <t>Atlanta</t>
  </si>
  <si>
    <t>ATLANTA-GA</t>
  </si>
  <si>
    <t>Columbus</t>
  </si>
  <si>
    <t>COLUMBUS-GA</t>
  </si>
  <si>
    <t>Macon</t>
  </si>
  <si>
    <t>MACON-GA</t>
  </si>
  <si>
    <t>Savannah</t>
  </si>
  <si>
    <t>SAVANNAH-GA</t>
  </si>
  <si>
    <t>IA</t>
  </si>
  <si>
    <t>Des Moines</t>
  </si>
  <si>
    <t>DES MOINES-IA</t>
  </si>
  <si>
    <t>Sioux City</t>
  </si>
  <si>
    <t>SIOUX CITY-IA</t>
  </si>
  <si>
    <t>ID</t>
  </si>
  <si>
    <t>Boise</t>
  </si>
  <si>
    <t>BOISE-ID</t>
  </si>
  <si>
    <t>Pocatello</t>
  </si>
  <si>
    <t>POCATELLO-ID</t>
  </si>
  <si>
    <t>IL</t>
  </si>
  <si>
    <t>Chicago</t>
  </si>
  <si>
    <t>CHICAGO-IL</t>
  </si>
  <si>
    <t>Peoria</t>
  </si>
  <si>
    <t>PEORIA-IL</t>
  </si>
  <si>
    <t>Rockford</t>
  </si>
  <si>
    <t>ROCKFORD-IL</t>
  </si>
  <si>
    <t>Springfield</t>
  </si>
  <si>
    <t>SPRINGFIELD-IL</t>
  </si>
  <si>
    <t>IN</t>
  </si>
  <si>
    <t>Evansville</t>
  </si>
  <si>
    <t>EVANSVILLE-IN</t>
  </si>
  <si>
    <t>Fort Wayne</t>
  </si>
  <si>
    <t>FORT WAYNE-IN</t>
  </si>
  <si>
    <t>Indianapolis</t>
  </si>
  <si>
    <t>INDIANAPOLIS-IN</t>
  </si>
  <si>
    <t>South Bend</t>
  </si>
  <si>
    <t>SOUTH BEND-IN</t>
  </si>
  <si>
    <t>KS</t>
  </si>
  <si>
    <t>Goodland</t>
  </si>
  <si>
    <t>GOODLAND-KS</t>
  </si>
  <si>
    <t>Topeka</t>
  </si>
  <si>
    <t>TOPEKA-KS</t>
  </si>
  <si>
    <t>Wichita</t>
  </si>
  <si>
    <t>WICHITA-KS</t>
  </si>
  <si>
    <t>KY</t>
  </si>
  <si>
    <t>Lexington</t>
  </si>
  <si>
    <t>LEXINGTON-KY</t>
  </si>
  <si>
    <t>Louisville</t>
  </si>
  <si>
    <t>LOUISVILLE-KY</t>
  </si>
  <si>
    <t>Paducah</t>
  </si>
  <si>
    <t>PADUCAH-KY</t>
  </si>
  <si>
    <t>LA</t>
  </si>
  <si>
    <t>Lake Charles</t>
  </si>
  <si>
    <t>LAKE CHARLES-LA</t>
  </si>
  <si>
    <t>New Orleans</t>
  </si>
  <si>
    <t>NEW ORLEANS-LA</t>
  </si>
  <si>
    <t>Shreveport</t>
  </si>
  <si>
    <t>SHREVEPORT-LA</t>
  </si>
  <si>
    <t>MD</t>
  </si>
  <si>
    <t>Baltimore</t>
  </si>
  <si>
    <t>BALTIMORE-MD</t>
  </si>
  <si>
    <t>Fort Washington</t>
  </si>
  <si>
    <t>FORT WASHINGTON-MD</t>
  </si>
  <si>
    <t>ME</t>
  </si>
  <si>
    <t>Caribou</t>
  </si>
  <si>
    <t>CARIBOU-ME</t>
  </si>
  <si>
    <t>Portland</t>
  </si>
  <si>
    <t>PORTLAND-ME</t>
  </si>
  <si>
    <t>MI</t>
  </si>
  <si>
    <t>Detroit</t>
  </si>
  <si>
    <t>DETROIT-MI</t>
  </si>
  <si>
    <t>Flint</t>
  </si>
  <si>
    <t>FLINT-MI</t>
  </si>
  <si>
    <t>Grand Rapids</t>
  </si>
  <si>
    <t>GRAND RAPIDS-MI</t>
  </si>
  <si>
    <t>Lansing</t>
  </si>
  <si>
    <t>LANSING-MI</t>
  </si>
  <si>
    <t>Sault Ste Marie</t>
  </si>
  <si>
    <t>SAULT STE MARIE-MI</t>
  </si>
  <si>
    <t>Duluth</t>
  </si>
  <si>
    <t>DULUTH-MN</t>
  </si>
  <si>
    <t>MO</t>
  </si>
  <si>
    <t>Kansas City</t>
  </si>
  <si>
    <t>KANSAS CITY-MO</t>
  </si>
  <si>
    <t>SPRINGFIELD-MO</t>
  </si>
  <si>
    <t>St Louis</t>
  </si>
  <si>
    <t>ST LOUIS-MO</t>
  </si>
  <si>
    <t>MS</t>
  </si>
  <si>
    <t>Jackson</t>
  </si>
  <si>
    <t>JACKSON-MS</t>
  </si>
  <si>
    <t>Tupelo</t>
  </si>
  <si>
    <t>TUPELO-MS</t>
  </si>
  <si>
    <t>MT</t>
  </si>
  <si>
    <t>Billings</t>
  </si>
  <si>
    <t>BILLINGS-MT</t>
  </si>
  <si>
    <t>Great Falls</t>
  </si>
  <si>
    <t>GREAT FALLS-MT</t>
  </si>
  <si>
    <t>Helena</t>
  </si>
  <si>
    <t>HELENA-MT</t>
  </si>
  <si>
    <t>NC</t>
  </si>
  <si>
    <t>Asheville</t>
  </si>
  <si>
    <t>ASHEVILLE-NC</t>
  </si>
  <si>
    <t>Charlotte</t>
  </si>
  <si>
    <t>CHARLOTTE-NC</t>
  </si>
  <si>
    <t>Greensboro</t>
  </si>
  <si>
    <t>GREENSBORO-NC</t>
  </si>
  <si>
    <t>Raleigh</t>
  </si>
  <si>
    <t>RALEIGH-NC</t>
  </si>
  <si>
    <t>ND</t>
  </si>
  <si>
    <t>Bismarck</t>
  </si>
  <si>
    <t>BISMARCK-ND</t>
  </si>
  <si>
    <t>Fargo</t>
  </si>
  <si>
    <t>FARGO-ND</t>
  </si>
  <si>
    <t>NE</t>
  </si>
  <si>
    <t>Lincoln</t>
  </si>
  <si>
    <t>LINCOLN-NE</t>
  </si>
  <si>
    <t>North Platte</t>
  </si>
  <si>
    <t>NORTH PLATTE-NE</t>
  </si>
  <si>
    <t>Omaha</t>
  </si>
  <si>
    <t>OMAHA-NE</t>
  </si>
  <si>
    <t>NH</t>
  </si>
  <si>
    <t>Concord</t>
  </si>
  <si>
    <t>CONCORD-NH</t>
  </si>
  <si>
    <t>NJ</t>
  </si>
  <si>
    <t>Atlantic City</t>
  </si>
  <si>
    <t>ATLANTIC CITY-NJ</t>
  </si>
  <si>
    <t>Newark</t>
  </si>
  <si>
    <t>NEWARK-NJ</t>
  </si>
  <si>
    <t>NM</t>
  </si>
  <si>
    <t>Albuquerque</t>
  </si>
  <si>
    <t>ALBUQUERQUE-NM</t>
  </si>
  <si>
    <t>NV</t>
  </si>
  <si>
    <t>Las Vegas</t>
  </si>
  <si>
    <t>LAS VEGAS-NV</t>
  </si>
  <si>
    <t>Reno</t>
  </si>
  <si>
    <t>RENO-NV</t>
  </si>
  <si>
    <t>NY</t>
  </si>
  <si>
    <t>Albany</t>
  </si>
  <si>
    <t>ALBANY-NY</t>
  </si>
  <si>
    <t>Buffalo</t>
  </si>
  <si>
    <t>BUFFALO-NY</t>
  </si>
  <si>
    <t>New York City</t>
  </si>
  <si>
    <t>NEW YORK CITY-NY</t>
  </si>
  <si>
    <t>Rochester</t>
  </si>
  <si>
    <t>ROCHESTER-NY</t>
  </si>
  <si>
    <t>Syracuse</t>
  </si>
  <si>
    <t>SYRACUSE-NY</t>
  </si>
  <si>
    <t>OH</t>
  </si>
  <si>
    <t>Akron</t>
  </si>
  <si>
    <t>AKRON-OH</t>
  </si>
  <si>
    <t>Cincinnati</t>
  </si>
  <si>
    <t>CINCINNATI-OH</t>
  </si>
  <si>
    <t>Cleveland</t>
  </si>
  <si>
    <t>CLEVELAND-OH</t>
  </si>
  <si>
    <t>COLUMBUS-OH</t>
  </si>
  <si>
    <t>Dayton</t>
  </si>
  <si>
    <t>DAYTON-OH</t>
  </si>
  <si>
    <t>Toledo</t>
  </si>
  <si>
    <t>TOLEDO-OH</t>
  </si>
  <si>
    <t>Youngstown</t>
  </si>
  <si>
    <t>YOUNGSTOWN-OH</t>
  </si>
  <si>
    <t>Tulsa</t>
  </si>
  <si>
    <t>TULSA-OK</t>
  </si>
  <si>
    <t>OR</t>
  </si>
  <si>
    <t>Eugene</t>
  </si>
  <si>
    <t>EUGENE-OR</t>
  </si>
  <si>
    <t>Medford</t>
  </si>
  <si>
    <t>MEDFORD-OR</t>
  </si>
  <si>
    <t>PORTLAND-OR</t>
  </si>
  <si>
    <t>Salem</t>
  </si>
  <si>
    <t>SALEM-OR</t>
  </si>
  <si>
    <t>PA</t>
  </si>
  <si>
    <t>Allentown</t>
  </si>
  <si>
    <t>ALLENTOWN-PA</t>
  </si>
  <si>
    <t>Erie</t>
  </si>
  <si>
    <t>ERIE-PA</t>
  </si>
  <si>
    <t>Philadelphia</t>
  </si>
  <si>
    <t>PHILADELPHIA-PA</t>
  </si>
  <si>
    <t>Pittsburgh</t>
  </si>
  <si>
    <t>PITTSBURGH-PA</t>
  </si>
  <si>
    <t>SC</t>
  </si>
  <si>
    <t>Charleston</t>
  </si>
  <si>
    <t>CHARLESTON-SC</t>
  </si>
  <si>
    <t>Columbia</t>
  </si>
  <si>
    <t>COLUMBIA-SC</t>
  </si>
  <si>
    <t>SD</t>
  </si>
  <si>
    <t>Rapid City</t>
  </si>
  <si>
    <t>RAPID CITY-SD</t>
  </si>
  <si>
    <t>Sioux Falls</t>
  </si>
  <si>
    <t>SIOUX FALLS-SD</t>
  </si>
  <si>
    <t>Chattanooga</t>
  </si>
  <si>
    <t>CHATTANOOGA-TN</t>
  </si>
  <si>
    <t>Knoxville</t>
  </si>
  <si>
    <t>KNOXVILLE-TN</t>
  </si>
  <si>
    <t>Memphis</t>
  </si>
  <si>
    <t>MEMPHIS-TN</t>
  </si>
  <si>
    <t>Abilene</t>
  </si>
  <si>
    <t>ABILENE-TX</t>
  </si>
  <si>
    <t>Amarillo</t>
  </si>
  <si>
    <t>AMARILLO-TX</t>
  </si>
  <si>
    <t>Brownsville</t>
  </si>
  <si>
    <t>BROWNSVILLE-TX</t>
  </si>
  <si>
    <t>Corpus Christi</t>
  </si>
  <si>
    <t>CORPUS CHRISTI-TX</t>
  </si>
  <si>
    <t>Dallas</t>
  </si>
  <si>
    <t>DALLAS-TX</t>
  </si>
  <si>
    <t>El Paso</t>
  </si>
  <si>
    <t>EL PASO-TX</t>
  </si>
  <si>
    <t>Houston</t>
  </si>
  <si>
    <t>HOUSTON-TX</t>
  </si>
  <si>
    <t>Lubbock</t>
  </si>
  <si>
    <t>LUBBOCK-TX</t>
  </si>
  <si>
    <t>Midland Odessa</t>
  </si>
  <si>
    <t>MIDLAND ODESSA-TX</t>
  </si>
  <si>
    <t>San Angelo</t>
  </si>
  <si>
    <t>SAN ANGELO-TX</t>
  </si>
  <si>
    <t>San Antonio</t>
  </si>
  <si>
    <t>SAN ANTONIO-TX</t>
  </si>
  <si>
    <t>Waco</t>
  </si>
  <si>
    <t>WACO-TX</t>
  </si>
  <si>
    <t>Wichita Falls</t>
  </si>
  <si>
    <t>WICHITA FALLS-TX</t>
  </si>
  <si>
    <t>UT</t>
  </si>
  <si>
    <t>Salt Lake City</t>
  </si>
  <si>
    <t>SALT LAKE CITY-UT</t>
  </si>
  <si>
    <t>VA</t>
  </si>
  <si>
    <t>Richmond</t>
  </si>
  <si>
    <t>RICHMOND-VA</t>
  </si>
  <si>
    <t>Roanoke</t>
  </si>
  <si>
    <t>ROANOKE-VA</t>
  </si>
  <si>
    <t>VT</t>
  </si>
  <si>
    <t>Burlington</t>
  </si>
  <si>
    <t>BURLINGTON-VT</t>
  </si>
  <si>
    <t>Spokane</t>
  </si>
  <si>
    <t>SPOKANE-WA</t>
  </si>
  <si>
    <t>Yakima</t>
  </si>
  <si>
    <t>YAKIMA-WA</t>
  </si>
  <si>
    <t>WI</t>
  </si>
  <si>
    <t>Green Bay</t>
  </si>
  <si>
    <t>GREEN BAY-WI</t>
  </si>
  <si>
    <t>Madison</t>
  </si>
  <si>
    <t>MADISON-WI</t>
  </si>
  <si>
    <t>Milwaukee</t>
  </si>
  <si>
    <t>MILWAUKEE-WI</t>
  </si>
  <si>
    <t>WV</t>
  </si>
  <si>
    <t>CHARLESTON-WV</t>
  </si>
  <si>
    <t>Elkins</t>
  </si>
  <si>
    <t>ELKINS-WV</t>
  </si>
  <si>
    <t>WY</t>
  </si>
  <si>
    <t>Casper</t>
  </si>
  <si>
    <t>CASPER-WY</t>
  </si>
  <si>
    <t>Cheyenne</t>
  </si>
  <si>
    <t>CHEYENNE-WY</t>
  </si>
  <si>
    <t xml:space="preserve">Min Temperature </t>
  </si>
  <si>
    <t xml:space="preserve">Max Temperature </t>
  </si>
  <si>
    <t xml:space="preserve">Avg Temperature </t>
  </si>
  <si>
    <t xml:space="preserve">January </t>
  </si>
  <si>
    <t xml:space="preserve">February </t>
  </si>
  <si>
    <t xml:space="preserve">March </t>
  </si>
  <si>
    <t xml:space="preserve">April </t>
  </si>
  <si>
    <t xml:space="preserve">May </t>
  </si>
  <si>
    <t xml:space="preserve">June </t>
  </si>
  <si>
    <t xml:space="preserve">July </t>
  </si>
  <si>
    <t xml:space="preserve">August </t>
  </si>
  <si>
    <t xml:space="preserve">September </t>
  </si>
  <si>
    <t xml:space="preserve">October </t>
  </si>
  <si>
    <t xml:space="preserve">November </t>
  </si>
  <si>
    <t xml:space="preserve">December </t>
  </si>
  <si>
    <t>Overall Restaurants</t>
  </si>
  <si>
    <t xml:space="preserve">American </t>
  </si>
  <si>
    <t xml:space="preserve">Café </t>
  </si>
  <si>
    <t xml:space="preserve">Deserts </t>
  </si>
  <si>
    <t xml:space="preserve">Others </t>
  </si>
  <si>
    <t xml:space="preserve">Italian </t>
  </si>
  <si>
    <t xml:space="preserve">Mexican </t>
  </si>
  <si>
    <t xml:space="preserve">Barbecue </t>
  </si>
  <si>
    <t xml:space="preserve">Healthy </t>
  </si>
  <si>
    <t xml:space="preserve">Bar and Pub </t>
  </si>
  <si>
    <t xml:space="preserve">Asian </t>
  </si>
  <si>
    <t xml:space="preserve">Afghan </t>
  </si>
  <si>
    <t xml:space="preserve">Indian </t>
  </si>
  <si>
    <t>Overall Hospital</t>
  </si>
  <si>
    <t xml:space="preserve">GENERAL ACUTE CARE </t>
  </si>
  <si>
    <t xml:space="preserve">SPECIAL </t>
  </si>
  <si>
    <t xml:space="preserve">CHILDREN </t>
  </si>
  <si>
    <t xml:space="preserve">LONG TERM CARE </t>
  </si>
  <si>
    <t xml:space="preserve">PSYCHIATRIC </t>
  </si>
  <si>
    <t xml:space="preserve">REHABILITATION </t>
  </si>
  <si>
    <t xml:space="preserve">CRITICAL ACCESS </t>
  </si>
  <si>
    <t xml:space="preserve">MILITARY </t>
  </si>
  <si>
    <t xml:space="preserve">WOMEN </t>
  </si>
  <si>
    <t xml:space="preserve">CHRONIC DISEASE </t>
  </si>
  <si>
    <t xml:space="preserve">Recreation </t>
  </si>
  <si>
    <t xml:space="preserve">BOATING </t>
  </si>
  <si>
    <t xml:space="preserve">FISHING </t>
  </si>
  <si>
    <t xml:space="preserve">PICNICKING </t>
  </si>
  <si>
    <t xml:space="preserve">WILDLIFE VIEWING </t>
  </si>
  <si>
    <t xml:space="preserve">HIKING </t>
  </si>
  <si>
    <t xml:space="preserve">BIKING </t>
  </si>
  <si>
    <t xml:space="preserve">CAMPING </t>
  </si>
  <si>
    <t xml:space="preserve">WATER SPORTS </t>
  </si>
  <si>
    <t xml:space="preserve">OFF HIGHWAY VEHICLE </t>
  </si>
  <si>
    <t xml:space="preserve">HORSEBACK RIDING </t>
  </si>
  <si>
    <t>Count</t>
  </si>
  <si>
    <t>Sum of BOATING</t>
  </si>
  <si>
    <t>Sum of FISHING</t>
  </si>
  <si>
    <t>Sum of PICNICKING</t>
  </si>
  <si>
    <t>Sum of WILDLIFE VIEWING</t>
  </si>
  <si>
    <t>Sum of HIKING</t>
  </si>
  <si>
    <t>Sum of BIKING</t>
  </si>
  <si>
    <t>Sum of CAMPING</t>
  </si>
  <si>
    <t>Sum of WATER SPORTS</t>
  </si>
  <si>
    <t>Sum of OFF HIGHWAY VEHICLE</t>
  </si>
  <si>
    <t>Sum of HORSEBACK RIDING</t>
  </si>
  <si>
    <t>BOATING</t>
  </si>
  <si>
    <t>FISHING</t>
  </si>
  <si>
    <t>PICNICKING</t>
  </si>
  <si>
    <t>WILDLIFE VIEWING</t>
  </si>
  <si>
    <t>HIKING</t>
  </si>
  <si>
    <t>BIKING</t>
  </si>
  <si>
    <t>CAMPING</t>
  </si>
  <si>
    <t>WATER SPORTS</t>
  </si>
  <si>
    <t>OFF HIGHWAY VEHICLE</t>
  </si>
  <si>
    <t>HORSEBACK RIDING</t>
  </si>
  <si>
    <t xml:space="preserve">2009 </t>
  </si>
  <si>
    <t xml:space="preserve">2010 </t>
  </si>
  <si>
    <t xml:space="preserve">2011 </t>
  </si>
  <si>
    <t xml:space="preserve">2012 </t>
  </si>
  <si>
    <t xml:space="preserve">2013 </t>
  </si>
  <si>
    <t xml:space="preserve">2014 </t>
  </si>
  <si>
    <t xml:space="preserve">2015 </t>
  </si>
  <si>
    <t xml:space="preserve">2017 </t>
  </si>
  <si>
    <t xml:space="preserve">2018 </t>
  </si>
  <si>
    <t xml:space="preserve">2019 </t>
  </si>
  <si>
    <t xml:space="preserve">Crime rank </t>
  </si>
  <si>
    <t xml:space="preserve">Average crime rate </t>
  </si>
  <si>
    <t>Column Labels</t>
  </si>
  <si>
    <t>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</si>
</sst>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1" fontId="0" fillId="0" borderId="0" xfId="0" applyNumberFormat="1"/>
    <xf numFmtId="0" fontId="0" fillId="34" borderId="10" xfId="0" applyFill="1" applyBorder="1"/>
    <xf numFmtId="0" fontId="0" fillId="0" borderId="10" xfId="0" applyBorder="1"/>
    <xf numFmtId="0" fontId="0" fillId="0" borderId="0" xfId="0" pivotButton="1"/>
    <xf numFmtId="1" fontId="0" fillId="34" borderId="10" xfId="0" applyNumberFormat="1" applyFill="1" applyBorder="1"/>
    <xf numFmtId="1" fontId="0" fillId="0" borderId="10" xfId="0" applyNumberFormat="1" applyBorder="1"/>
    <xf numFmtId="0" fontId="13" fillId="33" borderId="11" xfId="0" applyFont="1" applyFill="1" applyBorder="1"/>
    <xf numFmtId="1" fontId="13" fillId="33" borderId="11" xfId="0" applyNumberFormat="1" applyFont="1" applyFill="1" applyBorder="1"/>
    <xf numFmtId="0" fontId="0" fillId="0" borderId="12" xfId="0" applyBorder="1"/>
    <xf numFmtId="1" fontId="0" fillId="0" borderId="12" xfId="0" applyNumberFormat="1" applyBorder="1"/>
    <xf numFmtId="0" fontId="0" fillId="0" borderId="11" xfId="0" applyBorder="1"/>
    <xf numFmtId="0" fontId="0" fillId="0" borderId="0" xfId="0"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6">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numFmt numFmtId="0" formatCode="General"/>
    </dxf>
    <dxf>
      <numFmt numFmtId="1" formatCode="0"/>
    </dxf>
    <dxf>
      <numFmt numFmtId="1" formatCode="0"/>
    </dxf>
    <dxf>
      <numFmt numFmtId="1" formatCode="0"/>
    </dxf>
    <dxf>
      <numFmt numFmtId="1" formatCode="0"/>
    </dxf>
    <dxf>
      <numFmt numFmtId="0" formatCode="General"/>
    </dxf>
    <dxf>
      <numFmt numFmtId="0" formatCode="General"/>
    </dxf>
    <dxf>
      <fill>
        <patternFill>
          <bgColor theme="1" tint="0.499984740745262"/>
        </patternFill>
      </fill>
    </dxf>
  </dxfs>
  <tableStyles count="1" defaultTableStyle="TableStyleMedium2" defaultPivotStyle="PivotStyleLight16">
    <tableStyle name="Slicer Style 1" pivot="0" table="0" count="1" xr9:uid="{DD9DAD35-DB39-4332-A497-021E186AF5A7}">
      <tableStyleElement type="wholeTable" dxfId="85"/>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[Dashboard_Partial.xlsm]Temp Pivot !Overall_Temp</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Overall</a:t>
            </a:r>
            <a:r>
              <a:rPr lang="en-US" baseline="0"/>
              <a:t> Temperature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'Temp Pivot '!$C$3</c:f>
              <c:strCache>
                <c:ptCount val="1"/>
                <c:pt idx="0">
                  <c:v>Min Temperature </c:v>
                </c:pt>
              </c:strCache>
            </c:strRef>
          </c:tx>
          <c:spPr>
            <a:solidFill>
              <a:schemeClr val="accent6">
                <a:tint val="65000"/>
              </a:schemeClr>
            </a:solidFill>
            <a:ln>
              <a:noFill/>
            </a:ln>
            <a:effectLst/>
          </c:spPr>
          <c:invertIfNegative val="0"/>
          <c:cat>
            <c:multiLvlStrRef>
              <c:f>'Temp Pivot '!$A$4:$B$13</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'Temp Pivot '!$C$4:$C$13</c:f>
              <c:numCache>
                <c:formatCode>General</c:formatCode>
                <c:ptCount val="10"/>
                <c:pt idx="0">
                  <c:v>52</c:v>
                </c:pt>
                <c:pt idx="1">
                  <c:v>31</c:v>
                </c:pt>
                <c:pt idx="2">
                  <c:v>69</c:v>
                </c:pt>
                <c:pt idx="3">
                  <c:v>74</c:v>
                </c:pt>
                <c:pt idx="4">
                  <c:v>31</c:v>
                </c:pt>
                <c:pt idx="5">
                  <c:v>17</c:v>
                </c:pt>
                <c:pt idx="6">
                  <c:v>39</c:v>
                </c:pt>
                <c:pt idx="7">
                  <c:v>39</c:v>
                </c:pt>
                <c:pt idx="8">
                  <c:v>50</c:v>
                </c:pt>
                <c:pt idx="9">
                  <c:v>42</c:v>
                </c:pt>
              </c:numCache>
            </c:numRef>
          </c:val>
          <c:extLst>
            <c:ext xmlns:c16="http://schemas.microsoft.com/office/drawing/2014/chart" uri="{C3380CC4-5D6E-409C-BE32-E72D297353CC}">
              <c16:uniqueId val="{00000000-F078-4521-B8D6-DA5C0CB153E2}"/>
            </c:ext>
          </c:extLst>
        </c:ser>
        <c:ser>
          <c:idx val="1"/>
          <c:order val="1"/>
          <c:tx>
            <c:strRef>
              <c:f>'Temp Pivot '!$D$3</c:f>
              <c:strCache>
                <c:ptCount val="1"/>
                <c:pt idx="0">
                  <c:v>Max Temperature </c:v>
                </c:pt>
              </c:strCache>
            </c:strRef>
          </c:tx>
          <c:spPr>
            <a:solidFill>
              <a:schemeClr val="accent6"/>
            </a:solidFill>
            <a:ln>
              <a:noFill/>
            </a:ln>
            <a:effectLst/>
          </c:spPr>
          <c:invertIfNegative val="0"/>
          <c:cat>
            <c:multiLvlStrRef>
              <c:f>'Temp Pivot '!$A$4:$B$13</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'Temp Pivot '!$D$4:$D$13</c:f>
              <c:numCache>
                <c:formatCode>General</c:formatCode>
                <c:ptCount val="10"/>
                <c:pt idx="0">
                  <c:v>64</c:v>
                </c:pt>
                <c:pt idx="1">
                  <c:v>75</c:v>
                </c:pt>
                <c:pt idx="2">
                  <c:v>84</c:v>
                </c:pt>
                <c:pt idx="3">
                  <c:v>81</c:v>
                </c:pt>
                <c:pt idx="4">
                  <c:v>75</c:v>
                </c:pt>
                <c:pt idx="5">
                  <c:v>76</c:v>
                </c:pt>
                <c:pt idx="6">
                  <c:v>83</c:v>
                </c:pt>
                <c:pt idx="7">
                  <c:v>80</c:v>
                </c:pt>
                <c:pt idx="8">
                  <c:v>85</c:v>
                </c:pt>
                <c:pt idx="9">
                  <c:v>68</c:v>
                </c:pt>
              </c:numCache>
            </c:numRef>
          </c:val>
          <c:extLst>
            <c:ext xmlns:c16="http://schemas.microsoft.com/office/drawing/2014/chart" uri="{C3380CC4-5D6E-409C-BE32-E72D297353CC}">
              <c16:uniqueId val="{00000001-F078-4521-B8D6-DA5C0CB153E2}"/>
            </c:ext>
          </c:extLst>
        </c:ser>
        <c:ser>
          <c:idx val="2"/>
          <c:order val="2"/>
          <c:tx>
            <c:strRef>
              <c:f>'Temp Pivot '!$E$3</c:f>
              <c:strCache>
                <c:ptCount val="1"/>
                <c:pt idx="0">
                  <c:v>Avg Temperature </c:v>
                </c:pt>
              </c:strCache>
            </c:strRef>
          </c:tx>
          <c:spPr>
            <a:solidFill>
              <a:schemeClr val="accent6">
                <a:shade val="65000"/>
              </a:schemeClr>
            </a:solidFill>
            <a:ln>
              <a:noFill/>
            </a:ln>
            <a:effectLst/>
          </c:spPr>
          <c:invertIfNegative val="0"/>
          <c:cat>
            <c:multiLvlStrRef>
              <c:f>'Temp Pivot '!$A$4:$B$13</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'Temp Pivot '!$E$4:$E$13</c:f>
              <c:numCache>
                <c:formatCode>General</c:formatCode>
                <c:ptCount val="10"/>
                <c:pt idx="0">
                  <c:v>57.916666666666664</c:v>
                </c:pt>
                <c:pt idx="1">
                  <c:v>51.166666666666664</c:v>
                </c:pt>
                <c:pt idx="2">
                  <c:v>77.583333333333329</c:v>
                </c:pt>
                <c:pt idx="3">
                  <c:v>77.583333333333329</c:v>
                </c:pt>
                <c:pt idx="4">
                  <c:v>52.5</c:v>
                </c:pt>
                <c:pt idx="5">
                  <c:v>47.5</c:v>
                </c:pt>
                <c:pt idx="6">
                  <c:v>61.166666666666664</c:v>
                </c:pt>
                <c:pt idx="7">
                  <c:v>60.833333333333336</c:v>
                </c:pt>
                <c:pt idx="8">
                  <c:v>68.416666666666671</c:v>
                </c:pt>
                <c:pt idx="9">
                  <c:v>53.333333333333336</c:v>
                </c:pt>
              </c:numCache>
            </c:numRef>
          </c:val>
          <c:extLst>
            <c:ext xmlns:c16="http://schemas.microsoft.com/office/drawing/2014/chart" uri="{C3380CC4-5D6E-409C-BE32-E72D297353CC}">
              <c16:uniqueId val="{00000002-F078-4521-B8D6-DA5C0CB153E2}"/>
            </c:ext>
          </c:extLst>
        </c:ser>
        <c:dLbls>
          <c:showLegendKey val="0"/>
          <c:showVal val="0"/>
          <c:showCatName val="0"/>
          <c:showSerName val="0"/>
          <c:showPercent val="0"/>
          <c:showBubbleSize val="0"/>
        </c:dLbls>
        <c:gapWidth val="150"/>
        <c:axId val="82895823"/>
        <c:axId val="82890063"/>
      </c:barChart>
      <c:catAx>
        <c:axId val="828958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890063"/>
        <c:crosses val="autoZero"/>
        <c:auto val="1"/>
        <c:lblAlgn val="ctr"/>
        <c:lblOffset val="100"/>
        <c:noMultiLvlLbl val="0"/>
      </c:catAx>
      <c:valAx>
        <c:axId val="828900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8958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[Dashboard_Partial.xlsm]Rest Pivot!Overall_Restaurents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Overall</a:t>
            </a:r>
            <a:r>
              <a:rPr lang="en-US" baseline="0"/>
              <a:t> Restaurants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'Rest Pivot'!$C$1</c:f>
              <c:strCache>
                <c:ptCount val="1"/>
                <c:pt idx="0">
                  <c:v>Total</c:v>
                </c:pt>
              </c:strCache>
            </c:strRef>
          </c:tx>
          <c:spPr>
            <a:solidFill>
              <a:schemeClr val="accent6"/>
            </a:solidFill>
            <a:ln>
              <a:noFill/>
            </a:ln>
            <a:effectLst/>
          </c:spPr>
          <c:invertIfNegative val="0"/>
          <c:cat>
            <c:multiLvlStrRef>
              <c:f>'Rest Pivot'!$A$2:$B$11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Pivot'!$C$2:$C$11</c:f>
              <c:numCache>
                <c:formatCode>General</c:formatCode>
                <c:ptCount val="10"/>
                <c:pt idx="0">
                  <c:v>9775</c:v>
                </c:pt>
                <c:pt idx="1">
                  <c:v>5077</c:v>
                </c:pt>
                <c:pt idx="2">
                  <c:v>11589</c:v>
                </c:pt>
                <c:pt idx="3">
                  <c:v>2315</c:v>
                </c:pt>
                <c:pt idx="4">
                  <c:v>9089</c:v>
                </c:pt>
                <c:pt idx="5">
                  <c:v>4155</c:v>
                </c:pt>
                <c:pt idx="6">
                  <c:v>1643</c:v>
                </c:pt>
                <c:pt idx="7">
                  <c:v>2735</c:v>
                </c:pt>
                <c:pt idx="8">
                  <c:v>3353</c:v>
                </c:pt>
                <c:pt idx="9">
                  <c:v>6882</c:v>
                </c:pt>
              </c:numCache>
            </c:numRef>
          </c:val>
          <c:extLst>
            <c:ext xmlns:c16="http://schemas.microsoft.com/office/drawing/2014/chart" uri="{C3380CC4-5D6E-409C-BE32-E72D297353CC}">
              <c16:uniqueId val="{00000000-4729-4DAA-88FE-84898CB36C0A}"/>
            </c:ext>
          </c:extLst>
        </c:ser>
        <c:dLbls>
          <c:showLegendKey val="0"/>
          <c:showVal val="0"/>
          <c:showCatName val="0"/>
          <c:showSerName val="0"/>
          <c:showPercent val="0"/>
          <c:showBubbleSize val="0"/>
        </c:dLbls>
        <c:gapWidth val="182"/>
        <c:overlap val="100"/>
        <c:axId val="67305407"/>
        <c:axId val="67305887"/>
      </c:barChart>
      <c:catAx>
        <c:axId val="673054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05887"/>
        <c:crosses val="autoZero"/>
        <c:auto val="1"/>
        <c:lblAlgn val="ctr"/>
        <c:lblOffset val="100"/>
        <c:noMultiLvlLbl val="0"/>
      </c:catAx>
      <c:valAx>
        <c:axId val="6730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[Dashboard_Partial.xlsm]Hosp Pivot !Overall_Hospital</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Overall</a:t>
            </a:r>
            <a:r>
              <a:rPr lang="en-US" baseline="0"/>
              <a:t> Hospitals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'Hosp Pivot '!$C$1</c:f>
              <c:strCache>
                <c:ptCount val="1"/>
                <c:pt idx="0">
                  <c:v>Total</c:v>
                </c:pt>
              </c:strCache>
            </c:strRef>
          </c:tx>
          <c:spPr>
            <a:solidFill>
              <a:schemeClr val="accent6"/>
            </a:solidFill>
            <a:ln>
              <a:noFill/>
            </a:ln>
            <a:effectLst/>
          </c:spPr>
          <c:invertIfNegative val="0"/>
          <c:cat>
            <c:multiLvlStrRef>
              <c:f>'Hosp Pivot '!$A$2:$B$11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'!$C$2:$C$11</c:f>
              <c:numCache>
                <c:formatCode>General</c:formatCode>
                <c:ptCount val="10"/>
                <c:pt idx="0">
                  <c:v>17</c:v>
                </c:pt>
                <c:pt idx="1">
                  <c:v>15</c:v>
                </c:pt>
                <c:pt idx="2">
                  <c:v>1</c:v>
                </c:pt>
                <c:pt idx="3">
                  <c:v>9</c:v>
                </c:pt>
                <c:pt idx="4">
                  <c:v>22</c:v>
                </c:pt>
                <c:pt idx="5">
                  <c:v>7</c:v>
                </c:pt>
                <c:pt idx="6">
                  <c:v>24</c:v>
                </c:pt>
                <c:pt idx="7">
                  <c:v>13</c:v>
                </c:pt>
                <c:pt idx="8">
                  <c:v>27</c:v>
                </c:pt>
                <c:pt idx="9">
                  <c:v>15</c:v>
                </c:pt>
              </c:numCache>
            </c:numRef>
          </c:val>
          <c:extLst>
            <c:ext xmlns:c16="http://schemas.microsoft.com/office/drawing/2014/chart" uri="{C3380CC4-5D6E-409C-BE32-E72D297353CC}">
              <c16:uniqueId val="{00000000-7E2F-4C02-A21E-11A0396FE7D0}"/>
            </c:ext>
          </c:extLst>
        </c:ser>
        <c:dLbls>
          <c:showLegendKey val="0"/>
          <c:showVal val="0"/>
          <c:showCatName val="0"/>
          <c:showSerName val="0"/>
          <c:showPercent val="0"/>
          <c:showBubbleSize val="0"/>
        </c:dLbls>
        <c:gapWidth val="219"/>
        <c:overlap val="-27"/>
        <c:axId val="98677743"/>
        <c:axId val="98674383"/>
      </c:barChart>
      <c:catAx>
        <c:axId val="98677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74383"/>
        <c:crosses val="autoZero"/>
        <c:auto val="1"/>
        <c:lblAlgn val="ctr"/>
        <c:lblOffset val="100"/>
        <c:noMultiLvlLbl val="0"/>
      </c:catAx>
      <c:valAx>
        <c:axId val="9867438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77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[Dashboard_Partial.xlsm]Rest Pivot!Rest_Types</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Cuisine Type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'Rest Pivot'!$H$1</c:f>
              <c:strCache>
                <c:ptCount val="1"/>
                <c:pt idx="0">
                  <c:v>American </c:v>
                </c:pt>
              </c:strCache>
            </c:strRef>
          </c:tx>
          <c:spPr>
            <a:solidFill>
              <a:schemeClr val="accent6">
                <a:tint val="41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Pivot'!$H$2:$H$11</c:f>
              <c:numCache>
                <c:formatCode>General</c:formatCode>
                <c:ptCount val="10"/>
                <c:pt idx="0">
                  <c:v>1813</c:v>
                </c:pt>
                <c:pt idx="1">
                  <c:v>1371</c:v>
                </c:pt>
                <c:pt idx="2">
                  <c:v>3061</c:v>
                </c:pt>
                <c:pt idx="3">
                  <c:v>528</c:v>
                </c:pt>
                <c:pt idx="4">
                  <c:v>2525</c:v>
                </c:pt>
                <c:pt idx="5">
                  <c:v>1483</c:v>
                </c:pt>
                <c:pt idx="6">
                  <c:v>508</c:v>
                </c:pt>
                <c:pt idx="7">
                  <c:v>990</c:v>
                </c:pt>
                <c:pt idx="8">
                  <c:v>781</c:v>
                </c:pt>
                <c:pt idx="9">
                  <c:v>1549</c:v>
                </c:pt>
              </c:numCache>
            </c:numRef>
          </c:val>
          <c:extLst>
            <c:ext xmlns:c16="http://schemas.microsoft.com/office/drawing/2014/chart" uri="{C3380CC4-5D6E-409C-BE32-E72D297353CC}">
              <c16:uniqueId val="{00000000-7DF2-46A0-A3AA-5164A3A43B48}"/>
            </c:ext>
          </c:extLst>
        </c:ser>
        <c:ser>
          <c:idx val="1"/>
          <c:order val="1"/>
          <c:tx>
            <c:strRef>
              <c:f>'Rest Pivot'!$I$1</c:f>
              <c:strCache>
                <c:ptCount val="1"/>
                <c:pt idx="0">
                  <c:v>Café </c:v>
                </c:pt>
              </c:strCache>
            </c:strRef>
          </c:tx>
          <c:spPr>
            <a:solidFill>
              <a:schemeClr val="accent6">
                <a:tint val="52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Pivot'!$I$2:$I$11</c:f>
              <c:numCache>
                <c:formatCode>General</c:formatCode>
                <c:ptCount val="10"/>
                <c:pt idx="0">
                  <c:v>829</c:v>
                </c:pt>
                <c:pt idx="1">
                  <c:v>326</c:v>
                </c:pt>
                <c:pt idx="2">
                  <c:v>730</c:v>
                </c:pt>
                <c:pt idx="3">
                  <c:v>154</c:v>
                </c:pt>
                <c:pt idx="4">
                  <c:v>583</c:v>
                </c:pt>
                <c:pt idx="5">
                  <c:v>256</c:v>
                </c:pt>
                <c:pt idx="6">
                  <c:v>102</c:v>
                </c:pt>
                <c:pt idx="7">
                  <c:v>159</c:v>
                </c:pt>
                <c:pt idx="8">
                  <c:v>218</c:v>
                </c:pt>
                <c:pt idx="9">
                  <c:v>545</c:v>
                </c:pt>
              </c:numCache>
            </c:numRef>
          </c:val>
          <c:extLst>
            <c:ext xmlns:c16="http://schemas.microsoft.com/office/drawing/2014/chart" uri="{C3380CC4-5D6E-409C-BE32-E72D297353CC}">
              <c16:uniqueId val="{00000001-7DF2-46A0-A3AA-5164A3A43B48}"/>
            </c:ext>
          </c:extLst>
        </c:ser>
        <c:ser>
          <c:idx val="2"/>
          <c:order val="2"/>
          <c:tx>
            <c:strRef>
              <c:f>'Rest Pivot'!$J$1</c:f>
              <c:strCache>
                <c:ptCount val="1"/>
                <c:pt idx="0">
                  <c:v>Deserts </c:v>
                </c:pt>
              </c:strCache>
            </c:strRef>
          </c:tx>
          <c:spPr>
            <a:solidFill>
              <a:schemeClr val="accent6">
                <a:tint val="63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Pivot'!$J$2:$J$11</c:f>
              <c:numCache>
                <c:formatCode>General</c:formatCode>
                <c:ptCount val="10"/>
                <c:pt idx="0">
                  <c:v>350</c:v>
                </c:pt>
                <c:pt idx="1">
                  <c:v>195</c:v>
                </c:pt>
                <c:pt idx="2">
                  <c:v>556</c:v>
                </c:pt>
                <c:pt idx="3">
                  <c:v>81</c:v>
                </c:pt>
                <c:pt idx="4">
                  <c:v>370</c:v>
                </c:pt>
                <c:pt idx="5">
                  <c:v>178</c:v>
                </c:pt>
                <c:pt idx="6">
                  <c:v>55</c:v>
                </c:pt>
                <c:pt idx="7">
                  <c:v>107</c:v>
                </c:pt>
                <c:pt idx="8">
                  <c:v>113</c:v>
                </c:pt>
                <c:pt idx="9">
                  <c:v>214</c:v>
                </c:pt>
              </c:numCache>
            </c:numRef>
          </c:val>
          <c:extLst>
            <c:ext xmlns:c16="http://schemas.microsoft.com/office/drawing/2014/chart" uri="{C3380CC4-5D6E-409C-BE32-E72D297353CC}">
              <c16:uniqueId val="{00000002-7DF2-46A0-A3AA-5164A3A43B48}"/>
            </c:ext>
          </c:extLst>
        </c:ser>
        <c:ser>
          <c:idx val="3"/>
          <c:order val="3"/>
          <c:tx>
            <c:strRef>
              <c:f>'Rest Pivot'!$K$1</c:f>
              <c:strCache>
                <c:ptCount val="1"/>
                <c:pt idx="0">
                  <c:v>Others </c:v>
                </c:pt>
              </c:strCache>
            </c:strRef>
          </c:tx>
          <c:spPr>
            <a:solidFill>
              <a:schemeClr val="accent6">
                <a:tint val="74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Pivot'!$K$2:$K$11</c:f>
              <c:numCache>
                <c:formatCode>General</c:formatCode>
                <c:ptCount val="10"/>
                <c:pt idx="0">
                  <c:v>2756</c:v>
                </c:pt>
                <c:pt idx="1">
                  <c:v>1105</c:v>
                </c:pt>
                <c:pt idx="2">
                  <c:v>2798</c:v>
                </c:pt>
                <c:pt idx="3">
                  <c:v>545</c:v>
                </c:pt>
                <c:pt idx="4">
                  <c:v>1907</c:v>
                </c:pt>
                <c:pt idx="5">
                  <c:v>729</c:v>
                </c:pt>
                <c:pt idx="6">
                  <c:v>363</c:v>
                </c:pt>
                <c:pt idx="7">
                  <c:v>528</c:v>
                </c:pt>
                <c:pt idx="8">
                  <c:v>864</c:v>
                </c:pt>
                <c:pt idx="9">
                  <c:v>1625</c:v>
                </c:pt>
              </c:numCache>
            </c:numRef>
          </c:val>
          <c:extLst>
            <c:ext xmlns:c16="http://schemas.microsoft.com/office/drawing/2014/chart" uri="{C3380CC4-5D6E-409C-BE32-E72D297353CC}">
              <c16:uniqueId val="{00000003-7DF2-46A0-A3AA-5164A3A43B48}"/>
            </c:ext>
          </c:extLst>
        </c:ser>
        <c:ser>
          <c:idx val="4"/>
          <c:order val="4"/>
          <c:tx>
            <c:strRef>
              <c:f>'Rest Pivot'!$L$1</c:f>
              <c:strCache>
                <c:ptCount val="1"/>
                <c:pt idx="0">
                  <c:v>Italian </c:v>
                </c:pt>
              </c:strCache>
            </c:strRef>
          </c:tx>
          <c:spPr>
            <a:solidFill>
              <a:schemeClr val="accent6">
                <a:tint val="84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Pivot'!$L$2:$L$11</c:f>
              <c:numCache>
                <c:formatCode>General</c:formatCode>
                <c:ptCount val="10"/>
                <c:pt idx="0">
                  <c:v>871</c:v>
                </c:pt>
                <c:pt idx="1">
                  <c:v>496</c:v>
                </c:pt>
                <c:pt idx="2">
                  <c:v>1549</c:v>
                </c:pt>
                <c:pt idx="3">
                  <c:v>131</c:v>
                </c:pt>
                <c:pt idx="4">
                  <c:v>1709</c:v>
                </c:pt>
                <c:pt idx="5">
                  <c:v>457</c:v>
                </c:pt>
                <c:pt idx="6">
                  <c:v>153</c:v>
                </c:pt>
                <c:pt idx="7">
                  <c:v>252</c:v>
                </c:pt>
                <c:pt idx="8">
                  <c:v>277</c:v>
                </c:pt>
                <c:pt idx="9">
                  <c:v>584</c:v>
                </c:pt>
              </c:numCache>
            </c:numRef>
          </c:val>
          <c:extLst>
            <c:ext xmlns:c16="http://schemas.microsoft.com/office/drawing/2014/chart" uri="{C3380CC4-5D6E-409C-BE32-E72D297353CC}">
              <c16:uniqueId val="{00000004-7DF2-46A0-A3AA-5164A3A43B48}"/>
            </c:ext>
          </c:extLst>
        </c:ser>
        <c:ser>
          <c:idx val="5"/>
          <c:order val="5"/>
          <c:tx>
            <c:strRef>
              <c:f>'Rest Pivot'!$M$1</c:f>
              <c:strCache>
                <c:ptCount val="1"/>
                <c:pt idx="0">
                  <c:v>Mexican </c:v>
                </c:pt>
              </c:strCache>
            </c:strRef>
          </c:tx>
          <c:spPr>
            <a:solidFill>
              <a:schemeClr val="accent6">
                <a:tint val="95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Pivot'!$M$2:$M$11</c:f>
              <c:numCache>
                <c:formatCode>General</c:formatCode>
                <c:ptCount val="10"/>
                <c:pt idx="0">
                  <c:v>620</c:v>
                </c:pt>
                <c:pt idx="1">
                  <c:v>552</c:v>
                </c:pt>
                <c:pt idx="2">
                  <c:v>955</c:v>
                </c:pt>
                <c:pt idx="3">
                  <c:v>62</c:v>
                </c:pt>
                <c:pt idx="4">
                  <c:v>366</c:v>
                </c:pt>
                <c:pt idx="5">
                  <c:v>251</c:v>
                </c:pt>
                <c:pt idx="6">
                  <c:v>168</c:v>
                </c:pt>
                <c:pt idx="7">
                  <c:v>225</c:v>
                </c:pt>
                <c:pt idx="8">
                  <c:v>405</c:v>
                </c:pt>
                <c:pt idx="9">
                  <c:v>438</c:v>
                </c:pt>
              </c:numCache>
            </c:numRef>
          </c:val>
          <c:extLst>
            <c:ext xmlns:c16="http://schemas.microsoft.com/office/drawing/2014/chart" uri="{C3380CC4-5D6E-409C-BE32-E72D297353CC}">
              <c16:uniqueId val="{00000005-7DF2-46A0-A3AA-5164A3A43B48}"/>
            </c:ext>
          </c:extLst>
        </c:ser>
        <c:ser>
          <c:idx val="6"/>
          <c:order val="6"/>
          <c:tx>
            <c:strRef>
              <c:f>'Rest Pivot'!$N$1</c:f>
              <c:strCache>
                <c:ptCount val="1"/>
                <c:pt idx="0">
                  <c:v>Barbecue </c:v>
                </c:pt>
              </c:strCache>
            </c:strRef>
          </c:tx>
          <c:spPr>
            <a:solidFill>
              <a:schemeClr val="accent6">
                <a:shade val="94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Pivot'!$N$2:$N$11</c:f>
              <c:numCache>
                <c:formatCode>General</c:formatCode>
                <c:ptCount val="10"/>
                <c:pt idx="0">
                  <c:v>104</c:v>
                </c:pt>
                <c:pt idx="1">
                  <c:v>53</c:v>
                </c:pt>
                <c:pt idx="2">
                  <c:v>118</c:v>
                </c:pt>
                <c:pt idx="3">
                  <c:v>46</c:v>
                </c:pt>
                <c:pt idx="4">
                  <c:v>58</c:v>
                </c:pt>
                <c:pt idx="5">
                  <c:v>23</c:v>
                </c:pt>
                <c:pt idx="6">
                  <c:v>29</c:v>
                </c:pt>
                <c:pt idx="7">
                  <c:v>60</c:v>
                </c:pt>
                <c:pt idx="8">
                  <c:v>92</c:v>
                </c:pt>
                <c:pt idx="9">
                  <c:v>60</c:v>
                </c:pt>
              </c:numCache>
            </c:numRef>
          </c:val>
          <c:extLst>
            <c:ext xmlns:c16="http://schemas.microsoft.com/office/drawing/2014/chart" uri="{C3380CC4-5D6E-409C-BE32-E72D297353CC}">
              <c16:uniqueId val="{00000006-7DF2-46A0-A3AA-5164A3A43B48}"/>
            </c:ext>
          </c:extLst>
        </c:ser>
        <c:ser>
          <c:idx val="7"/>
          <c:order val="7"/>
          <c:tx>
            <c:strRef>
              <c:f>'Rest Pivot'!$O$1</c:f>
              <c:strCache>
                <c:ptCount val="1"/>
                <c:pt idx="0">
                  <c:v>Healthy </c:v>
                </c:pt>
              </c:strCache>
            </c:strRef>
          </c:tx>
          <c:spPr>
            <a:solidFill>
              <a:schemeClr val="accent6">
                <a:shade val="83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Pivot'!$O$2:$O$11</c:f>
              <c:numCache>
                <c:formatCode>General</c:formatCode>
                <c:ptCount val="10"/>
                <c:pt idx="0">
                  <c:v>39</c:v>
                </c:pt>
                <c:pt idx="1">
                  <c:v>29</c:v>
                </c:pt>
                <c:pt idx="2">
                  <c:v>159</c:v>
                </c:pt>
                <c:pt idx="3">
                  <c:v>19</c:v>
                </c:pt>
                <c:pt idx="4">
                  <c:v>44</c:v>
                </c:pt>
                <c:pt idx="5">
                  <c:v>17</c:v>
                </c:pt>
                <c:pt idx="6">
                  <c:v>8</c:v>
                </c:pt>
                <c:pt idx="7">
                  <c:v>21</c:v>
                </c:pt>
                <c:pt idx="8">
                  <c:v>31</c:v>
                </c:pt>
                <c:pt idx="9">
                  <c:v>35</c:v>
                </c:pt>
              </c:numCache>
            </c:numRef>
          </c:val>
          <c:extLst>
            <c:ext xmlns:c16="http://schemas.microsoft.com/office/drawing/2014/chart" uri="{C3380CC4-5D6E-409C-BE32-E72D297353CC}">
              <c16:uniqueId val="{00000007-7DF2-46A0-A3AA-5164A3A43B48}"/>
            </c:ext>
          </c:extLst>
        </c:ser>
        <c:ser>
          <c:idx val="8"/>
          <c:order val="8"/>
          <c:tx>
            <c:strRef>
              <c:f>'Rest Pivot'!$P$1</c:f>
              <c:strCache>
                <c:ptCount val="1"/>
                <c:pt idx="0">
                  <c:v>Bar and Pub </c:v>
                </c:pt>
              </c:strCache>
            </c:strRef>
          </c:tx>
          <c:spPr>
            <a:solidFill>
              <a:schemeClr val="accent6">
                <a:shade val="73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Pivot'!$P$2:$P$11</c:f>
              <c:numCache>
                <c:formatCode>General</c:formatCode>
                <c:ptCount val="10"/>
                <c:pt idx="0">
                  <c:v>304</c:v>
                </c:pt>
                <c:pt idx="1">
                  <c:v>239</c:v>
                </c:pt>
                <c:pt idx="2">
                  <c:v>409</c:v>
                </c:pt>
                <c:pt idx="3">
                  <c:v>59</c:v>
                </c:pt>
                <c:pt idx="4">
                  <c:v>244</c:v>
                </c:pt>
                <c:pt idx="5">
                  <c:v>143</c:v>
                </c:pt>
                <c:pt idx="6">
                  <c:v>54</c:v>
                </c:pt>
                <c:pt idx="7">
                  <c:v>120</c:v>
                </c:pt>
                <c:pt idx="8">
                  <c:v>150</c:v>
                </c:pt>
                <c:pt idx="9">
                  <c:v>344</c:v>
                </c:pt>
              </c:numCache>
            </c:numRef>
          </c:val>
          <c:extLst>
            <c:ext xmlns:c16="http://schemas.microsoft.com/office/drawing/2014/chart" uri="{C3380CC4-5D6E-409C-BE32-E72D297353CC}">
              <c16:uniqueId val="{00000008-7DF2-46A0-A3AA-5164A3A43B48}"/>
            </c:ext>
          </c:extLst>
        </c:ser>
        <c:ser>
          <c:idx val="9"/>
          <c:order val="9"/>
          <c:tx>
            <c:strRef>
              <c:f>'Rest Pivot'!$Q$1</c:f>
              <c:strCache>
                <c:ptCount val="1"/>
                <c:pt idx="0">
                  <c:v>Asian </c:v>
                </c:pt>
              </c:strCache>
            </c:strRef>
          </c:tx>
          <c:spPr>
            <a:solidFill>
              <a:schemeClr val="accent6">
                <a:shade val="62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Pivot'!$Q$2:$Q$11</c:f>
              <c:numCache>
                <c:formatCode>General</c:formatCode>
                <c:ptCount val="10"/>
                <c:pt idx="0">
                  <c:v>1846</c:v>
                </c:pt>
                <c:pt idx="1">
                  <c:v>636</c:v>
                </c:pt>
                <c:pt idx="2">
                  <c:v>1160</c:v>
                </c:pt>
                <c:pt idx="3">
                  <c:v>673</c:v>
                </c:pt>
                <c:pt idx="4">
                  <c:v>1150</c:v>
                </c:pt>
                <c:pt idx="5">
                  <c:v>570</c:v>
                </c:pt>
                <c:pt idx="6">
                  <c:v>189</c:v>
                </c:pt>
                <c:pt idx="7">
                  <c:v>244</c:v>
                </c:pt>
                <c:pt idx="8">
                  <c:v>360</c:v>
                </c:pt>
                <c:pt idx="9">
                  <c:v>1364</c:v>
                </c:pt>
              </c:numCache>
            </c:numRef>
          </c:val>
          <c:extLst>
            <c:ext xmlns:c16="http://schemas.microsoft.com/office/drawing/2014/chart" uri="{C3380CC4-5D6E-409C-BE32-E72D297353CC}">
              <c16:uniqueId val="{00000009-7DF2-46A0-A3AA-5164A3A43B48}"/>
            </c:ext>
          </c:extLst>
        </c:ser>
        <c:ser>
          <c:idx val="10"/>
          <c:order val="10"/>
          <c:tx>
            <c:strRef>
              <c:f>'Rest Pivot'!$R$1</c:f>
              <c:strCache>
                <c:ptCount val="1"/>
                <c:pt idx="0">
                  <c:v>Afghan </c:v>
                </c:pt>
              </c:strCache>
            </c:strRef>
          </c:tx>
          <c:spPr>
            <a:solidFill>
              <a:schemeClr val="accent6">
                <a:shade val="51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Pivot'!$R$2:$R$11</c:f>
              <c:numCache>
                <c:formatCode>General</c:formatCode>
                <c:ptCount val="10"/>
                <c:pt idx="0">
                  <c:v>52</c:v>
                </c:pt>
                <c:pt idx="1">
                  <c:v>7</c:v>
                </c:pt>
                <c:pt idx="2">
                  <c:v>27</c:v>
                </c:pt>
                <c:pt idx="3">
                  <c:v>2</c:v>
                </c:pt>
                <c:pt idx="4">
                  <c:v>36</c:v>
                </c:pt>
                <c:pt idx="5">
                  <c:v>7</c:v>
                </c:pt>
                <c:pt idx="7">
                  <c:v>10</c:v>
                </c:pt>
                <c:pt idx="8">
                  <c:v>17</c:v>
                </c:pt>
                <c:pt idx="9">
                  <c:v>17</c:v>
                </c:pt>
              </c:numCache>
            </c:numRef>
          </c:val>
          <c:extLst>
            <c:ext xmlns:c16="http://schemas.microsoft.com/office/drawing/2014/chart" uri="{C3380CC4-5D6E-409C-BE32-E72D297353CC}">
              <c16:uniqueId val="{0000000A-7DF2-46A0-A3AA-5164A3A43B48}"/>
            </c:ext>
          </c:extLst>
        </c:ser>
        <c:ser>
          <c:idx val="11"/>
          <c:order val="11"/>
          <c:tx>
            <c:strRef>
              <c:f>'Rest Pivot'!$S$1</c:f>
              <c:strCache>
                <c:ptCount val="1"/>
                <c:pt idx="0">
                  <c:v>Indian </c:v>
                </c:pt>
              </c:strCache>
            </c:strRef>
          </c:tx>
          <c:spPr>
            <a:solidFill>
              <a:schemeClr val="accent6">
                <a:shade val="40000"/>
              </a:schemeClr>
            </a:solidFill>
            <a:ln>
              <a:noFill/>
            </a:ln>
            <a:effectLst/>
          </c:spPr>
          <c:invertIfNegative val="0"/>
          <c:cat>
            <c:multiLvlStrRef>
              <c:f>'Rest Pivot'!$F$2:$G$11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'Rest Pivot'!$S$2:$S$11</c:f>
              <c:numCache>
                <c:formatCode>General</c:formatCode>
                <c:ptCount val="10"/>
                <c:pt idx="0">
                  <c:v>191</c:v>
                </c:pt>
                <c:pt idx="1">
                  <c:v>68</c:v>
                </c:pt>
                <c:pt idx="2">
                  <c:v>67</c:v>
                </c:pt>
                <c:pt idx="3">
                  <c:v>15</c:v>
                </c:pt>
                <c:pt idx="4">
                  <c:v>97</c:v>
                </c:pt>
                <c:pt idx="5">
                  <c:v>41</c:v>
                </c:pt>
                <c:pt idx="6">
                  <c:v>14</c:v>
                </c:pt>
                <c:pt idx="7">
                  <c:v>19</c:v>
                </c:pt>
                <c:pt idx="8">
                  <c:v>45</c:v>
                </c:pt>
                <c:pt idx="9">
                  <c:v>107</c:v>
                </c:pt>
              </c:numCache>
            </c:numRef>
          </c:val>
          <c:extLst>
            <c:ext xmlns:c16="http://schemas.microsoft.com/office/drawing/2014/chart" uri="{C3380CC4-5D6E-409C-BE32-E72D297353CC}">
              <c16:uniqueId val="{0000000B-7DF2-46A0-A3AA-5164A3A43B48}"/>
            </c:ext>
          </c:extLst>
        </c:ser>
        <c:dLbls>
          <c:showLegendKey val="0"/>
          <c:showVal val="0"/>
          <c:showCatName val="0"/>
          <c:showSerName val="0"/>
          <c:showPercent val="0"/>
          <c:showBubbleSize val="0"/>
        </c:dLbls>
        <c:gapWidth val="182"/>
        <c:axId val="231218799"/>
        <c:axId val="231247039"/>
      </c:barChart>
      <c:catAx>
        <c:axId val="2312187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247039"/>
        <c:crosses val="autoZero"/>
        <c:auto val="1"/>
        <c:lblAlgn val="ctr"/>
        <c:lblOffset val="100"/>
        <c:noMultiLvlLbl val="0"/>
      </c:catAx>
      <c:valAx>
        <c:axId val="2312470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218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[Dashboard_Partial.xlsm]Hosp Pivot !Hosp_Type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Type</a:t>
            </a:r>
            <a:r>
              <a:rPr lang="en-US" baseline="0"/>
              <a:t> of Hospitals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'Hosp Pivot '!$J$1</c:f>
              <c:strCache>
                <c:ptCount val="1"/>
                <c:pt idx="0">
                  <c:v>GENERAL ACUTE CARE </c:v>
                </c:pt>
              </c:strCache>
            </c:strRef>
          </c:tx>
          <c:spPr>
            <a:solidFill>
              <a:schemeClr val="accent6">
                <a:tint val="43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'!$J$2:$J$11</c:f>
              <c:numCache>
                <c:formatCode>General</c:formatCode>
                <c:ptCount val="10"/>
                <c:pt idx="0">
                  <c:v>13</c:v>
                </c:pt>
                <c:pt idx="1">
                  <c:v>7</c:v>
                </c:pt>
                <c:pt idx="2">
                  <c:v>1</c:v>
                </c:pt>
                <c:pt idx="3">
                  <c:v>4</c:v>
                </c:pt>
                <c:pt idx="4">
                  <c:v>14</c:v>
                </c:pt>
                <c:pt idx="5">
                  <c:v>6</c:v>
                </c:pt>
                <c:pt idx="6">
                  <c:v>11</c:v>
                </c:pt>
                <c:pt idx="7">
                  <c:v>8</c:v>
                </c:pt>
                <c:pt idx="8">
                  <c:v>12</c:v>
                </c:pt>
                <c:pt idx="9">
                  <c:v>8</c:v>
                </c:pt>
              </c:numCache>
            </c:numRef>
          </c:val>
          <c:extLst>
            <c:ext xmlns:c16="http://schemas.microsoft.com/office/drawing/2014/chart" uri="{C3380CC4-5D6E-409C-BE32-E72D297353CC}">
              <c16:uniqueId val="{00000000-0F0F-43A1-BCEE-2823CB74C77D}"/>
            </c:ext>
          </c:extLst>
        </c:ser>
        <c:ser>
          <c:idx val="1"/>
          <c:order val="1"/>
          <c:tx>
            <c:strRef>
              <c:f>'Hosp Pivot '!$K$1</c:f>
              <c:strCache>
                <c:ptCount val="1"/>
                <c:pt idx="0">
                  <c:v>SPECIAL </c:v>
                </c:pt>
              </c:strCache>
            </c:strRef>
          </c:tx>
          <c:spPr>
            <a:solidFill>
              <a:schemeClr val="accent6">
                <a:tint val="56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'!$K$2:$K$11</c:f>
              <c:numCache>
                <c:formatCode>General</c:formatCode>
                <c:ptCount val="10"/>
                <c:pt idx="0">
                  <c:v>0</c:v>
                </c:pt>
                <c:pt idx="1">
                  <c:v>1</c:v>
                </c:pt>
                <c:pt idx="2">
                  <c:v>0</c:v>
                </c:pt>
                <c:pt idx="3">
                  <c:v>1</c:v>
                </c:pt>
                <c:pt idx="4">
                  <c:v>0</c:v>
                </c:pt>
                <c:pt idx="5">
                  <c:v>0</c:v>
                </c:pt>
                <c:pt idx="6">
                  <c:v>6</c:v>
                </c:pt>
                <c:pt idx="7">
                  <c:v>0</c:v>
                </c:pt>
                <c:pt idx="8">
                  <c:v>2</c:v>
                </c:pt>
                <c:pt idx="9">
                  <c:v>1</c:v>
                </c:pt>
              </c:numCache>
            </c:numRef>
          </c:val>
          <c:extLst>
            <c:ext xmlns:c16="http://schemas.microsoft.com/office/drawing/2014/chart" uri="{C3380CC4-5D6E-409C-BE32-E72D297353CC}">
              <c16:uniqueId val="{00000001-0F0F-43A1-BCEE-2823CB74C77D}"/>
            </c:ext>
          </c:extLst>
        </c:ser>
        <c:ser>
          <c:idx val="2"/>
          <c:order val="2"/>
          <c:tx>
            <c:strRef>
              <c:f>'Hosp Pivot '!$L$1</c:f>
              <c:strCache>
                <c:ptCount val="1"/>
                <c:pt idx="0">
                  <c:v>CHILDREN </c:v>
                </c:pt>
              </c:strCache>
            </c:strRef>
          </c:tx>
          <c:spPr>
            <a:solidFill>
              <a:schemeClr val="accent6">
                <a:tint val="69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'!$L$2:$L$11</c:f>
              <c:numCache>
                <c:formatCode>General</c:formatCode>
                <c:ptCount val="10"/>
                <c:pt idx="0">
                  <c:v>0</c:v>
                </c:pt>
                <c:pt idx="1">
                  <c:v>0</c:v>
                </c:pt>
                <c:pt idx="2">
                  <c:v>0</c:v>
                </c:pt>
                <c:pt idx="3">
                  <c:v>2</c:v>
                </c:pt>
                <c:pt idx="4">
                  <c:v>2</c:v>
                </c:pt>
                <c:pt idx="5">
                  <c:v>1</c:v>
                </c:pt>
                <c:pt idx="6">
                  <c:v>1</c:v>
                </c:pt>
                <c:pt idx="7">
                  <c:v>0</c:v>
                </c:pt>
                <c:pt idx="8">
                  <c:v>1</c:v>
                </c:pt>
                <c:pt idx="9">
                  <c:v>1</c:v>
                </c:pt>
              </c:numCache>
            </c:numRef>
          </c:val>
          <c:extLst>
            <c:ext xmlns:c16="http://schemas.microsoft.com/office/drawing/2014/chart" uri="{C3380CC4-5D6E-409C-BE32-E72D297353CC}">
              <c16:uniqueId val="{00000002-0F0F-43A1-BCEE-2823CB74C77D}"/>
            </c:ext>
          </c:extLst>
        </c:ser>
        <c:ser>
          <c:idx val="3"/>
          <c:order val="3"/>
          <c:tx>
            <c:strRef>
              <c:f>'Hosp Pivot '!$M$1</c:f>
              <c:strCache>
                <c:ptCount val="1"/>
                <c:pt idx="0">
                  <c:v>LONG TERM CARE </c:v>
                </c:pt>
              </c:strCache>
            </c:strRef>
          </c:tx>
          <c:spPr>
            <a:solidFill>
              <a:schemeClr val="accent6">
                <a:tint val="81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'!$M$2:$M$11</c:f>
              <c:numCache>
                <c:formatCode>General</c:formatCode>
                <c:ptCount val="10"/>
                <c:pt idx="0">
                  <c:v>1</c:v>
                </c:pt>
                <c:pt idx="1">
                  <c:v>2</c:v>
                </c:pt>
                <c:pt idx="2">
                  <c:v>0</c:v>
                </c:pt>
                <c:pt idx="3">
                  <c:v>0</c:v>
                </c:pt>
                <c:pt idx="4">
                  <c:v>1</c:v>
                </c:pt>
                <c:pt idx="5">
                  <c:v>0</c:v>
                </c:pt>
                <c:pt idx="6">
                  <c:v>1</c:v>
                </c:pt>
                <c:pt idx="7">
                  <c:v>2</c:v>
                </c:pt>
                <c:pt idx="8">
                  <c:v>2</c:v>
                </c:pt>
                <c:pt idx="9">
                  <c:v>1</c:v>
                </c:pt>
              </c:numCache>
            </c:numRef>
          </c:val>
          <c:extLst>
            <c:ext xmlns:c16="http://schemas.microsoft.com/office/drawing/2014/chart" uri="{C3380CC4-5D6E-409C-BE32-E72D297353CC}">
              <c16:uniqueId val="{00000003-0F0F-43A1-BCEE-2823CB74C77D}"/>
            </c:ext>
          </c:extLst>
        </c:ser>
        <c:ser>
          <c:idx val="4"/>
          <c:order val="4"/>
          <c:tx>
            <c:strRef>
              <c:f>'Hosp Pivot '!$N$1</c:f>
              <c:strCache>
                <c:ptCount val="1"/>
                <c:pt idx="0">
                  <c:v>PSYCHIATRIC </c:v>
                </c:pt>
              </c:strCache>
            </c:strRef>
          </c:tx>
          <c:spPr>
            <a:solidFill>
              <a:schemeClr val="accent6">
                <a:tint val="94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'!$N$2:$N$11</c:f>
              <c:numCache>
                <c:formatCode>General</c:formatCode>
                <c:ptCount val="10"/>
                <c:pt idx="0">
                  <c:v>2</c:v>
                </c:pt>
                <c:pt idx="1">
                  <c:v>4</c:v>
                </c:pt>
                <c:pt idx="2">
                  <c:v>0</c:v>
                </c:pt>
                <c:pt idx="3">
                  <c:v>0</c:v>
                </c:pt>
                <c:pt idx="4">
                  <c:v>3</c:v>
                </c:pt>
                <c:pt idx="5">
                  <c:v>0</c:v>
                </c:pt>
                <c:pt idx="6">
                  <c:v>2</c:v>
                </c:pt>
                <c:pt idx="7">
                  <c:v>0</c:v>
                </c:pt>
                <c:pt idx="8">
                  <c:v>6</c:v>
                </c:pt>
                <c:pt idx="9">
                  <c:v>2</c:v>
                </c:pt>
              </c:numCache>
            </c:numRef>
          </c:val>
          <c:extLst>
            <c:ext xmlns:c16="http://schemas.microsoft.com/office/drawing/2014/chart" uri="{C3380CC4-5D6E-409C-BE32-E72D297353CC}">
              <c16:uniqueId val="{00000004-0F0F-43A1-BCEE-2823CB74C77D}"/>
            </c:ext>
          </c:extLst>
        </c:ser>
        <c:ser>
          <c:idx val="5"/>
          <c:order val="5"/>
          <c:tx>
            <c:strRef>
              <c:f>'Hosp Pivot '!$O$1</c:f>
              <c:strCache>
                <c:ptCount val="1"/>
                <c:pt idx="0">
                  <c:v>REHABILITATION </c:v>
                </c:pt>
              </c:strCache>
            </c:strRef>
          </c:tx>
          <c:spPr>
            <a:solidFill>
              <a:schemeClr val="accent6">
                <a:shade val="93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'!$O$2:$O$11</c:f>
              <c:numCache>
                <c:formatCode>General</c:formatCode>
                <c:ptCount val="10"/>
                <c:pt idx="0">
                  <c:v>0</c:v>
                </c:pt>
                <c:pt idx="1">
                  <c:v>0</c:v>
                </c:pt>
                <c:pt idx="2">
                  <c:v>0</c:v>
                </c:pt>
                <c:pt idx="3">
                  <c:v>1</c:v>
                </c:pt>
                <c:pt idx="4">
                  <c:v>2</c:v>
                </c:pt>
                <c:pt idx="5">
                  <c:v>0</c:v>
                </c:pt>
                <c:pt idx="6">
                  <c:v>2</c:v>
                </c:pt>
                <c:pt idx="7">
                  <c:v>1</c:v>
                </c:pt>
                <c:pt idx="8">
                  <c:v>3</c:v>
                </c:pt>
                <c:pt idx="9">
                  <c:v>0</c:v>
                </c:pt>
              </c:numCache>
            </c:numRef>
          </c:val>
          <c:extLst>
            <c:ext xmlns:c16="http://schemas.microsoft.com/office/drawing/2014/chart" uri="{C3380CC4-5D6E-409C-BE32-E72D297353CC}">
              <c16:uniqueId val="{00000005-0F0F-43A1-BCEE-2823CB74C77D}"/>
            </c:ext>
          </c:extLst>
        </c:ser>
        <c:ser>
          <c:idx val="6"/>
          <c:order val="6"/>
          <c:tx>
            <c:strRef>
              <c:f>'Hosp Pivot '!$P$1</c:f>
              <c:strCache>
                <c:ptCount val="1"/>
                <c:pt idx="0">
                  <c:v>CRITICAL ACCESS </c:v>
                </c:pt>
              </c:strCache>
            </c:strRef>
          </c:tx>
          <c:spPr>
            <a:solidFill>
              <a:schemeClr val="accent6">
                <a:shade val="80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'!$P$2:$P$11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6-0F0F-43A1-BCEE-2823CB74C77D}"/>
            </c:ext>
          </c:extLst>
        </c:ser>
        <c:ser>
          <c:idx val="7"/>
          <c:order val="7"/>
          <c:tx>
            <c:strRef>
              <c:f>'Hosp Pivot '!$Q$1</c:f>
              <c:strCache>
                <c:ptCount val="1"/>
                <c:pt idx="0">
                  <c:v>MILITARY </c:v>
                </c:pt>
              </c:strCache>
            </c:strRef>
          </c:tx>
          <c:spPr>
            <a:solidFill>
              <a:schemeClr val="accent6">
                <a:shade val="68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'!$Q$2:$Q$11</c:f>
              <c:numCache>
                <c:formatCode>General</c:formatCode>
                <c:ptCount val="10"/>
                <c:pt idx="0">
                  <c:v>1</c:v>
                </c:pt>
                <c:pt idx="1">
                  <c:v>1</c:v>
                </c:pt>
                <c:pt idx="2">
                  <c:v>0</c:v>
                </c:pt>
                <c:pt idx="3">
                  <c:v>1</c:v>
                </c:pt>
                <c:pt idx="4">
                  <c:v>0</c:v>
                </c:pt>
                <c:pt idx="5">
                  <c:v>0</c:v>
                </c:pt>
                <c:pt idx="6">
                  <c:v>1</c:v>
                </c:pt>
                <c:pt idx="7">
                  <c:v>1</c:v>
                </c:pt>
                <c:pt idx="8">
                  <c:v>1</c:v>
                </c:pt>
                <c:pt idx="9">
                  <c:v>2</c:v>
                </c:pt>
              </c:numCache>
            </c:numRef>
          </c:val>
          <c:extLst>
            <c:ext xmlns:c16="http://schemas.microsoft.com/office/drawing/2014/chart" uri="{C3380CC4-5D6E-409C-BE32-E72D297353CC}">
              <c16:uniqueId val="{00000007-0F0F-43A1-BCEE-2823CB74C77D}"/>
            </c:ext>
          </c:extLst>
        </c:ser>
        <c:ser>
          <c:idx val="8"/>
          <c:order val="8"/>
          <c:tx>
            <c:strRef>
              <c:f>'Hosp Pivot '!$R$1</c:f>
              <c:strCache>
                <c:ptCount val="1"/>
                <c:pt idx="0">
                  <c:v>WOMEN </c:v>
                </c:pt>
              </c:strCache>
            </c:strRef>
          </c:tx>
          <c:spPr>
            <a:solidFill>
              <a:schemeClr val="accent6">
                <a:shade val="55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'!$R$2:$R$11</c:f>
              <c:numCache>
                <c:formatCode>General</c:formatCode>
                <c:ptCount val="10"/>
                <c:pt idx="0">
                  <c:v>0</c:v>
                </c:pt>
                <c:pt idx="1">
                  <c:v>0</c:v>
                </c:pt>
                <c:pt idx="2">
                  <c:v>0</c:v>
                </c:pt>
                <c:pt idx="3">
                  <c:v>0</c:v>
                </c:pt>
                <c:pt idx="4">
                  <c:v>0</c:v>
                </c:pt>
                <c:pt idx="5">
                  <c:v>0</c:v>
                </c:pt>
                <c:pt idx="6">
                  <c:v>0</c:v>
                </c:pt>
                <c:pt idx="7">
                  <c:v>1</c:v>
                </c:pt>
                <c:pt idx="8">
                  <c:v>0</c:v>
                </c:pt>
                <c:pt idx="9">
                  <c:v>0</c:v>
                </c:pt>
              </c:numCache>
            </c:numRef>
          </c:val>
          <c:extLst>
            <c:ext xmlns:c16="http://schemas.microsoft.com/office/drawing/2014/chart" uri="{C3380CC4-5D6E-409C-BE32-E72D297353CC}">
              <c16:uniqueId val="{00000008-0F0F-43A1-BCEE-2823CB74C77D}"/>
            </c:ext>
          </c:extLst>
        </c:ser>
        <c:ser>
          <c:idx val="9"/>
          <c:order val="9"/>
          <c:tx>
            <c:strRef>
              <c:f>'Hosp Pivot '!$S$1</c:f>
              <c:strCache>
                <c:ptCount val="1"/>
                <c:pt idx="0">
                  <c:v>CHRONIC DISEASE </c:v>
                </c:pt>
              </c:strCache>
            </c:strRef>
          </c:tx>
          <c:spPr>
            <a:solidFill>
              <a:schemeClr val="accent6">
                <a:shade val="42000"/>
              </a:schemeClr>
            </a:solidFill>
            <a:ln>
              <a:noFill/>
            </a:ln>
            <a:effectLst/>
          </c:spPr>
          <c:invertIfNegative val="0"/>
          <c:cat>
            <c:multiLvlStrRef>
              <c:f>'Hosp Pivot '!$H$2:$I$11</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'Hosp Pivot '!$S$2:$S$11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9-0F0F-43A1-BCEE-2823CB74C77D}"/>
            </c:ext>
          </c:extLst>
        </c:ser>
        <c:dLbls>
          <c:showLegendKey val="0"/>
          <c:showVal val="0"/>
          <c:showCatName val="0"/>
          <c:showSerName val="0"/>
          <c:showPercent val="0"/>
          <c:showBubbleSize val="0"/>
        </c:dLbls>
        <c:gapWidth val="219"/>
        <c:overlap val="-27"/>
        <c:axId val="109790015"/>
        <c:axId val="237018079"/>
      </c:barChart>
      <c:catAx>
        <c:axId val="109790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18079"/>
        <c:crosses val="autoZero"/>
        <c:auto val="1"/>
        <c:lblAlgn val="ctr"/>
        <c:lblOffset val="100"/>
        <c:noMultiLvlLbl val="0"/>
      </c:catAx>
      <c:valAx>
        <c:axId val="2370180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7900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[Dashboard_Partial.xlsm]Temp Pivot !Month_Temperature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Temperature</a:t>
            </a:r>
            <a:r>
              <a:rPr lang="en-IN" baseline="0"/>
              <a:t> Trend</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'Temp Pivot '!$H$3:$H$5</c:f>
              <c:strCache>
                <c:ptCount val="1"/>
                <c:pt idx="0">
                  <c:v>CA - San Francisco</c:v>
                </c:pt>
              </c:strCache>
            </c:strRef>
          </c:tx>
          <c:spPr>
            <a:ln w="28575" cap="rnd">
              <a:solidFill>
                <a:schemeClr val="accent6">
                  <a:shade val="42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'!$H$6:$H$17</c:f>
              <c:numCache>
                <c:formatCode>General</c:formatCode>
                <c:ptCount val="12"/>
                <c:pt idx="0">
                  <c:v>52</c:v>
                </c:pt>
                <c:pt idx="1">
                  <c:v>53</c:v>
                </c:pt>
                <c:pt idx="2">
                  <c:v>55</c:v>
                </c:pt>
                <c:pt idx="3">
                  <c:v>57</c:v>
                </c:pt>
                <c:pt idx="4">
                  <c:v>58</c:v>
                </c:pt>
                <c:pt idx="5">
                  <c:v>61</c:v>
                </c:pt>
                <c:pt idx="6">
                  <c:v>62</c:v>
                </c:pt>
                <c:pt idx="7">
                  <c:v>63</c:v>
                </c:pt>
                <c:pt idx="8">
                  <c:v>64</c:v>
                </c:pt>
                <c:pt idx="9">
                  <c:v>62</c:v>
                </c:pt>
                <c:pt idx="10">
                  <c:v>56</c:v>
                </c:pt>
                <c:pt idx="11">
                  <c:v>52</c:v>
                </c:pt>
              </c:numCache>
            </c:numRef>
          </c:val>
          <c:smooth val="0"/>
          <c:extLst>
            <c:ext xmlns:c16="http://schemas.microsoft.com/office/drawing/2014/chart" uri="{C3380CC4-5D6E-409C-BE32-E72D297353CC}">
              <c16:uniqueId val="{00000000-3B3E-493B-9210-CAFAEF24AD35}"/>
            </c:ext>
          </c:extLst>
        </c:ser>
        <c:ser>
          <c:idx val="1"/>
          <c:order val="1"/>
          <c:tx>
            <c:strRef>
              <c:f>'Temp Pivot '!$I$3:$I$5</c:f>
              <c:strCache>
                <c:ptCount val="1"/>
                <c:pt idx="0">
                  <c:v>CO - Denver</c:v>
                </c:pt>
              </c:strCache>
            </c:strRef>
          </c:tx>
          <c:spPr>
            <a:ln w="28575" cap="rnd">
              <a:solidFill>
                <a:schemeClr val="accent6">
                  <a:shade val="55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'!$I$6:$I$17</c:f>
              <c:numCache>
                <c:formatCode>General</c:formatCode>
                <c:ptCount val="12"/>
                <c:pt idx="0">
                  <c:v>32</c:v>
                </c:pt>
                <c:pt idx="1">
                  <c:v>31</c:v>
                </c:pt>
                <c:pt idx="2">
                  <c:v>42</c:v>
                </c:pt>
                <c:pt idx="3">
                  <c:v>48</c:v>
                </c:pt>
                <c:pt idx="4">
                  <c:v>55</c:v>
                </c:pt>
                <c:pt idx="5">
                  <c:v>70</c:v>
                </c:pt>
                <c:pt idx="6">
                  <c:v>75</c:v>
                </c:pt>
                <c:pt idx="7">
                  <c:v>73</c:v>
                </c:pt>
                <c:pt idx="8">
                  <c:v>66</c:v>
                </c:pt>
                <c:pt idx="9">
                  <c:v>51</c:v>
                </c:pt>
                <c:pt idx="10">
                  <c:v>40</c:v>
                </c:pt>
                <c:pt idx="11">
                  <c:v>31</c:v>
                </c:pt>
              </c:numCache>
            </c:numRef>
          </c:val>
          <c:smooth val="0"/>
          <c:extLst>
            <c:ext xmlns:c16="http://schemas.microsoft.com/office/drawing/2014/chart" uri="{C3380CC4-5D6E-409C-BE32-E72D297353CC}">
              <c16:uniqueId val="{00000013-62F5-4705-941C-B48F7FAC2159}"/>
            </c:ext>
          </c:extLst>
        </c:ser>
        <c:ser>
          <c:idx val="2"/>
          <c:order val="2"/>
          <c:tx>
            <c:strRef>
              <c:f>'Temp Pivot '!$J$3:$J$5</c:f>
              <c:strCache>
                <c:ptCount val="1"/>
                <c:pt idx="0">
                  <c:v>FL - Miami Beach</c:v>
                </c:pt>
              </c:strCache>
            </c:strRef>
          </c:tx>
          <c:spPr>
            <a:ln w="28575" cap="rnd">
              <a:solidFill>
                <a:schemeClr val="accent6">
                  <a:shade val="68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'!$J$6:$J$17</c:f>
              <c:numCache>
                <c:formatCode>General</c:formatCode>
                <c:ptCount val="12"/>
                <c:pt idx="0">
                  <c:v>69</c:v>
                </c:pt>
                <c:pt idx="1">
                  <c:v>71</c:v>
                </c:pt>
                <c:pt idx="2">
                  <c:v>73</c:v>
                </c:pt>
                <c:pt idx="3">
                  <c:v>77</c:v>
                </c:pt>
                <c:pt idx="4">
                  <c:v>80</c:v>
                </c:pt>
                <c:pt idx="5">
                  <c:v>83</c:v>
                </c:pt>
                <c:pt idx="6">
                  <c:v>84</c:v>
                </c:pt>
                <c:pt idx="7">
                  <c:v>84</c:v>
                </c:pt>
                <c:pt idx="8">
                  <c:v>83</c:v>
                </c:pt>
                <c:pt idx="9">
                  <c:v>80</c:v>
                </c:pt>
                <c:pt idx="10">
                  <c:v>75</c:v>
                </c:pt>
                <c:pt idx="11">
                  <c:v>72</c:v>
                </c:pt>
              </c:numCache>
            </c:numRef>
          </c:val>
          <c:smooth val="0"/>
          <c:extLst>
            <c:ext xmlns:c16="http://schemas.microsoft.com/office/drawing/2014/chart" uri="{C3380CC4-5D6E-409C-BE32-E72D297353CC}">
              <c16:uniqueId val="{00000014-62F5-4705-941C-B48F7FAC2159}"/>
            </c:ext>
          </c:extLst>
        </c:ser>
        <c:ser>
          <c:idx val="3"/>
          <c:order val="3"/>
          <c:tx>
            <c:strRef>
              <c:f>'Temp Pivot '!$K$3:$K$5</c:f>
              <c:strCache>
                <c:ptCount val="1"/>
                <c:pt idx="0">
                  <c:v>HI - Honolulu</c:v>
                </c:pt>
              </c:strCache>
            </c:strRef>
          </c:tx>
          <c:spPr>
            <a:ln w="28575" cap="rnd">
              <a:solidFill>
                <a:schemeClr val="accent6">
                  <a:shade val="80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'!$K$6:$K$17</c:f>
              <c:numCache>
                <c:formatCode>General</c:formatCode>
                <c:ptCount val="12"/>
                <c:pt idx="0">
                  <c:v>74</c:v>
                </c:pt>
                <c:pt idx="1">
                  <c:v>74</c:v>
                </c:pt>
                <c:pt idx="2">
                  <c:v>74</c:v>
                </c:pt>
                <c:pt idx="3">
                  <c:v>76</c:v>
                </c:pt>
                <c:pt idx="4">
                  <c:v>78</c:v>
                </c:pt>
                <c:pt idx="5">
                  <c:v>79</c:v>
                </c:pt>
                <c:pt idx="6">
                  <c:v>81</c:v>
                </c:pt>
                <c:pt idx="7">
                  <c:v>81</c:v>
                </c:pt>
                <c:pt idx="8">
                  <c:v>81</c:v>
                </c:pt>
                <c:pt idx="9">
                  <c:v>80</c:v>
                </c:pt>
                <c:pt idx="10">
                  <c:v>78</c:v>
                </c:pt>
                <c:pt idx="11">
                  <c:v>75</c:v>
                </c:pt>
              </c:numCache>
            </c:numRef>
          </c:val>
          <c:smooth val="0"/>
          <c:extLst>
            <c:ext xmlns:c16="http://schemas.microsoft.com/office/drawing/2014/chart" uri="{C3380CC4-5D6E-409C-BE32-E72D297353CC}">
              <c16:uniqueId val="{00000015-62F5-4705-941C-B48F7FAC2159}"/>
            </c:ext>
          </c:extLst>
        </c:ser>
        <c:ser>
          <c:idx val="4"/>
          <c:order val="4"/>
          <c:tx>
            <c:strRef>
              <c:f>'Temp Pivot '!$L$3:$L$5</c:f>
              <c:strCache>
                <c:ptCount val="1"/>
                <c:pt idx="0">
                  <c:v>MA - Boston</c:v>
                </c:pt>
              </c:strCache>
            </c:strRef>
          </c:tx>
          <c:spPr>
            <a:ln w="28575" cap="rnd">
              <a:solidFill>
                <a:schemeClr val="accent6">
                  <a:shade val="93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'!$L$6:$L$17</c:f>
              <c:numCache>
                <c:formatCode>General</c:formatCode>
                <c:ptCount val="12"/>
                <c:pt idx="0">
                  <c:v>31</c:v>
                </c:pt>
                <c:pt idx="1">
                  <c:v>33</c:v>
                </c:pt>
                <c:pt idx="2">
                  <c:v>39</c:v>
                </c:pt>
                <c:pt idx="3">
                  <c:v>49</c:v>
                </c:pt>
                <c:pt idx="4">
                  <c:v>58</c:v>
                </c:pt>
                <c:pt idx="5">
                  <c:v>67</c:v>
                </c:pt>
                <c:pt idx="6">
                  <c:v>75</c:v>
                </c:pt>
                <c:pt idx="7">
                  <c:v>73</c:v>
                </c:pt>
                <c:pt idx="8">
                  <c:v>67</c:v>
                </c:pt>
                <c:pt idx="9">
                  <c:v>56</c:v>
                </c:pt>
                <c:pt idx="10">
                  <c:v>45</c:v>
                </c:pt>
                <c:pt idx="11">
                  <c:v>37</c:v>
                </c:pt>
              </c:numCache>
            </c:numRef>
          </c:val>
          <c:smooth val="0"/>
          <c:extLst>
            <c:ext xmlns:c16="http://schemas.microsoft.com/office/drawing/2014/chart" uri="{C3380CC4-5D6E-409C-BE32-E72D297353CC}">
              <c16:uniqueId val="{00000016-62F5-4705-941C-B48F7FAC2159}"/>
            </c:ext>
          </c:extLst>
        </c:ser>
        <c:ser>
          <c:idx val="5"/>
          <c:order val="5"/>
          <c:tx>
            <c:strRef>
              <c:f>'Temp Pivot '!$M$3:$M$5</c:f>
              <c:strCache>
                <c:ptCount val="1"/>
                <c:pt idx="0">
                  <c:v>MN - Minneapolis</c:v>
                </c:pt>
              </c:strCache>
            </c:strRef>
          </c:tx>
          <c:spPr>
            <a:ln w="28575" cap="rnd">
              <a:solidFill>
                <a:schemeClr val="accent6">
                  <a:tint val="94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'!$M$6:$M$17</c:f>
              <c:numCache>
                <c:formatCode>General</c:formatCode>
                <c:ptCount val="12"/>
                <c:pt idx="0">
                  <c:v>17</c:v>
                </c:pt>
                <c:pt idx="1">
                  <c:v>19</c:v>
                </c:pt>
                <c:pt idx="2">
                  <c:v>35</c:v>
                </c:pt>
                <c:pt idx="3">
                  <c:v>47</c:v>
                </c:pt>
                <c:pt idx="4">
                  <c:v>60</c:v>
                </c:pt>
                <c:pt idx="5">
                  <c:v>70</c:v>
                </c:pt>
                <c:pt idx="6">
                  <c:v>76</c:v>
                </c:pt>
                <c:pt idx="7">
                  <c:v>73</c:v>
                </c:pt>
                <c:pt idx="8">
                  <c:v>65</c:v>
                </c:pt>
                <c:pt idx="9">
                  <c:v>50</c:v>
                </c:pt>
                <c:pt idx="10">
                  <c:v>35</c:v>
                </c:pt>
                <c:pt idx="11">
                  <c:v>23</c:v>
                </c:pt>
              </c:numCache>
            </c:numRef>
          </c:val>
          <c:smooth val="0"/>
          <c:extLst>
            <c:ext xmlns:c16="http://schemas.microsoft.com/office/drawing/2014/chart" uri="{C3380CC4-5D6E-409C-BE32-E72D297353CC}">
              <c16:uniqueId val="{00000017-62F5-4705-941C-B48F7FAC2159}"/>
            </c:ext>
          </c:extLst>
        </c:ser>
        <c:ser>
          <c:idx val="6"/>
          <c:order val="6"/>
          <c:tx>
            <c:strRef>
              <c:f>'Temp Pivot '!$N$3:$N$5</c:f>
              <c:strCache>
                <c:ptCount val="1"/>
                <c:pt idx="0">
                  <c:v>OK - Oklahoma City</c:v>
                </c:pt>
              </c:strCache>
            </c:strRef>
          </c:tx>
          <c:spPr>
            <a:ln w="28575" cap="rnd">
              <a:solidFill>
                <a:schemeClr val="accent6">
                  <a:tint val="81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'!$N$6:$N$17</c:f>
              <c:numCache>
                <c:formatCode>General</c:formatCode>
                <c:ptCount val="12"/>
                <c:pt idx="0">
                  <c:v>39</c:v>
                </c:pt>
                <c:pt idx="1">
                  <c:v>42</c:v>
                </c:pt>
                <c:pt idx="2">
                  <c:v>52</c:v>
                </c:pt>
                <c:pt idx="3">
                  <c:v>61</c:v>
                </c:pt>
                <c:pt idx="4">
                  <c:v>68</c:v>
                </c:pt>
                <c:pt idx="5">
                  <c:v>79</c:v>
                </c:pt>
                <c:pt idx="6">
                  <c:v>83</c:v>
                </c:pt>
                <c:pt idx="7">
                  <c:v>82</c:v>
                </c:pt>
                <c:pt idx="8">
                  <c:v>75</c:v>
                </c:pt>
                <c:pt idx="9">
                  <c:v>62</c:v>
                </c:pt>
                <c:pt idx="10">
                  <c:v>50</c:v>
                </c:pt>
                <c:pt idx="11">
                  <c:v>41</c:v>
                </c:pt>
              </c:numCache>
            </c:numRef>
          </c:val>
          <c:smooth val="0"/>
          <c:extLst>
            <c:ext xmlns:c16="http://schemas.microsoft.com/office/drawing/2014/chart" uri="{C3380CC4-5D6E-409C-BE32-E72D297353CC}">
              <c16:uniqueId val="{00000018-62F5-4705-941C-B48F7FAC2159}"/>
            </c:ext>
          </c:extLst>
        </c:ser>
        <c:ser>
          <c:idx val="7"/>
          <c:order val="7"/>
          <c:tx>
            <c:strRef>
              <c:f>'Temp Pivot '!$O$3:$O$5</c:f>
              <c:strCache>
                <c:ptCount val="1"/>
                <c:pt idx="0">
                  <c:v>TN - Nashville</c:v>
                </c:pt>
              </c:strCache>
            </c:strRef>
          </c:tx>
          <c:spPr>
            <a:ln w="28575" cap="rnd">
              <a:solidFill>
                <a:schemeClr val="accent6">
                  <a:tint val="69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'!$O$6:$O$17</c:f>
              <c:numCache>
                <c:formatCode>General</c:formatCode>
                <c:ptCount val="12"/>
                <c:pt idx="0">
                  <c:v>39</c:v>
                </c:pt>
                <c:pt idx="1">
                  <c:v>43</c:v>
                </c:pt>
                <c:pt idx="2">
                  <c:v>52</c:v>
                </c:pt>
                <c:pt idx="3">
                  <c:v>61</c:v>
                </c:pt>
                <c:pt idx="4">
                  <c:v>69</c:v>
                </c:pt>
                <c:pt idx="5">
                  <c:v>78</c:v>
                </c:pt>
                <c:pt idx="6">
                  <c:v>80</c:v>
                </c:pt>
                <c:pt idx="7">
                  <c:v>79</c:v>
                </c:pt>
                <c:pt idx="8">
                  <c:v>73</c:v>
                </c:pt>
                <c:pt idx="9">
                  <c:v>62</c:v>
                </c:pt>
                <c:pt idx="10">
                  <c:v>50</c:v>
                </c:pt>
                <c:pt idx="11">
                  <c:v>44</c:v>
                </c:pt>
              </c:numCache>
            </c:numRef>
          </c:val>
          <c:smooth val="0"/>
          <c:extLst>
            <c:ext xmlns:c16="http://schemas.microsoft.com/office/drawing/2014/chart" uri="{C3380CC4-5D6E-409C-BE32-E72D297353CC}">
              <c16:uniqueId val="{00000019-62F5-4705-941C-B48F7FAC2159}"/>
            </c:ext>
          </c:extLst>
        </c:ser>
        <c:ser>
          <c:idx val="8"/>
          <c:order val="8"/>
          <c:tx>
            <c:strRef>
              <c:f>'Temp Pivot '!$P$3:$P$5</c:f>
              <c:strCache>
                <c:ptCount val="1"/>
                <c:pt idx="0">
                  <c:v>TX - Austin</c:v>
                </c:pt>
              </c:strCache>
            </c:strRef>
          </c:tx>
          <c:spPr>
            <a:ln w="28575" cap="rnd">
              <a:solidFill>
                <a:schemeClr val="accent6">
                  <a:tint val="56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'!$P$6:$P$17</c:f>
              <c:numCache>
                <c:formatCode>General</c:formatCode>
                <c:ptCount val="12"/>
                <c:pt idx="0">
                  <c:v>50</c:v>
                </c:pt>
                <c:pt idx="1">
                  <c:v>54</c:v>
                </c:pt>
                <c:pt idx="2">
                  <c:v>62</c:v>
                </c:pt>
                <c:pt idx="3">
                  <c:v>69</c:v>
                </c:pt>
                <c:pt idx="4">
                  <c:v>75</c:v>
                </c:pt>
                <c:pt idx="5">
                  <c:v>82</c:v>
                </c:pt>
                <c:pt idx="6">
                  <c:v>84</c:v>
                </c:pt>
                <c:pt idx="7">
                  <c:v>85</c:v>
                </c:pt>
                <c:pt idx="8">
                  <c:v>79</c:v>
                </c:pt>
                <c:pt idx="9">
                  <c:v>70</c:v>
                </c:pt>
                <c:pt idx="10">
                  <c:v>59</c:v>
                </c:pt>
                <c:pt idx="11">
                  <c:v>52</c:v>
                </c:pt>
              </c:numCache>
            </c:numRef>
          </c:val>
          <c:smooth val="0"/>
          <c:extLst>
            <c:ext xmlns:c16="http://schemas.microsoft.com/office/drawing/2014/chart" uri="{C3380CC4-5D6E-409C-BE32-E72D297353CC}">
              <c16:uniqueId val="{0000001A-62F5-4705-941C-B48F7FAC2159}"/>
            </c:ext>
          </c:extLst>
        </c:ser>
        <c:ser>
          <c:idx val="9"/>
          <c:order val="9"/>
          <c:tx>
            <c:strRef>
              <c:f>'Temp Pivot '!$Q$3:$Q$5</c:f>
              <c:strCache>
                <c:ptCount val="1"/>
                <c:pt idx="0">
                  <c:v>WA - Seattle</c:v>
                </c:pt>
              </c:strCache>
            </c:strRef>
          </c:tx>
          <c:spPr>
            <a:ln w="28575" cap="rnd">
              <a:solidFill>
                <a:schemeClr val="accent6">
                  <a:tint val="43000"/>
                </a:schemeClr>
              </a:solidFill>
              <a:round/>
            </a:ln>
            <a:effectLst/>
          </c:spPr>
          <c:marker>
            <c:symbol val="none"/>
          </c:marker>
          <c:cat>
            <c:strRef>
              <c:f>'Temp Pivot '!$G$6:$G$17</c:f>
              <c:strCache>
                <c:ptCount val="12"/>
                <c:pt idx="0">
                  <c:v>January </c:v>
                </c:pt>
                <c:pt idx="1">
                  <c:v>February </c:v>
                </c:pt>
                <c:pt idx="2">
                  <c:v>March </c:v>
                </c:pt>
                <c:pt idx="3">
                  <c:v>April </c:v>
                </c:pt>
                <c:pt idx="4">
                  <c:v>May </c:v>
                </c:pt>
                <c:pt idx="5">
                  <c:v>June </c:v>
                </c:pt>
                <c:pt idx="6">
                  <c:v>July </c:v>
                </c:pt>
                <c:pt idx="7">
                  <c:v>August </c:v>
                </c:pt>
                <c:pt idx="8">
                  <c:v>September </c:v>
                </c:pt>
                <c:pt idx="9">
                  <c:v>October </c:v>
                </c:pt>
                <c:pt idx="10">
                  <c:v>November </c:v>
                </c:pt>
                <c:pt idx="11">
                  <c:v>December </c:v>
                </c:pt>
              </c:strCache>
            </c:strRef>
          </c:cat>
          <c:val>
            <c:numRef>
              <c:f>'Temp Pivot '!$Q$6:$Q$17</c:f>
              <c:numCache>
                <c:formatCode>General</c:formatCode>
                <c:ptCount val="12"/>
                <c:pt idx="0">
                  <c:v>43</c:v>
                </c:pt>
                <c:pt idx="1">
                  <c:v>43</c:v>
                </c:pt>
                <c:pt idx="2">
                  <c:v>47</c:v>
                </c:pt>
                <c:pt idx="3">
                  <c:v>51</c:v>
                </c:pt>
                <c:pt idx="4">
                  <c:v>57</c:v>
                </c:pt>
                <c:pt idx="5">
                  <c:v>61</c:v>
                </c:pt>
                <c:pt idx="6">
                  <c:v>67</c:v>
                </c:pt>
                <c:pt idx="7">
                  <c:v>68</c:v>
                </c:pt>
                <c:pt idx="8">
                  <c:v>62</c:v>
                </c:pt>
                <c:pt idx="9">
                  <c:v>53</c:v>
                </c:pt>
                <c:pt idx="10">
                  <c:v>46</c:v>
                </c:pt>
                <c:pt idx="11">
                  <c:v>42</c:v>
                </c:pt>
              </c:numCache>
            </c:numRef>
          </c:val>
          <c:smooth val="0"/>
          <c:extLst>
            <c:ext xmlns:c16="http://schemas.microsoft.com/office/drawing/2014/chart" uri="{C3380CC4-5D6E-409C-BE32-E72D297353CC}">
              <c16:uniqueId val="{0000001B-62F5-4705-941C-B48F7FAC2159}"/>
            </c:ext>
          </c:extLst>
        </c:ser>
        <c:dLbls>
          <c:showLegendKey val="0"/>
          <c:showVal val="0"/>
          <c:showCatName val="0"/>
          <c:showSerName val="0"/>
          <c:showPercent val="0"/>
          <c:showBubbleSize val="0"/>
        </c:dLbls>
        <c:smooth val="0"/>
        <c:axId val="1917464655"/>
        <c:axId val="1917465135"/>
      </c:lineChart>
      <c:catAx>
        <c:axId val="1917464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7465135"/>
        <c:crosses val="autoZero"/>
        <c:auto val="1"/>
        <c:lblAlgn val="ctr"/>
        <c:lblOffset val="100"/>
        <c:noMultiLvlLbl val="0"/>
      </c:catAx>
      <c:valAx>
        <c:axId val="191746513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74646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[Dashboard_Partial.xlsm]Crime Pivot!Overall_Crime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Overall Crime Rate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'Crime Pivot'!$D$3</c:f>
              <c:strCache>
                <c:ptCount val="1"/>
                <c:pt idx="0">
                  <c:v>Average crime rate </c:v>
                </c:pt>
              </c:strCache>
            </c:strRef>
          </c:tx>
          <c:spPr>
            <a:solidFill>
              <a:schemeClr val="accent6">
                <a:tint val="77000"/>
              </a:schemeClr>
            </a:solidFill>
            <a:ln>
              <a:noFill/>
            </a:ln>
            <a:effectLst/>
          </c:spPr>
          <c:invertIfNegative val="0"/>
          <c:cat>
            <c:multiLvlStrRef>
              <c:f>'Crime Pivot'!$A$4:$B$13</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'Crime Pivot'!$D$4:$D$13</c:f>
              <c:numCache>
                <c:formatCode>General</c:formatCode>
                <c:ptCount val="10"/>
                <c:pt idx="0">
                  <c:v>59.006999999999991</c:v>
                </c:pt>
                <c:pt idx="1">
                  <c:v>42.456000000000003</c:v>
                </c:pt>
                <c:pt idx="2">
                  <c:v>104.58900000000001</c:v>
                </c:pt>
                <c:pt idx="3">
                  <c:v>20.589999999999996</c:v>
                </c:pt>
                <c:pt idx="4">
                  <c:v>31.481999999999999</c:v>
                </c:pt>
                <c:pt idx="5">
                  <c:v>56.544000000000004</c:v>
                </c:pt>
                <c:pt idx="6">
                  <c:v>57.838999999999984</c:v>
                </c:pt>
                <c:pt idx="7">
                  <c:v>33.097999999999999</c:v>
                </c:pt>
                <c:pt idx="8">
                  <c:v>49.85799999999999</c:v>
                </c:pt>
                <c:pt idx="9">
                  <c:v>59.788000000000011</c:v>
                </c:pt>
              </c:numCache>
            </c:numRef>
          </c:val>
          <c:extLst>
            <c:ext xmlns:c16="http://schemas.microsoft.com/office/drawing/2014/chart" uri="{C3380CC4-5D6E-409C-BE32-E72D297353CC}">
              <c16:uniqueId val="{00000000-E5A0-48F7-AC87-A95F8335F678}"/>
            </c:ext>
          </c:extLst>
        </c:ser>
        <c:dLbls>
          <c:showLegendKey val="0"/>
          <c:showVal val="0"/>
          <c:showCatName val="0"/>
          <c:showSerName val="0"/>
          <c:showPercent val="0"/>
          <c:showBubbleSize val="0"/>
        </c:dLbls>
        <c:gapWidth val="219"/>
        <c:axId val="421453600"/>
        <c:axId val="421447360"/>
      </c:barChart>
      <c:lineChart>
        <c:grouping val="standard"/>
        <c:varyColors val="0"/>
        <c:ser>
          <c:idx val="0"/>
          <c:order val="0"/>
          <c:tx>
            <c:strRef>
              <c:f>'Crime Pivot'!$C$3</c:f>
              <c:strCache>
                <c:ptCount val="1"/>
                <c:pt idx="0">
                  <c:v>Crime rank </c:v>
                </c:pt>
              </c:strCache>
            </c:strRef>
          </c:tx>
          <c:spPr>
            <a:ln w="28575" cap="rnd">
              <a:solidFill>
                <a:schemeClr val="accent6">
                  <a:shade val="76000"/>
                </a:schemeClr>
              </a:solidFill>
              <a:round/>
            </a:ln>
            <a:effectLst/>
          </c:spPr>
          <c:marker>
            <c:symbol val="none"/>
          </c:marker>
          <c:cat>
            <c:multiLvlStrRef>
              <c:f>'Crime Pivot'!$A$4:$B$13</c:f>
              <c:multiLvlStrCache>
                <c:ptCount val="10"/>
                <c:lvl>
                  <c:pt idx="0">
                    <c:v>San Francisco</c:v>
                  </c:pt>
                  <c:pt idx="1">
                    <c:v>Denver</c:v>
                  </c:pt>
                  <c:pt idx="2">
                    <c:v>Miami Beach</c:v>
                  </c:pt>
                  <c:pt idx="3">
                    <c:v>Honolulu</c:v>
                  </c:pt>
                  <c:pt idx="4">
                    <c:v>Boston</c:v>
                  </c:pt>
                  <c:pt idx="5">
                    <c:v>Minneapolis</c:v>
                  </c:pt>
                  <c:pt idx="6">
                    <c:v>Oklahoma City</c:v>
                  </c:pt>
                  <c:pt idx="7">
                    <c:v>Nashville</c:v>
                  </c:pt>
                  <c:pt idx="8">
                    <c:v>Austin</c:v>
                  </c:pt>
                  <c:pt idx="9">
                    <c:v>Seattle</c:v>
                  </c:pt>
                </c:lvl>
                <c:lvl>
                  <c:pt idx="0">
                    <c:v>CA</c:v>
                  </c:pt>
                  <c:pt idx="1">
                    <c:v>CO</c:v>
                  </c:pt>
                  <c:pt idx="2">
                    <c:v>FL</c:v>
                  </c:pt>
                  <c:pt idx="3">
                    <c:v>HI</c:v>
                  </c:pt>
                  <c:pt idx="4">
                    <c:v>MA</c:v>
                  </c:pt>
                  <c:pt idx="5">
                    <c:v>MN</c:v>
                  </c:pt>
                  <c:pt idx="6">
                    <c:v>OK</c:v>
                  </c:pt>
                  <c:pt idx="7">
                    <c:v>TN</c:v>
                  </c:pt>
                  <c:pt idx="8">
                    <c:v>TX</c:v>
                  </c:pt>
                  <c:pt idx="9">
                    <c:v>WA</c:v>
                  </c:pt>
                </c:lvl>
              </c:multiLvlStrCache>
            </c:multiLvlStrRef>
          </c:cat>
          <c:val>
            <c:numRef>
              <c:f>'Crime Pivot'!$C$4:$C$13</c:f>
              <c:numCache>
                <c:formatCode>General</c:formatCode>
                <c:ptCount val="10"/>
                <c:pt idx="0">
                  <c:v>117</c:v>
                </c:pt>
                <c:pt idx="1">
                  <c:v>53</c:v>
                </c:pt>
                <c:pt idx="2">
                  <c:v>147</c:v>
                </c:pt>
                <c:pt idx="3">
                  <c:v>8</c:v>
                </c:pt>
                <c:pt idx="4">
                  <c:v>22</c:v>
                </c:pt>
                <c:pt idx="5">
                  <c:v>110</c:v>
                </c:pt>
                <c:pt idx="6">
                  <c:v>112</c:v>
                </c:pt>
                <c:pt idx="7">
                  <c:v>26</c:v>
                </c:pt>
                <c:pt idx="8">
                  <c:v>85</c:v>
                </c:pt>
                <c:pt idx="9">
                  <c:v>119</c:v>
                </c:pt>
              </c:numCache>
            </c:numRef>
          </c:val>
          <c:smooth val="0"/>
          <c:extLst>
            <c:ext xmlns:c16="http://schemas.microsoft.com/office/drawing/2014/chart" uri="{C3380CC4-5D6E-409C-BE32-E72D297353CC}">
              <c16:uniqueId val="{00000001-E5A0-48F7-AC87-A95F8335F678}"/>
            </c:ext>
          </c:extLst>
        </c:ser>
        <c:dLbls>
          <c:showLegendKey val="0"/>
          <c:showVal val="0"/>
          <c:showCatName val="0"/>
          <c:showSerName val="0"/>
          <c:showPercent val="0"/>
          <c:showBubbleSize val="0"/>
        </c:dLbls>
        <c:marker val="1"/>
        <c:smooth val="0"/>
        <c:axId val="421633568"/>
        <c:axId val="421633088"/>
      </c:lineChart>
      <c:catAx>
        <c:axId val="42145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447360"/>
        <c:crosses val="autoZero"/>
        <c:auto val="1"/>
        <c:lblAlgn val="ctr"/>
        <c:lblOffset val="100"/>
        <c:noMultiLvlLbl val="0"/>
      </c:catAx>
      <c:valAx>
        <c:axId val="4214473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453600"/>
        <c:crosses val="autoZero"/>
        <c:crossBetween val="between"/>
      </c:valAx>
      <c:valAx>
        <c:axId val="42163308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33568"/>
        <c:crosses val="max"/>
        <c:crossBetween val="between"/>
      </c:valAx>
      <c:catAx>
        <c:axId val="421633568"/>
        <c:scaling>
          <c:orientation val="minMax"/>
        </c:scaling>
        <c:delete val="1"/>
        <c:axPos val="b"/>
        <c:numFmt formatCode="General" sourceLinked="1"/>
        <c:majorTickMark val="out"/>
        <c:minorTickMark val="none"/>
        <c:tickLblPos val="nextTo"/>
        <c:crossAx val="421633088"/>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[Dashboard_Partial.xlsm]Crime Pivot!Crime_Year</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Crime</a:t>
            </a:r>
            <a:r>
              <a:rPr lang="en-US" baseline="0"/>
              <a:t> trend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'Crime Pivot'!$B$16:$B$18</c:f>
              <c:strCache>
                <c:ptCount val="1"/>
                <c:pt idx="0">
                  <c:v>CA - San Francisco</c:v>
                </c:pt>
              </c:strCache>
            </c:strRef>
          </c:tx>
          <c:spPr>
            <a:ln w="28575" cap="rnd">
              <a:solidFill>
                <a:schemeClr val="accent6">
                  <a:shade val="42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Pivot'!$B$19:$B$28</c:f>
              <c:numCache>
                <c:formatCode>General</c:formatCode>
                <c:ptCount val="10"/>
                <c:pt idx="0">
                  <c:v>50.22</c:v>
                </c:pt>
                <c:pt idx="1">
                  <c:v>46.75</c:v>
                </c:pt>
                <c:pt idx="2">
                  <c:v>47.16</c:v>
                </c:pt>
                <c:pt idx="3">
                  <c:v>54.71</c:v>
                </c:pt>
                <c:pt idx="4">
                  <c:v>66.7</c:v>
                </c:pt>
                <c:pt idx="5">
                  <c:v>61.27</c:v>
                </c:pt>
                <c:pt idx="6">
                  <c:v>69.459999999999994</c:v>
                </c:pt>
                <c:pt idx="7">
                  <c:v>69.17</c:v>
                </c:pt>
                <c:pt idx="8">
                  <c:v>62.57</c:v>
                </c:pt>
                <c:pt idx="9">
                  <c:v>62.06</c:v>
                </c:pt>
              </c:numCache>
            </c:numRef>
          </c:val>
          <c:smooth val="0"/>
          <c:extLst>
            <c:ext xmlns:c16="http://schemas.microsoft.com/office/drawing/2014/chart" uri="{C3380CC4-5D6E-409C-BE32-E72D297353CC}">
              <c16:uniqueId val="{00000000-4A71-4246-972D-29775E99D282}"/>
            </c:ext>
          </c:extLst>
        </c:ser>
        <c:ser>
          <c:idx val="1"/>
          <c:order val="1"/>
          <c:tx>
            <c:strRef>
              <c:f>'Crime Pivot'!$C$16:$C$18</c:f>
              <c:strCache>
                <c:ptCount val="1"/>
                <c:pt idx="0">
                  <c:v>CO - Denver</c:v>
                </c:pt>
              </c:strCache>
            </c:strRef>
          </c:tx>
          <c:spPr>
            <a:ln w="28575" cap="rnd">
              <a:solidFill>
                <a:schemeClr val="accent6">
                  <a:shade val="55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Pivot'!$C$19:$C$28</c:f>
              <c:numCache>
                <c:formatCode>General</c:formatCode>
                <c:ptCount val="10"/>
                <c:pt idx="0">
                  <c:v>40.53</c:v>
                </c:pt>
                <c:pt idx="1">
                  <c:v>39.68</c:v>
                </c:pt>
                <c:pt idx="2">
                  <c:v>43.07</c:v>
                </c:pt>
                <c:pt idx="3">
                  <c:v>43.45</c:v>
                </c:pt>
                <c:pt idx="4">
                  <c:v>42.98</c:v>
                </c:pt>
                <c:pt idx="5">
                  <c:v>39.79</c:v>
                </c:pt>
                <c:pt idx="6">
                  <c:v>42.2</c:v>
                </c:pt>
                <c:pt idx="7">
                  <c:v>43.61</c:v>
                </c:pt>
                <c:pt idx="8">
                  <c:v>44.18</c:v>
                </c:pt>
                <c:pt idx="9">
                  <c:v>45.07</c:v>
                </c:pt>
              </c:numCache>
            </c:numRef>
          </c:val>
          <c:smooth val="0"/>
          <c:extLst>
            <c:ext xmlns:c16="http://schemas.microsoft.com/office/drawing/2014/chart" uri="{C3380CC4-5D6E-409C-BE32-E72D297353CC}">
              <c16:uniqueId val="{00000013-0239-4707-A760-2E73FD5AB93E}"/>
            </c:ext>
          </c:extLst>
        </c:ser>
        <c:ser>
          <c:idx val="2"/>
          <c:order val="2"/>
          <c:tx>
            <c:strRef>
              <c:f>'Crime Pivot'!$D$16:$D$18</c:f>
              <c:strCache>
                <c:ptCount val="1"/>
                <c:pt idx="0">
                  <c:v>FL - Miami Beach</c:v>
                </c:pt>
              </c:strCache>
            </c:strRef>
          </c:tx>
          <c:spPr>
            <a:ln w="28575" cap="rnd">
              <a:solidFill>
                <a:schemeClr val="accent6">
                  <a:shade val="68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Pivot'!$D$19:$D$28</c:f>
              <c:numCache>
                <c:formatCode>General</c:formatCode>
                <c:ptCount val="10"/>
                <c:pt idx="0">
                  <c:v>111.04</c:v>
                </c:pt>
                <c:pt idx="1">
                  <c:v>109.29</c:v>
                </c:pt>
                <c:pt idx="2">
                  <c:v>117.91</c:v>
                </c:pt>
                <c:pt idx="3">
                  <c:v>109.5</c:v>
                </c:pt>
                <c:pt idx="4">
                  <c:v>116.76</c:v>
                </c:pt>
                <c:pt idx="5">
                  <c:v>112.48</c:v>
                </c:pt>
                <c:pt idx="6">
                  <c:v>108.09</c:v>
                </c:pt>
                <c:pt idx="7">
                  <c:v>91.53</c:v>
                </c:pt>
                <c:pt idx="8">
                  <c:v>84.25</c:v>
                </c:pt>
                <c:pt idx="9">
                  <c:v>85.04</c:v>
                </c:pt>
              </c:numCache>
            </c:numRef>
          </c:val>
          <c:smooth val="0"/>
          <c:extLst>
            <c:ext xmlns:c16="http://schemas.microsoft.com/office/drawing/2014/chart" uri="{C3380CC4-5D6E-409C-BE32-E72D297353CC}">
              <c16:uniqueId val="{00000014-0239-4707-A760-2E73FD5AB93E}"/>
            </c:ext>
          </c:extLst>
        </c:ser>
        <c:ser>
          <c:idx val="3"/>
          <c:order val="3"/>
          <c:tx>
            <c:strRef>
              <c:f>'Crime Pivot'!$E$16:$E$18</c:f>
              <c:strCache>
                <c:ptCount val="1"/>
                <c:pt idx="0">
                  <c:v>HI - Honolulu</c:v>
                </c:pt>
              </c:strCache>
            </c:strRef>
          </c:tx>
          <c:spPr>
            <a:ln w="28575" cap="rnd">
              <a:solidFill>
                <a:schemeClr val="accent6">
                  <a:shade val="80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Pivot'!$E$19:$E$28</c:f>
              <c:numCache>
                <c:formatCode>General</c:formatCode>
                <c:ptCount val="10"/>
                <c:pt idx="0">
                  <c:v>40.04</c:v>
                </c:pt>
                <c:pt idx="1">
                  <c:v>36.369999999999997</c:v>
                </c:pt>
                <c:pt idx="2">
                  <c:v>0</c:v>
                </c:pt>
                <c:pt idx="3">
                  <c:v>0</c:v>
                </c:pt>
                <c:pt idx="4">
                  <c:v>0</c:v>
                </c:pt>
                <c:pt idx="5">
                  <c:v>0</c:v>
                </c:pt>
                <c:pt idx="6">
                  <c:v>33.78</c:v>
                </c:pt>
                <c:pt idx="7">
                  <c:v>30.54</c:v>
                </c:pt>
                <c:pt idx="8">
                  <c:v>32.17</c:v>
                </c:pt>
                <c:pt idx="9">
                  <c:v>33</c:v>
                </c:pt>
              </c:numCache>
            </c:numRef>
          </c:val>
          <c:smooth val="0"/>
          <c:extLst>
            <c:ext xmlns:c16="http://schemas.microsoft.com/office/drawing/2014/chart" uri="{C3380CC4-5D6E-409C-BE32-E72D297353CC}">
              <c16:uniqueId val="{00000015-0239-4707-A760-2E73FD5AB93E}"/>
            </c:ext>
          </c:extLst>
        </c:ser>
        <c:ser>
          <c:idx val="4"/>
          <c:order val="4"/>
          <c:tx>
            <c:strRef>
              <c:f>'Crime Pivot'!$F$16:$F$18</c:f>
              <c:strCache>
                <c:ptCount val="1"/>
                <c:pt idx="0">
                  <c:v>MA - Boston</c:v>
                </c:pt>
              </c:strCache>
            </c:strRef>
          </c:tx>
          <c:spPr>
            <a:ln w="28575" cap="rnd">
              <a:solidFill>
                <a:schemeClr val="accent6">
                  <a:shade val="93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Pivot'!$F$19:$F$28</c:f>
              <c:numCache>
                <c:formatCode>General</c:formatCode>
                <c:ptCount val="10"/>
                <c:pt idx="0">
                  <c:v>43.16</c:v>
                </c:pt>
                <c:pt idx="1">
                  <c:v>41.06</c:v>
                </c:pt>
                <c:pt idx="2">
                  <c:v>39.75</c:v>
                </c:pt>
                <c:pt idx="3">
                  <c:v>37.450000000000003</c:v>
                </c:pt>
                <c:pt idx="4">
                  <c:v>35.549999999999997</c:v>
                </c:pt>
                <c:pt idx="5">
                  <c:v>33.65</c:v>
                </c:pt>
                <c:pt idx="6">
                  <c:v>30.23</c:v>
                </c:pt>
                <c:pt idx="7">
                  <c:v>27.58</c:v>
                </c:pt>
                <c:pt idx="8">
                  <c:v>26.39</c:v>
                </c:pt>
                <c:pt idx="9">
                  <c:v>0</c:v>
                </c:pt>
              </c:numCache>
            </c:numRef>
          </c:val>
          <c:smooth val="0"/>
          <c:extLst>
            <c:ext xmlns:c16="http://schemas.microsoft.com/office/drawing/2014/chart" uri="{C3380CC4-5D6E-409C-BE32-E72D297353CC}">
              <c16:uniqueId val="{00000016-0239-4707-A760-2E73FD5AB93E}"/>
            </c:ext>
          </c:extLst>
        </c:ser>
        <c:ser>
          <c:idx val="5"/>
          <c:order val="5"/>
          <c:tx>
            <c:strRef>
              <c:f>'Crime Pivot'!$G$16:$G$18</c:f>
              <c:strCache>
                <c:ptCount val="1"/>
                <c:pt idx="0">
                  <c:v>MN - Minneapolis</c:v>
                </c:pt>
              </c:strCache>
            </c:strRef>
          </c:tx>
          <c:spPr>
            <a:ln w="28575" cap="rnd">
              <a:solidFill>
                <a:schemeClr val="accent6">
                  <a:tint val="94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Pivot'!$G$19:$G$28</c:f>
              <c:numCache>
                <c:formatCode>General</c:formatCode>
                <c:ptCount val="10"/>
                <c:pt idx="0">
                  <c:v>58.14</c:v>
                </c:pt>
                <c:pt idx="1">
                  <c:v>58.28</c:v>
                </c:pt>
                <c:pt idx="2">
                  <c:v>59.79</c:v>
                </c:pt>
                <c:pt idx="3">
                  <c:v>59.83</c:v>
                </c:pt>
                <c:pt idx="4">
                  <c:v>59.36</c:v>
                </c:pt>
                <c:pt idx="5">
                  <c:v>57.69</c:v>
                </c:pt>
                <c:pt idx="6">
                  <c:v>52.85</c:v>
                </c:pt>
                <c:pt idx="7">
                  <c:v>57.68</c:v>
                </c:pt>
                <c:pt idx="8">
                  <c:v>47.22</c:v>
                </c:pt>
                <c:pt idx="9">
                  <c:v>54.6</c:v>
                </c:pt>
              </c:numCache>
            </c:numRef>
          </c:val>
          <c:smooth val="0"/>
          <c:extLst>
            <c:ext xmlns:c16="http://schemas.microsoft.com/office/drawing/2014/chart" uri="{C3380CC4-5D6E-409C-BE32-E72D297353CC}">
              <c16:uniqueId val="{00000017-0239-4707-A760-2E73FD5AB93E}"/>
            </c:ext>
          </c:extLst>
        </c:ser>
        <c:ser>
          <c:idx val="6"/>
          <c:order val="6"/>
          <c:tx>
            <c:strRef>
              <c:f>'Crime Pivot'!$H$16:$H$18</c:f>
              <c:strCache>
                <c:ptCount val="1"/>
                <c:pt idx="0">
                  <c:v>OK - Oklahoma City</c:v>
                </c:pt>
              </c:strCache>
            </c:strRef>
          </c:tx>
          <c:spPr>
            <a:ln w="28575" cap="rnd">
              <a:solidFill>
                <a:schemeClr val="accent6">
                  <a:tint val="81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Pivot'!$H$19:$H$28</c:f>
              <c:numCache>
                <c:formatCode>General</c:formatCode>
                <c:ptCount val="10"/>
                <c:pt idx="0">
                  <c:v>70.5</c:v>
                </c:pt>
                <c:pt idx="1">
                  <c:v>67.650000000000006</c:v>
                </c:pt>
                <c:pt idx="2">
                  <c:v>67.06</c:v>
                </c:pt>
                <c:pt idx="3">
                  <c:v>68.81</c:v>
                </c:pt>
                <c:pt idx="4">
                  <c:v>62.16</c:v>
                </c:pt>
                <c:pt idx="5">
                  <c:v>52</c:v>
                </c:pt>
                <c:pt idx="6">
                  <c:v>47.36</c:v>
                </c:pt>
                <c:pt idx="7">
                  <c:v>45.52</c:v>
                </c:pt>
                <c:pt idx="8">
                  <c:v>49.05</c:v>
                </c:pt>
                <c:pt idx="9">
                  <c:v>48.28</c:v>
                </c:pt>
              </c:numCache>
            </c:numRef>
          </c:val>
          <c:smooth val="0"/>
          <c:extLst>
            <c:ext xmlns:c16="http://schemas.microsoft.com/office/drawing/2014/chart" uri="{C3380CC4-5D6E-409C-BE32-E72D297353CC}">
              <c16:uniqueId val="{00000018-0239-4707-A760-2E73FD5AB93E}"/>
            </c:ext>
          </c:extLst>
        </c:ser>
        <c:ser>
          <c:idx val="7"/>
          <c:order val="7"/>
          <c:tx>
            <c:strRef>
              <c:f>'Crime Pivot'!$I$16:$I$18</c:f>
              <c:strCache>
                <c:ptCount val="1"/>
                <c:pt idx="0">
                  <c:v>TN - Nashville</c:v>
                </c:pt>
              </c:strCache>
            </c:strRef>
          </c:tx>
          <c:spPr>
            <a:ln w="28575" cap="rnd">
              <a:solidFill>
                <a:schemeClr val="accent6">
                  <a:tint val="69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Pivot'!$I$19:$I$28</c:f>
              <c:numCache>
                <c:formatCode>General</c:formatCode>
                <c:ptCount val="10"/>
                <c:pt idx="0">
                  <c:v>59.3</c:v>
                </c:pt>
                <c:pt idx="1">
                  <c:v>60.99</c:v>
                </c:pt>
                <c:pt idx="2">
                  <c:v>59.72</c:v>
                </c:pt>
                <c:pt idx="3">
                  <c:v>54.27</c:v>
                </c:pt>
                <c:pt idx="4">
                  <c:v>49.02</c:v>
                </c:pt>
                <c:pt idx="5">
                  <c:v>47.68</c:v>
                </c:pt>
                <c:pt idx="6">
                  <c:v>0</c:v>
                </c:pt>
                <c:pt idx="7">
                  <c:v>0</c:v>
                </c:pt>
                <c:pt idx="8">
                  <c:v>0</c:v>
                </c:pt>
                <c:pt idx="9">
                  <c:v>0</c:v>
                </c:pt>
              </c:numCache>
            </c:numRef>
          </c:val>
          <c:smooth val="0"/>
          <c:extLst>
            <c:ext xmlns:c16="http://schemas.microsoft.com/office/drawing/2014/chart" uri="{C3380CC4-5D6E-409C-BE32-E72D297353CC}">
              <c16:uniqueId val="{00000019-0239-4707-A760-2E73FD5AB93E}"/>
            </c:ext>
          </c:extLst>
        </c:ser>
        <c:ser>
          <c:idx val="8"/>
          <c:order val="8"/>
          <c:tx>
            <c:strRef>
              <c:f>'Crime Pivot'!$J$16:$J$18</c:f>
              <c:strCache>
                <c:ptCount val="1"/>
                <c:pt idx="0">
                  <c:v>TX - Austin</c:v>
                </c:pt>
              </c:strCache>
            </c:strRef>
          </c:tx>
          <c:spPr>
            <a:ln w="28575" cap="rnd">
              <a:solidFill>
                <a:schemeClr val="accent6">
                  <a:tint val="56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Pivot'!$J$19:$J$28</c:f>
              <c:numCache>
                <c:formatCode>General</c:formatCode>
                <c:ptCount val="10"/>
                <c:pt idx="0">
                  <c:v>67.81</c:v>
                </c:pt>
                <c:pt idx="1">
                  <c:v>62.46</c:v>
                </c:pt>
                <c:pt idx="2">
                  <c:v>56.81</c:v>
                </c:pt>
                <c:pt idx="3">
                  <c:v>56.43</c:v>
                </c:pt>
                <c:pt idx="4">
                  <c:v>52.25</c:v>
                </c:pt>
                <c:pt idx="5">
                  <c:v>45.49</c:v>
                </c:pt>
                <c:pt idx="6">
                  <c:v>41.53</c:v>
                </c:pt>
                <c:pt idx="7">
                  <c:v>36.119999999999997</c:v>
                </c:pt>
                <c:pt idx="8">
                  <c:v>38.46</c:v>
                </c:pt>
                <c:pt idx="9">
                  <c:v>41.22</c:v>
                </c:pt>
              </c:numCache>
            </c:numRef>
          </c:val>
          <c:smooth val="0"/>
          <c:extLst>
            <c:ext xmlns:c16="http://schemas.microsoft.com/office/drawing/2014/chart" uri="{C3380CC4-5D6E-409C-BE32-E72D297353CC}">
              <c16:uniqueId val="{0000001A-0239-4707-A760-2E73FD5AB93E}"/>
            </c:ext>
          </c:extLst>
        </c:ser>
        <c:ser>
          <c:idx val="9"/>
          <c:order val="9"/>
          <c:tx>
            <c:strRef>
              <c:f>'Crime Pivot'!$K$16:$K$18</c:f>
              <c:strCache>
                <c:ptCount val="1"/>
                <c:pt idx="0">
                  <c:v>WA - Seattle</c:v>
                </c:pt>
              </c:strCache>
            </c:strRef>
          </c:tx>
          <c:spPr>
            <a:ln w="28575" cap="rnd">
              <a:solidFill>
                <a:schemeClr val="accent6">
                  <a:tint val="43000"/>
                </a:schemeClr>
              </a:solidFill>
              <a:round/>
            </a:ln>
            <a:effectLst/>
          </c:spPr>
          <c:marker>
            <c:symbol val="none"/>
          </c:marker>
          <c:cat>
            <c:strRef>
              <c:f>'Crime Pivot'!$A$19:$A$28</c:f>
              <c:strCache>
                <c:ptCount val="10"/>
                <c:pt idx="0">
                  <c:v>2009 </c:v>
                </c:pt>
                <c:pt idx="1">
                  <c:v>2010 </c:v>
                </c:pt>
                <c:pt idx="2">
                  <c:v>2011 </c:v>
                </c:pt>
                <c:pt idx="3">
                  <c:v>2012 </c:v>
                </c:pt>
                <c:pt idx="4">
                  <c:v>2013 </c:v>
                </c:pt>
                <c:pt idx="5">
                  <c:v>2014 </c:v>
                </c:pt>
                <c:pt idx="6">
                  <c:v>2015 </c:v>
                </c:pt>
                <c:pt idx="7">
                  <c:v>2017 </c:v>
                </c:pt>
                <c:pt idx="8">
                  <c:v>2018 </c:v>
                </c:pt>
                <c:pt idx="9">
                  <c:v>2019 </c:v>
                </c:pt>
              </c:strCache>
            </c:strRef>
          </c:cat>
          <c:val>
            <c:numRef>
              <c:f>'Crime Pivot'!$K$19:$K$28</c:f>
              <c:numCache>
                <c:formatCode>General</c:formatCode>
                <c:ptCount val="10"/>
                <c:pt idx="0">
                  <c:v>64.900000000000006</c:v>
                </c:pt>
                <c:pt idx="1">
                  <c:v>59.38</c:v>
                </c:pt>
                <c:pt idx="2">
                  <c:v>57.49</c:v>
                </c:pt>
                <c:pt idx="3">
                  <c:v>57.04</c:v>
                </c:pt>
                <c:pt idx="4">
                  <c:v>61.81</c:v>
                </c:pt>
                <c:pt idx="5">
                  <c:v>67.42</c:v>
                </c:pt>
                <c:pt idx="6">
                  <c:v>61.34</c:v>
                </c:pt>
                <c:pt idx="7">
                  <c:v>59.12</c:v>
                </c:pt>
                <c:pt idx="8">
                  <c:v>58.44</c:v>
                </c:pt>
                <c:pt idx="9">
                  <c:v>50.94</c:v>
                </c:pt>
              </c:numCache>
            </c:numRef>
          </c:val>
          <c:smooth val="0"/>
          <c:extLst>
            <c:ext xmlns:c16="http://schemas.microsoft.com/office/drawing/2014/chart" uri="{C3380CC4-5D6E-409C-BE32-E72D297353CC}">
              <c16:uniqueId val="{0000001B-0239-4707-A760-2E73FD5AB93E}"/>
            </c:ext>
          </c:extLst>
        </c:ser>
        <c:dLbls>
          <c:showLegendKey val="0"/>
          <c:showVal val="0"/>
          <c:showCatName val="0"/>
          <c:showSerName val="0"/>
          <c:showPercent val="0"/>
          <c:showBubbleSize val="0"/>
        </c:dLbls>
        <c:smooth val="0"/>
        <c:axId val="686383216"/>
        <c:axId val="686382736"/>
      </c:lineChart>
      <c:catAx>
        <c:axId val="686383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382736"/>
        <c:crosses val="autoZero"/>
        <c:auto val="1"/>
        <c:lblAlgn val="ctr"/>
        <c:lblOffset val="100"/>
        <c:noMultiLvlLbl val="0"/>
      </c:catAx>
      <c:valAx>
        <c:axId val="6863827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383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[Dashboard_Partial.xlsm]Rec Pivot!Rec_Type</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Recreation</a:t>
            </a:r>
            <a:r>
              <a:rPr lang="en-US" baseline="0"/>
              <a:t> Activites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'Rec Pivot'!$B$16</c:f>
              <c:strCache>
                <c:ptCount val="1"/>
                <c:pt idx="0">
                  <c:v>BOATING </c:v>
                </c:pt>
              </c:strCache>
            </c:strRef>
          </c:tx>
          <c:spPr>
            <a:solidFill>
              <a:schemeClr val="accent6">
                <a:shade val="42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Pivot'!$B$17:$B$26</c:f>
              <c:numCache>
                <c:formatCode>General</c:formatCode>
                <c:ptCount val="10"/>
                <c:pt idx="0">
                  <c:v>85</c:v>
                </c:pt>
                <c:pt idx="1">
                  <c:v>1</c:v>
                </c:pt>
                <c:pt idx="2">
                  <c:v>62</c:v>
                </c:pt>
                <c:pt idx="3">
                  <c:v>0</c:v>
                </c:pt>
                <c:pt idx="4">
                  <c:v>13</c:v>
                </c:pt>
                <c:pt idx="5">
                  <c:v>25</c:v>
                </c:pt>
                <c:pt idx="6">
                  <c:v>40</c:v>
                </c:pt>
                <c:pt idx="7">
                  <c:v>59</c:v>
                </c:pt>
                <c:pt idx="8">
                  <c:v>47</c:v>
                </c:pt>
                <c:pt idx="9">
                  <c:v>19</c:v>
                </c:pt>
              </c:numCache>
            </c:numRef>
          </c:val>
          <c:extLst>
            <c:ext xmlns:c16="http://schemas.microsoft.com/office/drawing/2014/chart" uri="{C3380CC4-5D6E-409C-BE32-E72D297353CC}">
              <c16:uniqueId val="{00000000-8BA1-4493-84D9-5E907BF2FDC3}"/>
            </c:ext>
          </c:extLst>
        </c:ser>
        <c:ser>
          <c:idx val="1"/>
          <c:order val="1"/>
          <c:tx>
            <c:strRef>
              <c:f>'Rec Pivot'!$C$16</c:f>
              <c:strCache>
                <c:ptCount val="1"/>
                <c:pt idx="0">
                  <c:v>FISHING </c:v>
                </c:pt>
              </c:strCache>
            </c:strRef>
          </c:tx>
          <c:spPr>
            <a:solidFill>
              <a:schemeClr val="accent6">
                <a:shade val="55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Pivot'!$C$17:$C$26</c:f>
              <c:numCache>
                <c:formatCode>General</c:formatCode>
                <c:ptCount val="10"/>
                <c:pt idx="0">
                  <c:v>47</c:v>
                </c:pt>
                <c:pt idx="1">
                  <c:v>0</c:v>
                </c:pt>
                <c:pt idx="2">
                  <c:v>148</c:v>
                </c:pt>
                <c:pt idx="3">
                  <c:v>2</c:v>
                </c:pt>
                <c:pt idx="4">
                  <c:v>7</c:v>
                </c:pt>
                <c:pt idx="5">
                  <c:v>28</c:v>
                </c:pt>
                <c:pt idx="6">
                  <c:v>29</c:v>
                </c:pt>
                <c:pt idx="7">
                  <c:v>13</c:v>
                </c:pt>
                <c:pt idx="8">
                  <c:v>146</c:v>
                </c:pt>
                <c:pt idx="9">
                  <c:v>29</c:v>
                </c:pt>
              </c:numCache>
            </c:numRef>
          </c:val>
          <c:extLst>
            <c:ext xmlns:c16="http://schemas.microsoft.com/office/drawing/2014/chart" uri="{C3380CC4-5D6E-409C-BE32-E72D297353CC}">
              <c16:uniqueId val="{00000001-8BA1-4493-84D9-5E907BF2FDC3}"/>
            </c:ext>
          </c:extLst>
        </c:ser>
        <c:ser>
          <c:idx val="2"/>
          <c:order val="2"/>
          <c:tx>
            <c:strRef>
              <c:f>'Rec Pivot'!$D$16</c:f>
              <c:strCache>
                <c:ptCount val="1"/>
                <c:pt idx="0">
                  <c:v>PICNICKING </c:v>
                </c:pt>
              </c:strCache>
            </c:strRef>
          </c:tx>
          <c:spPr>
            <a:solidFill>
              <a:schemeClr val="accent6">
                <a:shade val="68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Pivot'!$D$17:$D$26</c:f>
              <c:numCache>
                <c:formatCode>General</c:formatCode>
                <c:ptCount val="10"/>
                <c:pt idx="0">
                  <c:v>75</c:v>
                </c:pt>
                <c:pt idx="1">
                  <c:v>2</c:v>
                </c:pt>
                <c:pt idx="2">
                  <c:v>145</c:v>
                </c:pt>
                <c:pt idx="3">
                  <c:v>0</c:v>
                </c:pt>
                <c:pt idx="4">
                  <c:v>12</c:v>
                </c:pt>
                <c:pt idx="5">
                  <c:v>6</c:v>
                </c:pt>
                <c:pt idx="6">
                  <c:v>34</c:v>
                </c:pt>
                <c:pt idx="7">
                  <c:v>34</c:v>
                </c:pt>
                <c:pt idx="8">
                  <c:v>244</c:v>
                </c:pt>
                <c:pt idx="9">
                  <c:v>45</c:v>
                </c:pt>
              </c:numCache>
            </c:numRef>
          </c:val>
          <c:extLst>
            <c:ext xmlns:c16="http://schemas.microsoft.com/office/drawing/2014/chart" uri="{C3380CC4-5D6E-409C-BE32-E72D297353CC}">
              <c16:uniqueId val="{00000002-8BA1-4493-84D9-5E907BF2FDC3}"/>
            </c:ext>
          </c:extLst>
        </c:ser>
        <c:ser>
          <c:idx val="3"/>
          <c:order val="3"/>
          <c:tx>
            <c:strRef>
              <c:f>'Rec Pivot'!$E$16</c:f>
              <c:strCache>
                <c:ptCount val="1"/>
                <c:pt idx="0">
                  <c:v>WILDLIFE VIEWING </c:v>
                </c:pt>
              </c:strCache>
            </c:strRef>
          </c:tx>
          <c:spPr>
            <a:solidFill>
              <a:schemeClr val="accent6">
                <a:shade val="80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Pivot'!$E$17:$E$26</c:f>
              <c:numCache>
                <c:formatCode>General</c:formatCode>
                <c:ptCount val="10"/>
                <c:pt idx="0">
                  <c:v>3</c:v>
                </c:pt>
                <c:pt idx="1">
                  <c:v>2</c:v>
                </c:pt>
                <c:pt idx="2">
                  <c:v>74</c:v>
                </c:pt>
                <c:pt idx="3">
                  <c:v>4</c:v>
                </c:pt>
                <c:pt idx="4">
                  <c:v>1</c:v>
                </c:pt>
                <c:pt idx="5">
                  <c:v>8</c:v>
                </c:pt>
                <c:pt idx="6">
                  <c:v>5</c:v>
                </c:pt>
                <c:pt idx="7">
                  <c:v>1</c:v>
                </c:pt>
                <c:pt idx="8">
                  <c:v>48</c:v>
                </c:pt>
                <c:pt idx="9">
                  <c:v>32</c:v>
                </c:pt>
              </c:numCache>
            </c:numRef>
          </c:val>
          <c:extLst>
            <c:ext xmlns:c16="http://schemas.microsoft.com/office/drawing/2014/chart" uri="{C3380CC4-5D6E-409C-BE32-E72D297353CC}">
              <c16:uniqueId val="{00000003-8BA1-4493-84D9-5E907BF2FDC3}"/>
            </c:ext>
          </c:extLst>
        </c:ser>
        <c:ser>
          <c:idx val="4"/>
          <c:order val="4"/>
          <c:tx>
            <c:strRef>
              <c:f>'Rec Pivot'!$F$16</c:f>
              <c:strCache>
                <c:ptCount val="1"/>
                <c:pt idx="0">
                  <c:v>HIKING </c:v>
                </c:pt>
              </c:strCache>
            </c:strRef>
          </c:tx>
          <c:spPr>
            <a:solidFill>
              <a:schemeClr val="accent6">
                <a:shade val="93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Pivot'!$F$17:$F$26</c:f>
              <c:numCache>
                <c:formatCode>General</c:formatCode>
                <c:ptCount val="10"/>
                <c:pt idx="0">
                  <c:v>56</c:v>
                </c:pt>
                <c:pt idx="1">
                  <c:v>1</c:v>
                </c:pt>
                <c:pt idx="2">
                  <c:v>419</c:v>
                </c:pt>
                <c:pt idx="3">
                  <c:v>0</c:v>
                </c:pt>
                <c:pt idx="4">
                  <c:v>2</c:v>
                </c:pt>
                <c:pt idx="5">
                  <c:v>7</c:v>
                </c:pt>
                <c:pt idx="6">
                  <c:v>21</c:v>
                </c:pt>
                <c:pt idx="7">
                  <c:v>15</c:v>
                </c:pt>
                <c:pt idx="8">
                  <c:v>319</c:v>
                </c:pt>
                <c:pt idx="9">
                  <c:v>130</c:v>
                </c:pt>
              </c:numCache>
            </c:numRef>
          </c:val>
          <c:extLst>
            <c:ext xmlns:c16="http://schemas.microsoft.com/office/drawing/2014/chart" uri="{C3380CC4-5D6E-409C-BE32-E72D297353CC}">
              <c16:uniqueId val="{00000004-8BA1-4493-84D9-5E907BF2FDC3}"/>
            </c:ext>
          </c:extLst>
        </c:ser>
        <c:ser>
          <c:idx val="5"/>
          <c:order val="5"/>
          <c:tx>
            <c:strRef>
              <c:f>'Rec Pivot'!$G$16</c:f>
              <c:strCache>
                <c:ptCount val="1"/>
                <c:pt idx="0">
                  <c:v>BIKING </c:v>
                </c:pt>
              </c:strCache>
            </c:strRef>
          </c:tx>
          <c:spPr>
            <a:solidFill>
              <a:schemeClr val="accent6">
                <a:tint val="94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Pivot'!$G$17:$G$26</c:f>
              <c:numCache>
                <c:formatCode>General</c:formatCode>
                <c:ptCount val="10"/>
                <c:pt idx="0">
                  <c:v>12</c:v>
                </c:pt>
                <c:pt idx="1">
                  <c:v>0</c:v>
                </c:pt>
                <c:pt idx="2">
                  <c:v>200</c:v>
                </c:pt>
                <c:pt idx="3">
                  <c:v>2</c:v>
                </c:pt>
                <c:pt idx="4">
                  <c:v>0</c:v>
                </c:pt>
                <c:pt idx="5">
                  <c:v>4</c:v>
                </c:pt>
                <c:pt idx="6">
                  <c:v>2</c:v>
                </c:pt>
                <c:pt idx="7">
                  <c:v>2</c:v>
                </c:pt>
                <c:pt idx="8">
                  <c:v>69</c:v>
                </c:pt>
                <c:pt idx="9">
                  <c:v>30</c:v>
                </c:pt>
              </c:numCache>
            </c:numRef>
          </c:val>
          <c:extLst>
            <c:ext xmlns:c16="http://schemas.microsoft.com/office/drawing/2014/chart" uri="{C3380CC4-5D6E-409C-BE32-E72D297353CC}">
              <c16:uniqueId val="{00000005-8BA1-4493-84D9-5E907BF2FDC3}"/>
            </c:ext>
          </c:extLst>
        </c:ser>
        <c:ser>
          <c:idx val="6"/>
          <c:order val="6"/>
          <c:tx>
            <c:strRef>
              <c:f>'Rec Pivot'!$H$16</c:f>
              <c:strCache>
                <c:ptCount val="1"/>
                <c:pt idx="0">
                  <c:v>CAMPING </c:v>
                </c:pt>
              </c:strCache>
            </c:strRef>
          </c:tx>
          <c:spPr>
            <a:solidFill>
              <a:schemeClr val="accent6">
                <a:tint val="81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Pivot'!$H$17:$H$26</c:f>
              <c:numCache>
                <c:formatCode>General</c:formatCode>
                <c:ptCount val="10"/>
                <c:pt idx="0">
                  <c:v>68</c:v>
                </c:pt>
                <c:pt idx="1">
                  <c:v>1</c:v>
                </c:pt>
                <c:pt idx="2">
                  <c:v>110</c:v>
                </c:pt>
                <c:pt idx="3">
                  <c:v>1</c:v>
                </c:pt>
                <c:pt idx="4">
                  <c:v>11</c:v>
                </c:pt>
                <c:pt idx="5">
                  <c:v>5</c:v>
                </c:pt>
                <c:pt idx="6">
                  <c:v>26</c:v>
                </c:pt>
                <c:pt idx="7">
                  <c:v>43</c:v>
                </c:pt>
                <c:pt idx="8">
                  <c:v>86</c:v>
                </c:pt>
                <c:pt idx="9">
                  <c:v>27</c:v>
                </c:pt>
              </c:numCache>
            </c:numRef>
          </c:val>
          <c:extLst>
            <c:ext xmlns:c16="http://schemas.microsoft.com/office/drawing/2014/chart" uri="{C3380CC4-5D6E-409C-BE32-E72D297353CC}">
              <c16:uniqueId val="{00000006-8BA1-4493-84D9-5E907BF2FDC3}"/>
            </c:ext>
          </c:extLst>
        </c:ser>
        <c:ser>
          <c:idx val="7"/>
          <c:order val="7"/>
          <c:tx>
            <c:strRef>
              <c:f>'Rec Pivot'!$I$16</c:f>
              <c:strCache>
                <c:ptCount val="1"/>
                <c:pt idx="0">
                  <c:v>WATER SPORTS </c:v>
                </c:pt>
              </c:strCache>
            </c:strRef>
          </c:tx>
          <c:spPr>
            <a:solidFill>
              <a:schemeClr val="accent6">
                <a:tint val="69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Pivot'!$I$17:$I$26</c:f>
              <c:numCache>
                <c:formatCode>General</c:formatCode>
                <c:ptCount val="10"/>
                <c:pt idx="0">
                  <c:v>78</c:v>
                </c:pt>
                <c:pt idx="1">
                  <c:v>1</c:v>
                </c:pt>
                <c:pt idx="2">
                  <c:v>4</c:v>
                </c:pt>
                <c:pt idx="3">
                  <c:v>4</c:v>
                </c:pt>
                <c:pt idx="4">
                  <c:v>13</c:v>
                </c:pt>
                <c:pt idx="5">
                  <c:v>0</c:v>
                </c:pt>
                <c:pt idx="6">
                  <c:v>32</c:v>
                </c:pt>
                <c:pt idx="7">
                  <c:v>59</c:v>
                </c:pt>
                <c:pt idx="8">
                  <c:v>5</c:v>
                </c:pt>
                <c:pt idx="9">
                  <c:v>6</c:v>
                </c:pt>
              </c:numCache>
            </c:numRef>
          </c:val>
          <c:extLst>
            <c:ext xmlns:c16="http://schemas.microsoft.com/office/drawing/2014/chart" uri="{C3380CC4-5D6E-409C-BE32-E72D297353CC}">
              <c16:uniqueId val="{00000007-8BA1-4493-84D9-5E907BF2FDC3}"/>
            </c:ext>
          </c:extLst>
        </c:ser>
        <c:ser>
          <c:idx val="8"/>
          <c:order val="8"/>
          <c:tx>
            <c:strRef>
              <c:f>'Rec Pivot'!$J$16</c:f>
              <c:strCache>
                <c:ptCount val="1"/>
                <c:pt idx="0">
                  <c:v>OFF HIGHWAY VEHICLE </c:v>
                </c:pt>
              </c:strCache>
            </c:strRef>
          </c:tx>
          <c:spPr>
            <a:solidFill>
              <a:schemeClr val="accent6">
                <a:tint val="56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Pivot'!$J$17:$J$26</c:f>
              <c:numCache>
                <c:formatCode>General</c:formatCode>
                <c:ptCount val="10"/>
                <c:pt idx="0">
                  <c:v>5</c:v>
                </c:pt>
                <c:pt idx="1">
                  <c:v>0</c:v>
                </c:pt>
                <c:pt idx="2">
                  <c:v>151</c:v>
                </c:pt>
                <c:pt idx="3">
                  <c:v>0</c:v>
                </c:pt>
                <c:pt idx="4">
                  <c:v>0</c:v>
                </c:pt>
                <c:pt idx="5">
                  <c:v>0</c:v>
                </c:pt>
                <c:pt idx="6">
                  <c:v>1</c:v>
                </c:pt>
                <c:pt idx="7">
                  <c:v>1</c:v>
                </c:pt>
                <c:pt idx="8">
                  <c:v>101</c:v>
                </c:pt>
                <c:pt idx="9">
                  <c:v>18</c:v>
                </c:pt>
              </c:numCache>
            </c:numRef>
          </c:val>
          <c:extLst>
            <c:ext xmlns:c16="http://schemas.microsoft.com/office/drawing/2014/chart" uri="{C3380CC4-5D6E-409C-BE32-E72D297353CC}">
              <c16:uniqueId val="{00000008-8BA1-4493-84D9-5E907BF2FDC3}"/>
            </c:ext>
          </c:extLst>
        </c:ser>
        <c:ser>
          <c:idx val="9"/>
          <c:order val="9"/>
          <c:tx>
            <c:strRef>
              <c:f>'Rec Pivot'!$K$16</c:f>
              <c:strCache>
                <c:ptCount val="1"/>
                <c:pt idx="0">
                  <c:v>HORSEBACK RIDING </c:v>
                </c:pt>
              </c:strCache>
            </c:strRef>
          </c:tx>
          <c:spPr>
            <a:solidFill>
              <a:schemeClr val="accent6">
                <a:tint val="43000"/>
              </a:schemeClr>
            </a:solidFill>
            <a:ln>
              <a:noFill/>
            </a:ln>
            <a:effectLst/>
          </c:spPr>
          <c:invertIfNegative val="0"/>
          <c:cat>
            <c:strRef>
              <c:f>'Rec Pivot'!$A$17:$A$26</c:f>
              <c:strCache>
                <c:ptCount val="10"/>
                <c:pt idx="0">
                  <c:v>Austin</c:v>
                </c:pt>
                <c:pt idx="1">
                  <c:v>Boston</c:v>
                </c:pt>
                <c:pt idx="2">
                  <c:v>Denver</c:v>
                </c:pt>
                <c:pt idx="3">
                  <c:v>Honolulu</c:v>
                </c:pt>
                <c:pt idx="4">
                  <c:v>Miami Beach</c:v>
                </c:pt>
                <c:pt idx="5">
                  <c:v>Minneapolis</c:v>
                </c:pt>
                <c:pt idx="6">
                  <c:v>Nashville</c:v>
                </c:pt>
                <c:pt idx="7">
                  <c:v>Oklahoma City</c:v>
                </c:pt>
                <c:pt idx="8">
                  <c:v>San Francisco</c:v>
                </c:pt>
                <c:pt idx="9">
                  <c:v>Seattle</c:v>
                </c:pt>
              </c:strCache>
            </c:strRef>
          </c:cat>
          <c:val>
            <c:numRef>
              <c:f>'Rec Pivot'!$K$17:$K$26</c:f>
              <c:numCache>
                <c:formatCode>General</c:formatCode>
                <c:ptCount val="10"/>
                <c:pt idx="0">
                  <c:v>18</c:v>
                </c:pt>
                <c:pt idx="1">
                  <c:v>0</c:v>
                </c:pt>
                <c:pt idx="2">
                  <c:v>297</c:v>
                </c:pt>
                <c:pt idx="3">
                  <c:v>0</c:v>
                </c:pt>
                <c:pt idx="4">
                  <c:v>0</c:v>
                </c:pt>
                <c:pt idx="5">
                  <c:v>1</c:v>
                </c:pt>
                <c:pt idx="6">
                  <c:v>7</c:v>
                </c:pt>
                <c:pt idx="7">
                  <c:v>6</c:v>
                </c:pt>
                <c:pt idx="8">
                  <c:v>131</c:v>
                </c:pt>
                <c:pt idx="9">
                  <c:v>77</c:v>
                </c:pt>
              </c:numCache>
            </c:numRef>
          </c:val>
          <c:extLst>
            <c:ext xmlns:c16="http://schemas.microsoft.com/office/drawing/2014/chart" uri="{C3380CC4-5D6E-409C-BE32-E72D297353CC}">
              <c16:uniqueId val="{00000009-8BA1-4493-84D9-5E907BF2FDC3}"/>
            </c:ext>
          </c:extLst>
        </c:ser>
        <c:dLbls>
          <c:showLegendKey val="0"/>
          <c:showVal val="0"/>
          <c:showCatName val="0"/>
          <c:showSerName val="0"/>
          <c:showPercent val="0"/>
          <c:showBubbleSize val="0"/>
        </c:dLbls>
        <c:gapWidth val="219"/>
        <c:overlap val="-27"/>
        <c:axId val="1677075823"/>
        <c:axId val="1677081583"/>
      </c:barChart>
      <c:catAx>
        <c:axId val="1677075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7081583"/>
        <c:crosses val="autoZero"/>
        <c:auto val="1"/>
        <c:lblAlgn val="ctr"/>
        <c:lblOffset val="100"/>
        <c:noMultiLvlLbl val="0"/>
      </c:catAx>
      <c:valAx>
        <c:axId val="16770815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70758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Recreation Centre Distribution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Recreation Centre Distribution</a:t>
          </a:r>
        </a:p>
      </cx:txPr>
    </cx:title>
    <cx:plotArea>
      <cx:plotAreaRegion>
        <cx:series layoutId="regionMap" uniqueId="{138EF57F-6414-4232-89FD-B05F889BB48E}">
          <cx:tx>
            <cx:txData>
              <cx:f>_xlchart.v5.2</cx:f>
              <cx:v>Recreation </cx:v>
            </cx:txData>
          </cx:tx>
          <cx:dataLabels>
            <cx:visibility seriesName="0" categoryName="0" value="1"/>
          </cx:dataLabels>
          <cx:dataId val="0"/>
          <cx:layoutPr>
            <cx:geography cultureLanguage="en-US" cultureRegion="US" attribution="Powered by Bing">
              <cx:geoCache provider="{E9337A44-BEBE-4D9F-B70C-5C5E7DAFC167}">
                <cx:binary>1HtZc9y4ku5f6fDzpZsgAII4cXoiLlmratNi2bJeGLIkE+AG7gT56yeJslVSta57+sRE3Gg9wMgv
M8EiE0su8L8f9b8e0+eH6jedpXn9r0f9xwfRNMW/fv+9fhTP2UP9MZOPlarV9+bjo8p+V9+/y8fn
35+qh17m0e+Ojcjvj+Khap71h//6N4wWPautenxopMqv2udquH6u27Spf8F7l/Xbo2rzZlKPYKQ/
Ptzmsnl++u2meWie6w+/PeeNbIZPQ/H8x4c3kh9++/18vD89+7cUfl7TPoEu5h+pjanrMszNH/vw
W6ry6Afb4vyjjTxsOxwd+e7PZ+8fMtD/H/8s86Menp6q57r+7ce/f1J/8yZ/4spaBcePEqjpt9/e
mJf9/e1H/69/nwHw+mfIK7ucf6u/YsFPz2Q+k3VTyccG/fHh0/7nBzka4w3/7xqDfvSIwzlxvePH
9t4aw3M/YoIdSmxumz/n57OPxvj0nOfweZ+ff8Lv/aT3DfFK9c0bHF/wH2iXxfZXH+HvLRLH+0g5
pcjB/MwgzkfiMUwcWCHmD/986NEgi1RV8unhJ/g/N8eL4pkxprf6Bxoj+L+/+gR/zxiYfYQV4Lqw
IR2/OXprE4T4Rxcxh3GbHFfRz2cfbRI8pPK7qnL5H5jlte6ZZaZX/AdaZve/aBnifITvjil16VuT
MPTRtaltY0xf9rXjAXY0ye6hrh8eRVs/N83Z2fbmKx8P2D8dImfqb1T++DC94T/QMMHh57R9b9f4
m0vG+8i5R6lNnPeXjE0/UsI87J7tX4GCDezhSf3qp7x/npw0z8wxvdc/0Byr9a++wd8zh9mgbI+5
tve+OSiYw2GEu5j8fOpxoawe+gcpf2LvTYz3rfFT78wW00v9A23x6e5XX+Dv2QKjj8TFHvEQetcW
4P9ijB3OGPhl0x+4ZK+3rk/P+uE/2LJ+qJ3ZY3qxf6A9dv+LLjCZXFyOCObvrw1OPiIO3hZ2znzf
nZx8X9X8B6f6K9Uzg0xv9g80yGHzc5K+t0X8zQUCe5GHCXHh/DZ/6O3ZzhkEkJP7y9hxgYCL/HqB
HJL0QajsPzDLSfPMKtPr/QOt8gUckddh+5u3+puRImEfCUKYYUSOVoHV8DpsR479Efww7EHM8vOp
xyPky0MtIHHRqPwn/t4cef8Yea375tf/8WF6uf8fNvl/R/YvWY/ZQ/MwN+mSV8H9r7nm9SGRc6b6
xnxv3vbnt1w//fHBIXBqvyRhpiHeLIh3MyYves8PdfPHB8t1P3JmY8444Q7yGDjU/fPEAQf7I+GE
cZdRhzvcheWWq6oRf3wALxuDFwdOnANmB41atROOwPuDpAHkb5DDEIfI6CVRdanSIVL5y8f4Qf+W
t9mlknlTQ4IIwdsUR7npV0JuAka3uYuww1yOPQdOxOLx4RomFYij/5OiuMpRn9DnEqsdzW18q8vU
mRVi5EvUuc5tT0pnlo0VXxqu7VnoyHWqHB+5aZr84L6na4Yywu/pIv4gIyVmUVeUG9N4aVoW/onm
eig3bGrOsDgai5+CVr1180avIjJW21OTFvw1KUlmbVSy4iXHX6IizbbY5VFgTWQ55Pa87wVbOm5J
vjiseUrypj9EevSREHPFqniRjP1wT4syyBvEv3SRXlAeN03o22wkszQcw80wlOHG9NyCh5s8jNzK
P9FJiPBF18V+MtjRnLBw8JsKx9HM60e00Sli5QKBg7MxtHDbg6VC+1uRyHg1xCTfxqNQ23RqRKhZ
kNoFCc4YhjSNKyu1TYrEqn3TLVY86pOt4aVaW/NI6HgeRUO30Hj09nFddYuoCL29mHqj1tqvOFWz
Ai1VjevP3C6tyyZVyTKxhPJ10al9NzWhlUDDysGnRd77TdNHbeGTzM1mRRnxJW6aPYqacR8VFrlB
StZzpwujRaUreiOiot9FRX1bZlk4s4VNu+skiesLLQLm0vq6tdPmGt6jW+VSyiNmGNNa8bmMo7Uh
3dGJrn+lZAZKabfClVLrXmNV+lS2w6b3kteNwQqH6VcMg3WkuP1hcw/vh7hbEdSnhwpLcROGFl3W
xEVBRVxxo+sB+V1f61ns9M2yTBq8QchpLwrWdysPlXJPdezOc29U1472cECtRHxJUpb7vebdpshL
e6YcnQZxX8efTS996dW9JY/YqcfA01rFqXDnKK1kgFhOl1yErQgM3ecdXUYZj1YdGtpZN4rSt+pe
3DCd5Kux6spVpG3vuqi7yu+sLH4Sup83pcjum3BAM0EsuaONE24jnJBZ2AzhQrWE+lkRRsgHv4L6
MOnVokgdtReDUHubVWo/TE3JeuprXhULw6i8QSBYN8CxREN9ryweWat3ZZjeO3HWi6DgpXUxkXne
dSJQbLQucKvuYXnCC72QVU6qq3pcIzxmm5E2uPRJQtAmztMkmjWJaua4H6sjeOTHNfrmFplYsYzK
uRKWG7SdFXtLaj1aTaZ3CQvxPtM88GKWjp+7tE99u5SRl/te1KQ+osXgRzQZLvlI9bHJyQw05Gsk
0p6vympchgREdaoDTZxhmbJIXqlQOb4zVNmj7KOVjlv9hdbVnuXlMpn2EdPArhdu6LSPGDIzm8mJ
BgMewjGXPqtQvG06lO1ERdgMjpvxLgrtrVs77pOQ4w0ZqfySebyf2zSMt2qssp3k/Idol4/bmGTq
y6uj8J3TBXyYs9OF29whnLoQ/UKKz7Gn0+fV6cJQJlvhCu85cWW6ljyJU9/hsriwClddNIkDtOme
0+eir+g/dc9162FMAqvRZE7waN+2ZXRd0kEfMinjW9UHYVZnQaiGcJ5OZjYNckcCe1iWbPO0OeKZ
owT2DdebNLRVhXMjd1J70Tjh1Bkj7BuNv35GmVe7Mu/zm8GrEr/uVH8lnarahq6IZ9Rtioco6S4i
jaPPGbfkmnhhtogqr3joNo2Mkoc6U/UCqlfeyk2T+rNlZessTvx+bG50NOaXltvQ60y0u2hg7d1A
qViNrkvmiDXtXd6VmZ9VtThktI5WVcRQgCqU+bwaxH0X1kOQ2bbedrk33GRJeckmvPa0mNvZGK5L
SfMvY2sHBm95zBZDEzvLMEvEPWoO/aDZXTjk1qprKzI3cNSRdRMX8jbiXrNpyJjMwj6S99iJZ38x
+zxwm9/4NhDng1PtEOxh8HBgKr6dfWOMvdq1XfkUowQnMoCjK7aT8Z7Yoxv0gwM+QxHi63b04ChX
w72dcjewoqbejvWAr0VkfRlgwS5Qr+LZkIbJtsJ2ss2K6kfPYJaXXSb5GK3OcCOrW1fXvpE7sWO3
vKxwBV/8neEMZtfxshDtFaNEzXXb9lu7yeg2qbx4nqkxumvc+MCmxU1Delm6xP5iRB1Bfoh2o/NK
VLGUPSkLX8ZFhr644aDmqEBiVokmIsK3iDUW+aXX9mtYkos+JnHkTz07JUnkR6340XvLPZeztFzo
RIHGWznl1ejCqVoSeDm3t9Ywvm54gdYxdqv1GX6STcLC3hrSpWrb6CxcyWQYWv8kctI1GFX5welT
vTKqhmnwc7WM29dW4vQzrZJFOKbDJzg84wB5qLpzh0b6svH6b1HR7MYkEpEfJ40vpdVKP5OF31Be
XSOZVYFF81sU6/jgCNu5faFGHuFbKctbp8viA5qoiWcoB06qk+T/SG+cnvAyyul5ETzBUC+80/Mm
3ol6+WU0T9k6KWTrx0iKnVdEJNDUUbOMkWhnMNM7NYlhRCkJXKR/yL0nLHQYrn69khmUrV8vZIid
MCYexCcugnQSBD1vF7IW0nJEha0nGds3zVh5Vx6L412dhF1gVjS4BI9tjr0rcH3krnzBPcDrF7wb
ZR+o0hkmF+JRM8lfyRscR+wxDR9kxa95k46tD4sbbcOXWXvsTZg91uU8li7xuahtEJwmtWGbxsw2
0zOCcDoSHxLEMKIBj4N7KMyDchT2zFLgFJdpUvh5x/NNOTnFmcL2UthYzgxp51561aD4SKlJAodR
4UudqY2k92OTBl440E1aNvWhd/oiaGSSPZZUBHHo6vsM3OT5ScKlTyG9qDvPXTOME79BLjhZJ7rA
f+ENULhccG7FKdh1HAoXEDx8bsWiHRSDPch7sqIUUcunqHTmJjBUaJm2jvXJEEmy6mlhfSqkq27k
8NBlbBPWcbRz3Qq8wheyCG34wXEfHrlcsuqKR8PMhvOGjqWzxSSNVnVhO1s69fCEmZ7BTlxVhNby
JGd6veyvUT7Kbc84xCDE0YumrOpDMkY/GsNQLdcQFP7EjMgIh2xgGAVNNfWrSQ9NoBnGSBtBngzc
//VKcf+8UhgEh8RzOKGeAzH925US0U5athb4ieZNFNRSom370ri1hJlq6KYh4B0W0Rw3sr44QWUO
hkllh+ejpGRvyYTskzr1YyzqHRlasnemxuAyJumcD4gEZwzD1TyFyNaR86blVrNWo2Tp3lZdPJNO
dldqidZU0fpQ67Y+4Kk34Yq4w+oom8QkOZA22XSkc25HR/FLxuSm6gt8i5PBu5x4pe294tUTRUj/
Sal0mCvHKtd1X8Qb04v74UcvfemduKde1LN4kzh1tfy1bRD+8wLwmOdC8tWDKx+YE/utcQQTYRoP
dvWUNPlYkzkr+KISg7VLvfKysHS3NtQRYigc/Spvh1mEPR6kR3qSNvw4kcNFz6r1kHvWDmeCdsuB
q1fDGIaRla5DZo3qGz8sqjiI1Wh9pU5+rYoKRT4kSIaGwb8RvtROXt73YREFaZPbN7YY9TxXVrgr
CzteOzIv154r8C6BQ3OO+ri6wVkeB0MtovtpRJEwexqRhFFy7WFRLYlVYL/py+wRcp/LUvfDneyy
cD5arL9AqRteGom0cvt9Gsex35jpOk1PTVp7y8yc7cuh8CmO0kX7wjkJKqdNZzjq8iDvcX3FtfLT
UosbUnJx4/StM5PcqxcGe5FodJnMkA6vyyl+pKPIF04Yylk9kQaTKcsWJQffj5mIM3qhc4jUroyg
wSwex7MRxfWVYZzGykzgmjvER7XVXJBSzMvGy/dtpCEennrMydS+oDndoDKan+FGwjAnTSN6UqKT
ZjVpvgxrJAxuxBypj8Ma6Ez97bA1V39xZnt/muzUcQmUqT2XurDl47Mzu3GlHQ9JHj4mQz5DiLnK
b8cSInQbwnQXednGkCUNkU+reJypEWJC37DPBGNPMBYcxY2QnsYwkidxM6QhzZBeQQ+pg7OFjJth
LwkuHL8J03ZfbAwy9njYJwZmRRwuot7WfgqHuuOf+JC1bX3G0mQ5Ijnsj+wfoyDIIvlVldG5iuZF
5bUNZEzaaotiVWYz0zVNbaXhJovmhrB7Um1fCZ/EhokjbI9vrHQuiwKGM9CxG7YSDiCGw0VYp2pX
5/mwKMBn9xnk3nYGMw2FzIL2Tdfr2bawh2rtikb8wE6Cgjc/RjAYLyi/+IvtjpwF/8ymcGkHwi+I
/2GHwt7ZdhfxMaa8aKxvSZ3MG8hdYN+qvHKGVKtn5ow4nSVex/XeuzeAzAsQNWfKkOFylozjD3mD
Gc1RjnrfPcJOMo06nVLHsd6Of3yojNl3BpMg0Vl9lU1Nx66FTcrLo88wOQ4Qgp+QyMuSyyLektYJ
NNjlKmlSesOtLprVRJFlFHJ6k49uvHFLp/QNVyNNbyYFEsI+YCDIuIJCP/ppXedL49tYPGlnsGbU
ypBRVrYzJ0VqZU/JdBH+5JrM+4lrMu+Ga0/CZ7oosfNblfXZeiz093Bwskthi/zYWFH3NBYJWhvI
MFsv7daxU33PUJ1fprYzzjR3MLxJpvJ2EeNo1k2eY9zVSTA4Az2Ug91uWE2LOa3D6L5mVlCFAt+N
YziLolItQ92KGRwu4qYrsbhBiZ7zqLEOBtJSK3BkCzHraQxnXNs7c960+UJYsgsoUvxQEu4d2NQr
aBT5kE1J1yeGTjjZldYYGLETbgZpm7x7xYBc4ehj2wJnQ4Zk3HRVCdmNBLy5uFCXtuU+NgPTd0On
8gVDdFi6RTHcha06uK3XXydC/MVGyKCG88bthayYTYhNKGJQtsHuWQ6s7UOvsstRf9MVZPptP9dW
7rtE0x34aVeKZmERsIZ8x53gmzG2uxtI29arhGV9YEjTdMUnNx/La0M4EuYNYSxcGFKgnO6imF4Z
qg3z7qaT4fckLduN01nFHnKr5JjnGgZrrvre2pgc1jFXlXpcLESXJsFJDpssFm/DecnpzEovjBOW
cfCUkyK1Z8bvUm9JPvBs1rBiAWUvusOpujHJfdMUSXYZdVWxN1QIJpinmLnzYzUgrtyTvEIDDjpw
UC9IrPHM9DJXe5/Kodr2U57G4GRIyAVvQu9T4xXnOO5tcIdiWQU9sqPwrzw5OlXFwGWE6pqpmjGE
XAY3TWyXewQTyG++9eS80qmboXbVt3rovVkehtW6ydp9rIdk8HUu9C5Sld6Znkryeu1W9R7iuZpe
GOGJzPowHnyOr1M7ZTuuZLYqOBcXjdVnOxaP7pzlmb6Bk4X7lZTZA8v0JmmLGhys1PNZlzhPbBhi
P7fp3oGc4A6S+DlkuLwB6krgkZSj7Xm+mw75Zc4Sn7Nx2Wah44vOSeSzA1fUZ/kgsmCcjp5T4wpZ
b72pOWFdXvg20pEPF2vQnIN711yrzl3nYbXKHI2/4Fio2VAQuqaphb80rrcNHV5ct+nQX8dNuIEt
MPlcsANjY7KFn5JsTc803lgNtR93zUbVKVoZrOIdVIicyF4ew2YoPH1KizpcngJtE5ufSBNYm7j7
RdZARsK1inlIu2ZdF9GwOTVjVwybLM1WWdY4K4yjovRP3CPNBBSs3HBc07gnh9HtZ22elTs8UQZq
4NTZ2I3eGQr2mB94p2y5GGK7D06YEYEazj1qh3rZQ463+hZjO5/3jXbXOHch/CqG6GuGcxxA7nLY
qCHLv6AqPuIqDNV6EHE8h8yc+IpVDbkoF/EDyXL3CpHm1p1wCgmSRcJ1uMwtlkMRaRBj74elRsOm
0717k2Mlbxu1MIknUiNDmPwREZ6YOIZIJ7GoeyUWyUUZczH/tbeAbShpny0p2BuZ4zLPAc/Bdacl
96pUoHGfFzwf8bdMwHphxPa2prG8MV6UQ9r4J4yIZuh8BxLhR5k8Te0trDz6omVkz0gjT+0h99MM
XomVzY2wxuEi7jgkRqdmoHZACHgiJ8iVte0PpZOvSkeRo5jAbrJw7doLDIb7BM1oycuFzT0dFLrO
1kiX/FPpWvbcxQVUdCeyGEm1ShpPQNgBZDzkUA9UReMbsvUoOnQ22RkqEaP6FNGjokEyt1uFccwu
Iy4fYzvLN5kLSeeW6NA3JbBhCkDOMHvCkrdyJ8yiULk+1trO9FrsDRvaO4k/WtHXNsmSz3XXWXPk
CDhShijcuaPdzVKa2F/tMVrbqHWf3oomDE4fMonSsutmUut+6VWCQeWlE3tvakob0rm2LQIhU7F3
aZnZvuEauvf0HoI9srYqJ7V9g/GOin1lJU2AxZDPX+mVlsOWqQf3AEoh0gMem/sRLpV/jl1w00gG
yTFDVkVPliwR+dyQtZPKOfb6cHkUTkMROGlXbQwZWeUdo6I9uFGFPoukDjxMn9uwhWIixfRmoKXc
FS66M6eYgaA2t4H4Vh6Y4mwbJeSaDArqnCYgQ9lo+wWCXNIpUjuFZYbrlJBQOovXrNBWa42kd8HH
EHafph3ii1KStdB25seOByX3od7gqYmyooaCIfRGlSjY7fjsBJmeETMShjSN3bB6E4aoXkLVXfpx
1HpLJ2R4rpSUd65Sgy/HYdwlfRR+5sNBsE7e2SENN2OY54EhHZ6RGdySzdaGVE2+6XIUXsdV/DWs
3YcEDWwWuaG+4HDD7LYR6aZKu+He4HLCHWK/izPIqV9IC4++KYdqlydzQ5qaqKmGGsapbHrC2rFZ
FaO9tmob70JbqAUcfjYUvYE8NfyFDG2a+bQkcmm4EeQ+hqN0VTrxbpTrsCjxLuZxOY80yed4xN5O
QxjuR31ffoXEwRhI4YabDjKTt0UbwmKX5VeSWGQZO2mzqEe7+Fo6ZCfhZL/xiOBH9XESO1PPWmtm
cHCVyJzKeCtLz3p1/QGrIvbjjOELc/0BPAF0qEcEdoBLE0POmoCO4CV6bZQcWHsrdcg8H6JyCA6g
2DjT0qrmXQwFLINRF0EFg93yVr0Ry+ld0kPk44vC4ldkuB4huacCxHNrljhYLihuxY3Ny3BiltPd
h7Bz4er4y72qy6Nz9fqqEqJTxuC10+VACA9XpFwbwX9xg//Cc5bbZJmVl13eFfdFSLogA/9rY3cy
r3wsEbTHvhtSuulYYQeOcElADesoYFjHpqLFMu5l6kPxs1x2WZ4eE9HFRHowN+cm5AqVWyyVVadz
E5C5nfrBjbtMXXFYqub+grnPYHpt3d5WrJXrE366CtH/ZBp5cyfiJMbt/jYe62vl5P6YJ/I2ifWc
ddl456AU1pTMLEhxVcMd70ftc8jx7hPeH8WskXW7TFtOYBwe8C7sRUiRPNbHDGYa4wmdVTROwmfu
1Bl5GhnOKXmsYpwGdXS3bXDsHbhu9qYumcn+CllJ/4VUtJyTOG223Er41ooGMbesOLurcbWXNST4
W5MghluO0XUIZ6mPiqY8EAq+b+/YF3BqD3e4ptmqHiqoF0ykEXPgKtO2QF3uq3AoIa2ts8vTXI6G
7LYrtH1xnMzYLfQKZxDjGhHTNNPEF666bXtlX5zwk6wZ87hoLKqO48VqkEE9iiqAIDW5hkw0muma
8nnBaXxtGieT92NGho2hwh55l2FyZwijI1jorHHDa7gsAzrvjaPzxP4LF4tOtwbPFhDcfYesDFwy
wlNa7ixqSXRSZ6FQxX0jnOwC8nJilxIe7XQ9ZEECwceM1jSvZwZ8j20YTUG/1jUpNibQbPihdaPu
2hBJVdUzJ/TE0pCWbtHODvX1MchNEvu5VCzadpVHVwOiMgi1pv0s5m00w2WhZn01uKsybr9ICH3m
Sgq4wDOO/EBJjxjkD/EXLyfxhcHcKV0QDxbU4sJyaahxIO101w7uNvVdATugUjXx85CTK0+Mc/Oj
MgcyD3biirmJlkPViisoZAeuivobI1GRFAo4earWhiyZ6130U6LHkAinxC8T2S9TMubbguhZA97S
3i2GYT+WDeQZkbD7edRaTSC8NndnhlVb9j0vPLIaeDQGURSJlRrybhZpja4Fq7vZCMmd6ygZupme
evGEqdBzdpZx21mCOJyREkrpqbikwoGyydTUU33J4BD0XRpqlPYc6th847kJuxyt7qvZOmoVjYuu
sLIlqvpo0zaxuxZ5eNWkut6ZK2uNkydrwasQipWwpZvGysKrJGH1zlAnCXPlzWi9jGEkZKQHH8OK
90/7otnsHFSLXRM+ncGGZJ0jdpCqMsRpyzT7o+GF7dNpszS9kuy62qvc/XRYFV6cbDHU6i4gboTL
MDHtdzZScFnGSzXk+4SEj0rjz60gnZ81pXoos+aSpyT87jbfunxw4RYEKuYKbhA+1Q26z12ef40S
NwpyKHhcFA4E1I6F2W5wYraLWcN2ktZqnaPkyktyPM7EhBlG7t24AnzAzramAFxHcZB3TrQ8peZ0
ni4U73YwC668SJDHl04axUck/tmZWA1iB0t0yca1U29nibod/b6C1GJLrQpCEQA5ghucs7IJi0Xe
M3klY0ovCltLX7SNnQY1odHMshO+MM4B7D7VVTwcUstblnCJbXva/xh8jQX4e1lw3Pq6+roRnjVn
CK5Z9jJJP4H8HQpJ+62VbuZ3CIo9lPD6gtkFnpcV1JBYVvtGQrVIzpqqSnZZ27K9G5IiSErmrC1P
waHrcbopIHLdVFNjyFNTlfayx6lYn6DWTfolHio5fkZV3S4h4T2H5JvYO1CNvNRQyb70rNiFkGpk
y44RK/SVF3cLUbp2YNhkEpRaxBB5RFDILOOlJ1Pu4w7zZZxW4wXK8nybJg1atKiCyUMICWoasi8l
o496pPlzkWCfcbjG54/RsLLKSn9LLLhL4bR1OBsgKe57napulCV87jjuVVp75Y2KWzm32yRZGCaW
DTuEFl8YpoEilFt+AwnJtSEtO+03NKIQ4PdJU0CeJr1NY5zuxrLIZwWF+7iLsrazucygHCJSKK7Y
8F9twU2bugY0TTKxjz3bocovcii+nGQMCdutu/SIti6SUDjM16SSF0LGd1ppfgjLjB+6qVc60grs
pBjmhtEnSq/CKrJ8iF5YkIQSthVPD3eOA5Uzzb4UnRNuIl3UQQ4pnjIj8fh5zG0bJq4TX5smsm7b
sAwvLUg6Xzc01xs0VPcnPq6IN+8L7cwM5tj1g6d0DI4Cgwtmy3SQUCmJioeGZu6Mu47ayt5me4SG
PoCZkj2+I1FENlr0BbnDEJ5dR5D/xBBk3BoqptErauKBpwEl50lSIWt+oibe4LrJcwZJ3E2q2viy
hTtzx/VWppD015AJPbrr5uJxXnebkMCFvbDI9kODrM/Uq4OqGrtPoVV31zbK12mqrM8kp3pb4hT5
/SQVFz1bxqUo5oabxqKe/Tdl79YcJ698D38iqgABErfM+eQZjz0+5IaKExsECMRBCPj0/4WcHefJ
83v3rvciFK0DtmeQ1L16rU7aSrCLJSgE5tFuVRQXp1N/BAe97qtNE2e/foMsIWLTJXkWtTkjx2Fy
r0rQqcA3w4tVHyDV62jWXs0F+dK7QVb+qovbs2+IK02LDFnKO4D3Mx/ms7EY/WrTu0ilxkmGIyyw
EJu5eXmRpC9BhbX0OUt3puWr+Wto6vjiYjoK4QzzUJta4aaX0EZseWW7K2DkbQR2afHeglzmVPE7
FYwjQ9B1N78IQdl31HQcpOMcqBUNagEn0Vp+knkKvg+Dqb/ZCW32fcL+aPcGkp2qqXoTiSBXHD4L
uyDho0FaKhYvQq7l1VhZTF+cPo4/cRkXIOiiV3W1N5190oVLJOKKjTE5CbpNxqm7NE8LxmbcU9ei
kc/idt07VQZIM0SuOG78o+0hs9JQJ4h03KVvWHv3vZMnN4/gAJOuIGubV/VpnDNciKY3bWPxn7Qg
IsIWrB7iKbE2Kh3HLVhI/bWYmIrMkCwH2gIWyLdCW/hG+hTkNVf0/wMD9/4PZ5JCJoZyIh4ODOL8
FY0R8DoTJ5TFN87zKOhrdXGI1V7zzs33ss3rCKyl7mraJG0dbPqF2hjTdEyE/j1rsJztWIWd9eAH
fVROCzaEIo889XUDboW4J3biroBGgRJASdcezCUWfr2ufPv7ZFntoUzoICOXuu3Bni9miDG9ssM8
c/s1+Y855jnD2Lz+j+jVkDuqP1IGLsU5BPUPeNAemGx/f15tY7epFkS/un0p1iJxsojM/oQzX8yd
TAsc69zurg2n2c608dmp0LWPDuQB2g21SBaZRpVzdhIuoce8pwiBqgTBaOCc/7rr3cL9bBt+3/3/
H6fdZt35ybQxeUofhOAo9QCsmbDYmImX5QeTmDRm7g3ZH6bp/Rr8Nberehb9NfjLTNoGP6iw4oU9
OPTIqqo6szHfipndYS7A68lChIRsAMCmD8UUlmdUx1lAO1+/NfloReAod/fQabhbmSOITJmXIy4g
JMqGPviZx1GLb/tnkCsrEsWQ7aWDLTmQrYzYUJQvyYgt30oHZ2PMcqCPVkXL+9JFMg7svDsSEvHC
i6rdppaC1MCY2TRFgY7Hk8768YmU75mYyhddlOWBeGx+s/FoKA34smJ2uze9o2ctwrRsQBi1B4QT
+A3Mw2zBk7X5DT5NL3ysWI9yRWFZX9vevxNJ6q98P+M7BWLdshmoj5SGjC88mzmyec3fsDheOavI
A7Ezsgu4k65bP2u+MfpmdTR9+2tirJzn//7+u8Gc7f/z/QdEFbgUXBDftV0P1Qn+ie9PBLumFQbi
KRjgizx5DvPWbZoF4zoplqpX8cEKSHxI+/o+TRJvYyzTjswabaIvG2oaIO+ggW219sRuDDLEeKlX
iQV1lRPReGp3pPeHa10H8lIFapE0xXg1TWU19OveKrulMU2H54YPQaNAGJwnUYhzjm063YxlLkPs
SIi7gKr0oPyuMhe6JTq1dFOpeFoNGaiScDLTRWN3xdEHGeF54GAlMDHewKRLdnVGs0Xa934306Gm
hYvqDUuziD+XvFnKvKs2ntccEmW7kY9jaZOFU3v2kPT6vMjccyOv8Is/OtJ5iJlB5xlmcCmDN4fE
AfQzEvq4PlFIToV5feh+3zWmx9hI9DK2YIz+GGQIwvc80Brsu84OLn/hAMb8auNjNIHFdjQtFY6j
0xdk0LlJjSxb7EUpK9M9FCDWU5LF3zzs/Wdjqe5ceBW7CTcW9zZNz0g7WU+uSoeDbXt80fjKeoJI
iW8CQK2tBjv1CgFOecVend23+ELS3PYfrAyXOtVVFMqsPpg2IcNN1YlxE2eyP1ixpQ5WNfaHsHCZ
jL5sc/c1hs2jjYmw7y4FyOz2zrD9DOJSgBf7NJY3Q6MwxAlz56WqjoYqBNN8lAj2EkDJX+P8Cgqw
1somuAeOd3a47y+CBh4UmU1zsbvEP5eevJ8Zvfux8TmNuj6PT00fR38Ny+pujD7VcfYUe4e8bdKz
uZRDk9+x8WIMoIGAnYEsP1XKnXblpIUXmR7K5+ST5wC2naeGeJkOrMtO2HGy69DSqKh0cTGWDHKB
/AWfd6Psai6iQIprgr4K7sV/2jyZwpeXbCHyPj2VzfizjXtyywPJjCV5Rm6ZNf1hIef2abXCdW95
Hv/R10MUtQT0KpaJDKa9n2b23tx1epg+70wbdJgksnUBgr4q6j31mdyTyomRbqOqLKLPe8eDTlFk
RRlR5Lx3rB7H3SBUcXRZDD2eNcZ3SotpZSHVea2E5EuvTLtb6dc0ijXyFkPP3zPEkz/80sHrPHRQ
APAs8nqOoKNtmojmiUgg71BHUVvsLUjbjzjo2EsZVmHkSUfcKqjEljGDGOm/b6j/Uu4yAkYVgkds
qnOpF0jH/7mh5kGclrpu6S3tYjsyR6+Wql4UOiv2Br4eLChVpW0Xe3P0ml7B21+9tlP86v2aa3pd
f9gpt5L3/9d88zgzIXXBMPabxh0PZT2A19KlZfSXIiBQoNwjGO7d6BPEYlmoj57L2wXiZX2TTdws
kjDQNw9BuwLZ1bLcs+dx+TwxPu0HWs0ZWZhACu0VS8iITRJmkFBQ6euuPk2dUz37frWox7rYKL8L
V0mXBltof+qN37vBTU3+1QSCYzelEQPh+SHTvr9tE7veJF1Gb1ZPrhxSqW3ip96WDPXebqvy1bdA
zYdS2jl5pHQPaej6q7AK+ifRBk8G5f49VLTlr6G0j53PoSwcnistrSUUk/TkMciSl04B7VRWqUMX
pvDp1Jiwk4sU7Il0mr25YroGWJRvNqnfaToEr0QKFYUinp6hWoMkMgj620AhwhChqx6KrByXtQJI
YVtdv2J16p3L0urXIAand3Ej7c2gvO4YaI9uXWsI9yGjYk+sathRre0Dq+tqOwYQA4a84hs1SHon
M99aBWycLi5owUgBanUts6pYZpx1j23jIpZ3S/2EjYtESgzOC6dWAdaEtr7RaXrBX9L8gANwolNN
330t1p6q0n2CpM221vhzeq8szmM11velrN+GjDivTuLZyzZx6n3eQgjpFDoy7WLo6KYBt209JNR+
TRN/mxYsfdTqPGBx76ZwzLYSUmkopVq+QFIr/+HVKkrrXL2PNUsiFSh543GRrF3fIoeuLpMTS3yx
Kuw6ec518KTDSb1bebZWyvfWQZW52xExzaIiubqKKiZrouz+QMFmxYaYyLVqUvnQigzbZUrEm19P
a0c23SGveLGguWQHJP7p58WYAbJx8EH8dGk6HOroJjK3tshwawZ93obzdNJN5SHnfzzGDGa80wtq
V8XOtcJ2OWi7uYtt7u5VULrrBKzFRxAeSxw4XvlO0lc9pdOPEgfzYmhK+96tp3JrZR7belbiXqyU
YenVtH5rk2Zh5pSMfSjXrm5SePla4dU7+ATKbMspKSi86QA4urFxLGZij93wgRvvY76Q2Usx7Y2a
HsD8/NX01Y6s5IOxdOxCFFHw9vMZ/59t5iHmJwx98SIIaAIBZ/4SYqHkUfV1e9cJdnGtLH00TYHf
7Vskk8/23MTCRkBAye2N6cx8JkAnQzLAmKE7Ao8LNh61s3bRDv0K8ro7UkzdOeis7qFL+SEpcsBY
Tl9sa8cnq35GtSCdzqLeDdtzTYh6cFXyxzA1gmkpwmeS03ErAdOJUIPF69asOQ4+uGvmYkyRj/j+
fL9cAj4il9ipkkvG95DmAq80TZb2vxE77H61TQEWOmgA9cr0wsuQKKvy39KrwBn+6aAzCEYYWJ5I
rWJxooDSXwScmpRiqrLSvSH/iWTMGnut3OuJbQLgbvf1fJBPYbiBbPOXNfd9WXOfGdnNx/rwj5H/
nmdGtvMzf/+E3/N4bjUb3ZRTFPcx0imx0kivhEe77cGZZMF4Z1rMZQRZamNlBUoR/LOjDQpEAQYo
ZkzYy7Ap92nuQ8kwp9ywwKs7v4m3xjIXr+X+BhtFs3D8VOdgIDK16EM2btLSWUzgLUEDqMIzHXm8
5yS752UWnk2TubM40jUqmSycGP/pALrVrEuRjHdZ2K48MbmXZPZaR1HLZZBbNWgnpf+QOpl9gP+Q
R6Nw3xrgvI/cYe9T56a3xun1eixjZ+/EuX/neSQFYzhpd7LS4QpoFNRbnX+lUsiHXJabXATVc1Dq
7OgrYIPGHMBXxK7ld+tmKOXzOLl8YTn7oJLqzipKsQQm5YJ/XwVY5tqv7pJmNTktKKOtZe3gSnSr
XkAEuxmn6bvvVjoa875bAZlmNyXdK0Gy9YfokUIZKkhCQA0KtgVBJv3/GAF0s1p2seNuIORx1pPs
kNRwhTghBpYrIW3xhLPsJ4Qi8bvrvqpOtZcCymJvG9MmQegkfaA3hX/RReXsMyAlK4gu/BdbWut0
8MUPxyp+jcBvb+9n0dmKBkhftdJrF6nI4YLPlF9A6mpRNIiVXQmSCzin3GL68EmRi1OVHPk4HAc7
qRNABDzqrBZ60DbzUblDux+J490BZs7fGuiCox5U2Gcm63IBpzR/HHvuLGP8MZeCh926BHX85Kdi
3A4dqCwj79NDPPjVtmIVOwFuLNZZg5IA+MZQlIEgoTwmImjX8MGnE6lHaCPciuwS2xpf8gFngBxC
YOZxcxqgP4hMuxe305KkA4bNG9dQD38Ms/Paj7p5B7PGEk/r/F/D8hwS7zz8wNGeP3v4CFFEoXlN
UO5gVQQsPXZZ3dwVTh4vEgj03hxUHkns4Ae37WoxdXkIZlTo7ufyuvhl3fo5r8SdCPLghyiK99LS
zSOta/m/XF//L2UBtqrQIZ7rAE6zfQ9yt3+6vt2QO7RQ1XgDWye8Nt4TIwobL8pl7P0+hGKgyOtX
wTMZBVanzr2uyf3gOiitgfZ8ylf9qJcpdBgLIod8ZwIRY/LW/9M0vUHVHWou78OJFcfY4XqdNoO8
Fk3eLAagHa9ETPfc8HJDtpM+rT/aQH4nY8GeLUg8F0I7YofkzwfqZdoHy26RvFFy/JbS8tqiYtBD
M7enIOMvE4+M3/pjncXVWduA3k1EX+WTvdZTlSxMvG9wASS4hhN3pb8LCup1G7+yy6j2SbahRQ/P
EsJx5CpZ2fwC06l2lmBL90ealQkcJHvQR2PHSaWPyeArZCWG7O8OMySQAaaYgV3YDCvBhlvnBRfD
JDTcQ6jci+PcZEE0cJ9KWqDEBNNLiC/tE6NdvaL2HAzZtkQJED787DiUq27if1BWX7OYWS8oKOAv
8qxxLhPE6tj/HWBxv6fzGJwxMx2f3Of0wE+8j4b314mMyVl5sd5SPpTnFrKCqEqC8qVpeLdG5Uax
sZq2fElp8KpiT194PfGHELJZ0zyGJduieAJK/MyTyhHRn+c28dFL7e6ZV1uPxOIlrGRwQJa4WRhz
sMYH6G/O2VwQqGziO5r59WOiu+KgHdIvTXtSJmeQ6upH0o3LMpycyC7k2us6uODw5I8gj/95+Wqz
aadXXtWQyAz56jAmmKJ6Bc0SXZa6HZeDK4r7sC7DFdwNGwcl7zc8E/Uxqcdql8Mt3AswFw4EC3RL
MqVQI0Q4azvpGejLk1iNIhuuRRHGC8nK9pZ3VRwNjqNe7LTNI5GN5LsbzzlgWb03sl2PeRyn0eRv
mA8uakTGOFJ5wpPIrpCEiWn3QyX8gfRTmX30IFPsTMZsaJEXiFV+b8/ZtIrxfYz97d70IaPz2Udm
UfzvPpOT+/e8MG/SZa9L91M9EHo8AKk0TLeGgQltLNlXMoU4a9ZIdwm11p4uJKiueCPVQ2gnO7jx
yQeUirs0rvgrsBAHG8WQ3xVhQfY2StusRebSB9Ygi81RmuU9CxZY/fRn49R2NLmldWXOVG06OAP7
IUG5pKSGv1m7xfha1cmBh0V3au2cbCiQvAjAZ/IByqkoPfJhye61QnL5mapcLmumpjOhctxOxJU7
EitvnVtFekClFL4u0tY5kMbhJ7urixVIX/kz0cUT6gCod7Bc1ir30u9jjrodMhjTC4QR2GnqMt0m
TU/uaZqnCItd/43qb3CZITcoSqJP3MgUgkHqw5yf1LNewXSAEfTrznPGAfUNqimyRz+49Lp7bWQ4
vPRsHNe09IA1zkSszvGWtrLCx7HQ9RG6Jr6wO4+/qCoDXQ2vx9aY4dScVJvoaxN33b2u8gd3HhVW
pNiKbkRRmtkEeAfk00p/lL5Wd8gn4KOQECN9kaQmPlJkmjmw/N9kq1H1Swslp86miZaUb5si3SBX
QA5FPkBwkdBw48kWO4NdWMvWUeoxD4Ygsptef+sSeZ/h7Ugiaa3yPK/SqMzkYSR98tZNDoT9Cfdu
9nT36RhY+Q9s1E9x55Fn2TnTVokyXRkzDHu1sCystM9e/Fm6TAIUpfxvfvpcxPdPHJ1BdkIAELtg
8KNm9r8U3o6eIJEOautRh6UDbhMhi7Ge+rOtRb5vdROvIZesHuMKbonnCvpTgheYdFjEX2NH6Bp3
Y34HtwDDuSwfZZ0WkaxI8DVcoFDk56MLCFz3n2PnR/uzmqSNO3fxKdQuJwVKfVEcOiC+703n7AdV
5d+6tvcWvMvKi5c37rZC3LFNKie7JFCNLgKrSr4JKLITOOVmUq9pDhQUPI0JvAl33gmkL/gjTbLI
nbPzKQpePeYayd95BzF9v60xn/7um+eB5UL/R1kZUOb+/Q14BDUM7IDgHxjo//Q+AN/EHuiE9JEg
tbvM1ZjL58KPI1DM8g2IYu2B2RraTHPbKKQju/ny2VN6Y7gwjbpokYmcRrZIhA8maTCdDM/F0GHM
3V+cmL9Mrf0R1SO6wNtCLIXaQKrv4YD37IE6LpxO1quDY9X02OVBv2pRWuOGUiVJNEdB70IeUYzB
/2kmCYtjEs3U2iaI+c2kNk+wLFNGbrSQcPWLs+vK9KfSesXcFqukTqpFMIIMA3Xfd9oF00vodO0C
Whb/ao85ZLE5D05d5llb6A/tXW7n6ckHXWDtTdrah6n3lMYA1AqQbI6A6MID+KHZ2hKTfiyhicNZ
qcf3GPTmzsMLAj4e+B59dtN56K942PyaBCCcf05C2Fr/njQapkCDUl1N4fLPSdn8k+aw6fMnxa6l
H+04QIoEBKBN74ViVYLYyZ+mLvnu+Mw5apJn+0lmIZxdoIxtDF+2HYZk680YZE3sKvLrMfzEIFFe
KprjzZss/KW2wd+0LCd4kf1HO/PcO9UN6wZ4ypb5GZ2ba5JVl8TLXwQVMcqjQavbtu4zyhjGd6bJ
XIwZimIN4D07/tXuta67UEI3q3K85oqMh3QugIgMCMTE893XxbTlSS+3eXnEDsV6xG32Q5nPhOMi
9o/OLEGlAfi0LiuDo9sH7s30jsr2j034kDRDu3NFTp7zKVwjSRc82ANN75tUPxSzCKzy2nDriDxY
WpNLVpZCPaBKNuVWA39fmlXrsLHchiNTn6bpFYHcxc648WX34c+h2QCi/howToAmmFbmnGrwP69x
9ZOM1Dq24UhPxsFNnTWndn369HldFnQT0Hm3XwKchjuTo7qbtjNUT2tTsKvhqiHKTJYoV5AeZZaK
B3/K/myfEPUNpS8e5vG+EuGr5x6LEQx/0UFjm6t05ZnfiAu5g+vPlpr09jaYfHwBIp0i0XXs1OVp
dbO6ZGXizLFUcieADy907qqHcUjlRjKSrU2iMM4FiUTuhcccH9lzmV2k7YxPYJ89fpJgwPUiy4lY
9hq+Md2LWFkn1ncIL7OufvG7/JLMWGefyX0gSv9V50MGonjIz3XM411ote2GJ6F3LcrCjRi4Kj87
d+3l7UcJrcNrWV0BBlcQEf7nxrL+bvmzqwR7IYv+HFPWHX21Ie4zKQdwX+YcEQXcOr9OZYuUkcud
ZG16e8gk62p8YzQqR8TqMb7OBaQE3V3BaX5UfsVRe62lr0o0q7bonB+iUnYUOvl0X8BJAhEwYOuC
6/Amuv7RjGgER8DKi1sni3qjWMl3TqHqq5rBNzOCovCE9PvxJLGnLbu53kgzX7QNMY2dCmfJnHRE
XB9kaKQBWRSKZjcx8DviFvXFHD4VLEyQF/Maz31fVkeSP6zf8+IYL+J/P/1Dm/77/J/pNsj8OEjU
/bsWEvGt1krsYXycwn1jOVrtuAAnCf8PTb/sqyw4GGGEuUtUjADIg8ZpmbWxBS5ZH69VibI/EKdA
hw9s4lB7A0P23H7MaR6uAmxVm9HrsnUQl0CFZ2qxIRlnc42brkJ9ohqCNY6iRocAO+sT6t4/lSx3
z8aykyEiZfaYc6A2TlDGe+zbzTIpqf8KxfVPCqLcvQxb6y6f+iESUJjdjaFVA4MY7tOubyH+Uz99
VKp9bYCsgbvQj88ZUXzBm+KSj4m+qzKo0Dlj1V0T0nibObrdNYhOBWLI1ajq/mFw7elYcPXNmdz+
YaxLd5F1fbIOQmQVJM66n2HQRgSf3TZ3Mmtbx93b2KAOnPCExOeRkKV2wua7g9VeupI+e6MXbyAH
LjdBLdV9GshTASrvayHI0uSV7A51iUZdpRea1ffaSrPdMPDgEJfQopgLjk8wFKsa5dZmndCsq+o/
tIvzFhkaXocvaRWj0CaxmwOjY3dGSgxHqeLjivhDvW7y2Ds32J0WOq7ZmmkwCiKotlG1SeX0ymL7
TECD++6AMBNVsiqjmEqJgGdcVzZ7Tv2yf2OMV1Gtm3aVTSrbBI3tLLAD6OcwCHjUeGn/I4Ecvklq
nUaKPPalF374vXWPoHjbITu/HCkUC2PuLrrO6SItUrbJvS48VEM7bANm7eOpKlfOCBV70faRDXb1
81SqYd2DF7euYoUIvOzOrgR/rwXp8E3l+sKQbH1HygmYDQ0XSZyyNcoFdfsCtBij9sOA/8gCy3Hq
IVsojkOSZvfmUte2c7ByUPjmptyymgUXzF9Jv3JOmo7QH2j5MjB5qYNSPoKV++g0YXFGESX7VlnO
U5U49M7NZHsa/eYCIQAo/SLLEMK9Z7YqjzZPriF03buECu5BiF15RwsAdLia0kC86gCosVR2szam
NQZnJhEeBm6v71TQDVFileWrZ2V82dgqPbihOoGmycB/RhUxo6BJQ9zVqNmUyzTZiFH/ajedOUBM
wDXzEGOj2tg3i1blso/HGzIj5bkushu8k/ZuHDKspEk7e63b/slm2KlBDRcbgCQ/ce7qe8F6choG
uvULL+ULFNQCoOeBgj532mOs7/uB0r2c8jfkGDFCo0LCLuSoS/Zpc1TEjUaoJqN4KPuVBLL8BDdG
rUC9x7E2mwEJwoUdOmpXoj7zmodyXOiutVD+JSDl4fOWegphEjwuttBza57ggGKutUj1ndRpuC/b
8VKPmX9motsg+lx5IflZaQceXta9ac/vL1Mn5MKtWLNu+OvUgOibIdIZVdZ+aO9BM6pvbZ6Gxzqe
oB2uC8gqcgURSYYtHSX84q2tuYgklvNFWEpeyvmOes5FYNM/mCbT2Vet2GhNkoUxQW4Sd5bTvOVI
CVct9R+b3O53ug2ahTEpTyYgb/n3zCqDR9QW1lehqkUxW7KCYpMnvVoN9mAdp/kCNtmvuyIn/aZP
g+9fTV/DvsaGUBQjtYGf/nsmDdoDWLwfdSzZfqjbbMdUHEISOogt95zkpDlvN2lD8jukEsc1kaQ+
T6yhq1CgtIfWySXEybytRCUOqEfc7VMs/63iFTsSVEpdu6M9nYe6q1YxyB9XNeUoPe1p+1EW903j
g3XAJnGPutbZtveaZpclYXceueLAvYrm1Y3Lk11jpecFuAVO2X7LGkUWYOqJC0HadQsilb3tpcoX
deVCbgcUdecEeJr2rfnI0PWCUeJ8DxBYuHYTvDMpHhz4EIsWqOBFE2uF4iLyw4OoLMVe+Jr0+A11
mlcXv+Rq24zdHcNS2uQu05vBB1fGpgzYQpC6z7bfvrmByD7K4ASWJgosYDFfAuSeX2lK5KLunfaK
ci9qXRdddWRDcwgz5ATjxGovUBipRdkiE1BXwyKtmuLdThFmhSV8koB55RrywuowTcQ/ueCRLNNQ
Oy+eHk/AQBgSlaGDLXvd2kH9naf+tNLMrveAKem1bPU7tBXYKJG1R0TcBveiVdmB8ASV/EQ/3olw
Dl98/y1zZAJZRjdunbRTmyCBi4SSRfcKLN0fIWhykVOK8ToKT4Nh3tjrpuzVM+AJJEgwgs+OM6sr
ce/qtgIPoN3aNCl2dAqDnTNl1RHfZb4Z7S44h14dLrmey1UNWbgdXT4eSwk6/sDD+NH3vPZCm2Gf
Q5mqiY5IjXRvMnTFiaMA3wYZ5G5lyF0JPstloHm9M9QvhcLmYIqwDkWtQP1qFYsUapo+2nZfXu24
AmTa+Qe/6YsF8Xq9U8pJVhNzylcIMd6RdRkudQhpR0XSn3zec/08jGRvyQV3gcOOoR3set6Pm6HP
y2vi6hB4pWp/BGGDYp7KebeQsqhtTm+17U0rx8lf2djIZVWS8CLmCwT2OnIzvKhxYLlWBCDIWU4N
las0bsKLGRiGgbdhmRdGX22o7AZ9i4+NZX6KGVb4Q3Bhn8/+fFgROJsErIZeT8+jlaQrVsnyZCUA
AKEPhP/ck+IYZuE3mpPwxAni67R9mAjhC3dyUbA2hMq9ifc0ZM5JQqCymFBfG9QTFMUPi9bdlX0x
nuV84dtyFOUawTHfSkQKSy9Q7jPKnX4nzTB8ID83gakMRwXRdmMVImq7sFppYN/YLotk2lsFNmrP
8u8H7CNbe7SyZVEHzi3IErqNc6tEkcYS69UpXsCZKZYTa+Fw2XI8TjHYI4L4dJ0FZEA9oLxaM3uk
x6pWqkclJfXgV1RsTdvXxWnZf4a0zAWuRkH/gjeCioRt+8xa3UYl9fhTj6Luy1745JKHKUJUcCHA
595kZIJEAIIE8HtQCFK7tY4m3p10QxACAqF6EMgzRRBlDzvT5ggSRP3UQVRssUtGOH1HLgr/C8Ki
ixN2TQi8ZO7a323LGvdgnk57z4LSJIpRO5mPMzRRWxqOYP7/aDuv5biRJko/ESLgzW1bssmmEyVK
ukFoNDPw3uPp90M2h+BwzM4fG3uDQGVmFcBmG1RmnnO+Kk2UfhvUkIZ12oGWxmWXBHh4oiu9hwDN
sLfJ6NZ7mx56K4woSAZZdKuWY34dzTmfh1JVdpUz65T2PP9pcoanwA7OYKODEHIghQRL0h19rS4e
yacBSVaqHBxbC2zc5qkJSG392S6m+DyS1yAV0tafk7Jw77zEfOb9Yz/PE2ge4OB/IMSdhS1mhYJV
7OJ2VU8BWADi4oirxr9ry58ysMNQ3RfOkOwcp54fEqixNobWjiATjPnhYoPt46inLr0XS4g42C3A
kaLAAYOlHOJkq1o5D8ALgdroOdVt16WvZ6lRJntoIy1ovoampQ5LzOWUbyLeV6naH6DMhxfRgnJS
UYF2Z5rnn+XA28C77kBaGXCLnK3a5gcgix/bSkn4+PO1yBOs86jNI+QovDLXVm05j2Jr3eKkJ818
VcSuDsEUyK4utanCj7DBqTmcKtV0R9XJeFCnydoafhg8htz1cXKm9Epha1npwQwabVpSCPd0sO56
NN34maZz0yt1sDix+a0H1HcO+18no6DQ2k3lwXNJ3JZR4pwav+FZbDnTEuhzLkYZy6F17qjyToe+
i9o9aVNKFCVIyEFJv/lJmHxHTGBhRFHaL3zfa9s29oNP9KJEezOu/Xtb5U0RJT/YXFGA72qa9zuL
n5ZlKIfB0+mqtTyyA+DacOmjY5/yYacMqf5gNE+R2QBsVG2oV3xeYCgRYE5WvTq99m19AL+hKdG2
nMkHmImV7qJZMR7lUIVAAnna6g5aoL7a6rbrKNjo1fWY1uYlbtC0Owp69m1SWN6hjJc+cUczT21E
psWDw/pZC+3maWiGjQoJ7rPp9HsvUZXH5UHd7xrtxaBj9ZYEgX8ZWmWWbeNpiA+ZXsY1XLsoYJTQ
/x+hYEqpxRY/XT8uUA4YhhOftYgdszk+WjBpbCcvnY+W57s3Sa18CeMieRpASJpd3TwH01Q/F3Qj
lUar3ZWBUj97xmBteziq+YZliAqLf9R6UjN+699ZBU1VQLf8uzy2f9XmOX4Jsri+jtSQipAXJC82
aJm9OTTRlXhBRMDdGZol3St4kZmA5TZRPqmuqT7x+0EbC+bR6cEthoW9sdlo3jjKTMNgbxlXltGk
O1hEbBBTSQNhE91j4MDtzxmpBPQrXHVHXh/vpGrHsuDnXUkcixRLCH8nbaJ7mat7fXAstbLbX+Z2
NJ3xa0+ebwnmCa85FDOd8eJNenJ/5jRXlyFtWvxgTaN6kOB8SKlvjiZ0hst11SDJ93VHYuwydxz9
nUNB+yjBRt/quzp0/Ys3tZsOfousurrMjQYKbz0lIfkTkjlUtlRYkyNiPFeW4/X3PdT3hyyay1s3
uaH7JHpWmm2vqcOzojn9c1aPX0BReefCzMerqge8qRjjcN+1UNBFvQd2SInsi63VflQzfGoXUw9Z
wZ1JsdlXS3huY3bMNJqHJ3dwh3tZI6+jFM6TPDq6+bjNnBxBwDBydrRPpzdBAPAb1NvPnOTUj7IM
kYMoDOs+8634KhrdU9vO2UNnJZ87NQlewCPrJ3QtYLz2xuClTtr2QK59OoiX5oFmS43QO4m3MOtP
WVP0D0HkGl+6H02VBVd6WKi7crBqGEPseteAWz02MUVONC2gQfJK1EH2seX8cZoup6aWVfr2XcC7
UzPTykMykT4IrCcfEOYXmz/vk2fSxjt6wReDd9ujnxYnGSnWYN7HwfQko3jOoUDNh58yqvmjgW9H
FeXWKvwy13AHuSM1Olk1bmfj4NOZsottxbiffPX1YCrXjjIE96uZB/7ylPrBZwla7anZaftwolL8
wVEEsbqpfNACa7CEkI9grwOP2fB2Ob9nw2jVmvYZPPwhGtrpmzvb/m5uaWqetFw9qzrpLnqndy5c
L+Df63AbLSoockBX6fUsNSyXj3fOb7iD/ol4tbeztMi8/dgDKPngkGDxDp0SvPMC9kF+xR4ashLk
Xi+rNo27SZuZxr0OUDEJlmnOT9CFvR5iHhVO6XKQs9Wxxq2OD3H/IWRdfqYhPtnI+us8Ga4x65X+
Q8iHpda5/3iX/3i19Q7WkA/LN8HSmPfB/eFK6zLrzXxYZg35316Pf1zm368k0+QutX6qDl0YPa1/
gtjX4T9e4h9DVseHF+J/X2r9Mz4stb5g/9PVPtzB/zT331+Xf1zq3+8Ueoeap0Oj2EIQwqNdtHwM
5fAv43cuSlHMylP3ddZl3JlJcVnlMr5MeDftb68gRlnq/ax/vqP1qmuMSt153q+e9yv9v16fzQxb
78GMeTpfr3hZ9XKd9brvrf+v171c8f1fIldvwUBY1dAf1quud/XBtg4/3ug/ThHHu1tflxBPuvzL
P9jE8R9s/yHkf1+KnvpuN6HwszHjqbnrxtDZ13TEb2UY9gtlgJk3dO7gpUfL2qqV6+8Utyn0Y9og
6tfUHk+Ui1sCxymgJ47mlVtA6vVJL9Bs2ok76PemmXpnen5B0Impn730pvJ4Ciz1Uj/qk+HsTIpK
W3B/W8oMtF4ucm0XMTfRdRNJNzB7UHrKqTXOibJdhd5053Xialql4HzfiGE5btIfftQo1yaUz9s8
y5IjNSnyUWpWPNGVeWVWeXsH2VL+pJB9ubW89kF8ElXxyT14dj3ugIXnTxKmJ0iJhSRbThKi+yqP
SDmPpqwqAWlZ0MNlxtpmXeg/Xl13+wfH0n2SqH9zZW+CeUn3fwlygwxc7g7nmU6saWPD/XGWMWKT
4XZMvVf36jDfQmxTIaQYCSmG12kyVw4S572tYlVJeChMwLtaCaLFqGOqAHIqB7KEkJSu43dBieue
6b6cju/m0Hn6R/g7K+SKqbsdDXWApg8Of6Tf7Ltei5w7OUvRruj7vDt/sPNAFO14PuU99GHC2Ia3
fRLA1vDHGhIhh5LtLSxQdn9cbXIWpk5/BQzytw92WaRs3Ju6nO2TOMXkpMMhU6fhuqLfnp5J6oQI
OVm8RM42t2vvYhen2OVsPdBeZ9/IcBYCPDl1Kab4dfw6V6Y1ZuTvIqNu0TzLxgMtAP02imfd28Cv
1zxsKo0kCaJGCu9aWqhJ29njIfaK9mEI1Pah1krn5PTus5hWO/Rbz1bWuuw1CJVDRjvywTaDfjst
M8V2uYastBrlOq4TTJfriEMt569ZUTdHgenKGTxQj6943Q/QXUj4vHJz8V3OBbMr6F1oYel2aHce
vJwhNdyT2hpGCq95lTUnpVJszn1Frf903mpGrW4l3G/rfrxpNd3eBE2f7ZrYeMVOJ0rnuWQ3QEev
B6NsIOskmy+mdyEfkdfiD2IXOPa7UEPxB5kuQGzoCzYRPP8Ip5GzNg2A0k3q2jfh0hSBQqT6PStg
B1qUNNaI0NY0SIOHbKtff2j6STKazw9idBa1UPCvFgmQXfHWGwSn0U1uB1SOlgwgn5SniCoqxJXQ
4skBQvYMXbm2v5DmlcInvcS1VMMucbRaDHtYTxqo48rmcWEoOERtHe9CqN7DLZ2COe0gWbwbfK9+
LIepfhSbttg6QN1IDpGjPchY3B/WGdX4vun84Lq3m+G2V63+1huoEG9kHMNCf+Pqd0VXjPnu4iD5
RD/A6HS/hIjbULjXe/iXg3K3rtDl8etaH2zhsp6v330w22qkHBV9fOzeVELf/a68qojW/rwlh6C9
+4W5/OxQAry5xMj43czLj8zgR+o2oOlpC8IPflyFimmWRi8DuLBjvojNySF9O5tEVG4di7sfksuM
D3YZsoPuj3T+f22Gzp03JD5BTXmAmDMzUs7rIfeb16EZtJuONpFbcYr9MrcHjbMN5nrer9PIqvu7
vqy07YXt1gRwCAxqgAzQNKKIJmCt2itO882Yuiw4tbkz3OZxzsY0aqrreE6r68RIXfVpsMgdqKOb
byWmXgITgSpMHp3RHVU38pB3YnJDvdjyMDpAD9Joarb1dBu+4tGZr/iZ0+4Bs+r3cpahA6rPUXde
7TrSbbeZbsFdRKin0lS70cbSOjrcNhA/jOuBtB5/CV3fu0iBxPrijkwPqsq3q0l0s1xyLBRKMlxt
vYGwzpvbvjEvV3tnz9OK7hh08YZZv57TqDqSp1Y/eV0GUaXi27/qyHmEXTb84rb5sK0B9T/4b7GR
4cwfYgfna81l0go+5UCjBNA1kKOlXkM6KQ+uDPiahou7siMyknQ6vNoKgFXFWKGws8y4TJZ1hnBJ
6lWhu2kWTw2PmbaTFe0xvJKQj1OWtYHWRrC+M0O8hVXtUt1xRvuenvV87zYQDfOvs3+1Q3AiWlL9
CO0YXg+rSe+rOkH7FzHDgwXO5Vliha7lz7FqP1uUaWh9UPRa2TgaP0mCGWhQPQAMkzBc2ohVA141
8QraQLyOS6ODeGVu0VGHVD3D9Oqtzzpbkzr5pl70pMjXk4Gv6J9ah+KtFiUq8WYFqjK1SUNTo8Hy
63Ub00+be4hKQPAsZ6tjtYWLlw4O7WjHoBUkTg4DbMwXB9iNX2cqfPMwUERdJ8glPqwkl5hgO4ER
moUleL12utwU3VfNuaKtyXDMcm9PtONF9hh/AweFHIz6LeAFoFgYQTU8dNq3ytJosiqnT1MxgM9T
kpRKeKB9c3LVofip+ucgnVUEEHnDLtNl1bzN6+uRfO9/W9UfdbgxFAV9Hx4er63BtY6a34PMpj9r
A39YfxvpUfASlvN1UJHtb914fi6qYjsuxGjg54o7vUM2KliiAC3y7GyjMSNeL9Er/hSWFK8sCSpv
uBVvZKrvlsynnEIxa7ht8SslhZQKg1fQQe90TyqE49edG9oHxK7sL8oc3cnv8BqR0vh5XUaOdQgb
C9JlE3aqYVPPVnWU5+Q5jowb08m3H56VAVXyBD6rqnFjxa/eV5t4oqZ+55lGfn42l0d1Cj5XRtF8
Shb5RiNNYdExm1OrDspw9zakKBqc5TDnzjXg6PJsK+jZsVBx1Whu9CQHjwaPMqEXT0ZwW+jnymxv
jN5EACabsvGYdUPPlywTZj7/T06WtttFf+tYQEWHSEyrnsq2c84SMun+cGe783GdoNtzcsU3KKh6
mQCU2dq20KdfYi7XnZP7sijCyyIG9I734UThU+7CoQ0f2Xbf2kisHOiaTnf0Ng0Hc1l+VtxyO6KK
8ElJd2qMjkrRNcOnKaj1bTQgfCu2kY7bW7qifvUWvlcxVYUJVVCmnp3FNNCdfkhqm6fIZViy6Xsy
rK/ik3AzBkfqZUB2WtU3T1Pmf4M7ZLjxgmC4mfyRLnQ5lQNf74qCrsVbwMeo6s0jMTL0izaoNjKG
6iza69bcX9ZcY7IinvztOlvWterp9T4uS8i4zJxndaiD44cQu1H5RQ28z6FVo6TSeebJ7ZWI3sFZ
5VQO61j8EiluB6qs10gZ22vkxSWhFCSmrRbAMyJBsoacrZdEm0Axtn97NYlkjxrCOkhnoqo3470D
weAuHrVkL8PeC7H1xnjfu7OzGeCgOHxw+EP6a0i95fqjvRhPYZlpN3VepzZyKiwyup/0qRzuAj1o
aU7KnIPHzvIRUvt649fzcC1DOSSd+6SafXwroyqOtcfOGnc5AkL3xTLyzCB4BJi5Tqlg4Th3nXXl
T80cbb2uhWXAy35owL+jLRwvMx8RHbI/mb5ceDTD4dBEGX1KVb2lvWd4rB01/AQQgL5K/5McjNhu
6SCy/FO62NyGRtV5VhB3WYZU67v7PNBPlem9TtB7WhgshATFBBQt2ztzD23sEk/vbX7bF87vazzQ
QNq7bNTtloCqr6Zt0IfTlQzntuxoRrOjrQwVNzWe8vJLlqSvV4MVqSJ9aTvXRtomdN0UBkkbd9Et
g0s05i+Lgx0U68VZbFFh0US8js1rA6AcXP0E+MskiZKhHIzIjumjKYLdB8c6RLvFPISWTY/gF0Nz
0cmZjACpFJdi0wiPvUXj464dmvlAFR7qejcKH9XI3cRTmf3FK3NNJHkkNjXc4JPMB9z/cb5EhJDT
XiLWK7xdX5zrGjQFw+VLE7oH1f/BCuHwSmok9DY24J2zq7R7kBkBRALW8LNu4+AULz3WG4nu7MjZ
TqExPsihhTX1XPoNtPbt9JDbgDyy2M+Ock9QTCPJYNW3l5FLGa1RrHGTyMvx5pW7y/7Gm5ISeze3
W+YOy0uXq4l1Ra06AOGUAr1JyvpEuyDcUjTAPo3hNo2Wgv9iKdTYO9lj/ru4LkG13+3Tyo3265xg
KNLN1Aev64gDMuP/j+us1x7/7/fT9bO6NSwYyqrUMm6LRj/2sW5dt77B81ba98btVLEMj16pcZva
RnwagQAjC2ncimkQ7yVGwitAOXut9cCSLFMkUtaWoTKiHrGrAgif2qSa9mIU9+WKEj4CQtoDvqo3
kRslr9/S5USfz6Y0jekKTYw96neRuSWpYZ6iKrNo3eY7vw34yUNigrEn3+/iJ5czufuyatur1+ca
f4yuyfIpd3xAgnu3S93DWLQGXMd/2NTFgf4dyJxav9hzmHcQS15CUDD/2utWeS3zxSQTNN4+O94p
0KIs88Ux9Jl7a+uTcoizETzHUN7SK1HdzppV3v7dUBwSMsFqbdcz0Nr/e6yslEbBD8eGEa22P5WK
oWzlzKRp5XKWL7YyVRD/e/P+exx6sApdwSQz3XT/gRtLhjptvEoe0TC7PMeJSQ512AfvZLhTWgtS
34C2LQvOmhMAPqO+bJoZPc6jadDAHH8yFrOfdclpYi+9laFVAb2HI0mhgXkuXnSNJDxZIAhHl2Ce
6C9rzDzTPMRO+CkArPTCIeFja/Icg8KFnaH3dixK56nxbdQk1yHgkOs+gNDkqDTexRtAVvYY26Z1
C0X4+DBDk2JNRncDCdr04JscmkiBBbuK9J3Tl3x5jbGd3M7u6wSZJQfXSC9TZSTzRyuJ9w6tNLvS
rVJynd10LLTIeCwBWu27kjyZaVlI6i02XzHbbVnYzSVEHBMLbGBmy0+lPv3WBZZ2IjVsPEJqelLj
UD1rXetG2+JlAiv22C6uqWuVs2aPV63heBFC2tl0ShT990ukCViL7nSz2Mo115tJA7i+Y9piSnrY
b8Setl67rZD4OF6WWm9G3HKDsZNebmRdrnjRvMS5zmM9gDCBjZ2x7CfdSOmvaPUHt6Wwpd+sRm2a
6buV/aKE0/NNJKT1l5h1idWx2tZlUPuJNzOfU7Tuxy+k0F4AVCrPbTFZx6Izy6s2q9NnmPx+0Wl8
/PnngDFC8KIOSMsIFdCkgpMxIPISMkA1tI2dXWXvh+YylGDxSvA6FO+HuYVNe3pLj/V26CzjnCX0
A42++5X+Vs0/BRp06YB4YPmqS2UiTRObZ3K7xlmim7HdJbUx3BTt72lhmacQiqcbkKT8qyoFnUqQ
oUUNiRhWdMzHG1JC4p2WEDmTQ90Akrp4Po7tqDVOdv8TSTMbXPQSJ8vJmCRSBxS6OsVTAF17kPQZ
MGgOxqyFytVYkbCf+R3Z9laVu7+nqZnd0A1ckvqMsuymoSNqmzi+tpVJjZt6+6jrIp6tckcxz2g1
g1ofJhCAi0L6MoQ1arr3Qr9DhNx79VpqXz/OSAOcAeC9sOssvnZZPG+0IvJfuo52JK0vphe/iqyN
1zb5i+8gO1gUgYeKQqNsFAvMbmeAaKJs4J001GkvOG0zjv3LUBOqB9hq3g1Xr+Dq/uvcNA2irTOw
JW8X9KfR0R5j1JHGs4LnnO2F7YTyGV3sEzXDmyGo9mIbabmcdxf3MiXrC21fLyuYALr2nqbXe7dW
yivoU9x9Amz3m57EXxogBo9qX+n3Q1alG7HnWW/uMpU2cm9p6gX+zKOZ9tWfq/bEC9CgVJIl30C3
NZsm8Pw7egHnp1JpH8Ue6Fl1SH3TIjHGRaKmPXQm7UQtPJsv0XcjjMdfhzlAroCvtce+bOcr1E+q
K9XMgie2g/TQ27n9a/Rdb+E/kUjozaZHO4YW5vXJGr5JkE9oOu6gsEjBQL3Jz4sRqEG6nyYnPdON
59znlaJslcDi1+ztLMhJlYotejtbvZezeCzOXQ45VhTYjyFPr9e8F407OQBiN++s2Ee1EeXAzQeH
DKfYfyzLzL2W2DUCnncyYRY9p30aPEHul3/S6jTe+ypt/0UDcCxWynJr9U76sx3j7WxO4/cAdbH9
XCfvI5qlRPKvEcITlcbRNotC1EQDBcBHDtXmEXabjE+Roob3vugsh56zs1Q4wS4iyqFsTpxVczkA
36BE1o0HZ2i38xaHeL3U5UOT1udJKWtAIcue5t20ZW1qwONNU5/bRWpX70n4GpVXPk00Jl4PrqIf
xrlUvpDBukQYgH422QTxkB0DicqpD2sL3zoq4D8oPWs3MOu2T/AoTndwn18ZObe9VYupOFiTPuwk
Vg6Gmv6Awk67kVHVRTOYyv4KPvfmgc3ltp9rypI+Ym4ilNs25OEKg+zI3LTTZ0fPdwKBhh6V7TBy
KjtBObu6o21c21bPABS3aaj1yqfIn6Y9rPuFDVIGWlw5hLaqnhRrOdBrnvEtwim9taYOpKD7JeO7
kUrB4pHwBdP+T6d5gAhkDRwW3Gs1jY/R8n0N2ZdFDSe12NYDXMh/m/02P6ySnjN9t6j7VWgFTs6V
2D+qfkpIHhvjTTqF5maGhWMngeJYl5KzIGmO8dtSH8IS917xtKyJjlCu6PGuzaxd29r5g1WmbDTN
JD7WepvuGj1ip6mmAOc7FZ1Rs/5lKDPvoPfqjBQB+tSiXS221uvn7aiMzaM4/tGmLnNB+AFNXWNk
Slo3w7abRm0nhceVIPpStnxXxwxRLzr4w/BZqpYX94U7+q/nl/KmaSBJd+Gc7orOPvRF99mNdpBf
bix9TM/D1PfhPlGAejr5X4bJgjLOBzJ0ad8eZfQW2i5Y5Ho5vNllRRmJXSLe4sVuLgJJb/FySQn1
vtsVBEzlwloth6L07X3T1/NmtcnZwp951gsPGluJsVx4CcHrv85r3QFQkEQOSYWU1pA4+6JK3ses
K7YQrx2pRv2KXoJ9qirr7vJ6yBDWK2DRvADrX0SV7RImJjd3qAK8Tb0MxfPBRsb3hx/U1UbTB3Xf
tHyzCbtA2Ri/0lDf3we0FtPDqm2Eg6AJquzWNOEJlSiZ5AQ97AsLlflfJ7VNcn4tlWiRhtK3mQN3
K5MJDSnkmTdJaY9nGQfI4xz6iVKi2JQl5n0gqOs931bOZba4yQlrVBbJv9F7bUA8FP9mUnm7VvLJ
eJDD3PbOzhmaYL/aauB1lBDVYJPlqsm2GKn2YREOkwPZavhWa3Le+ejD4LgIh4V2YiBG/V0C3pm7
XjtAZ5ttxbauQU6OvqfGcS5riMPONe+sBzxqLpfq3q5HF1B6mGdz+OjgmeMnpdf+el288vgYlGbH
m8/Tr2BQghJmEW2F1LB+NPQCnLVj3jc5KvSIQ9aPS4CYJEAOsfPeJKHLRJqVrcvEP6+1Lv/ntaai
/epFsXZy9XDj2FbzJIdYK1C81/zuVdemLSBF0mfPvO7UtH3q+8x76LNwyVGhJTME6Kv6KtGXMYkr
avG59hrtAMd5KNjKfIxerycz1GV9sU3m6D2MrC+jrtReoix8GZPIeRwHHveqxAivZSjQHW92bkCh
NWfB8GSxFzzG2o0MJCiEmR4so/kcLbgfsRPtH5OerqnaAgy27ZDO22kNnxyZITEgkF8vtS61XMoh
iYvsNjejtUX46Nfg/JY1VJBXtwOXybylsqX6+SFQQ5os6NN/CLP+rp7T6UZMcihhdToiiq1D5kgY
mUe45GPiVIvmgURxqlM1mrGDkjCy21eylUjkJ05O5QCHo79rNU3byDZFbLItkbPVts74YJMFTKp+
G9Utun0IAJSWIfjC3pGGARZ1rms1vbnQiQF3fSUMK6Z6b1k6FJk94oIHBfzkoV4KpHNSZgdgBsmh
Wqqpq3cK9J+jRgcNJb1oC07J2X9ok5eheEtKjhfv2iYv7fRUacPL3A+Oy1KLN5l5J6NtSHYLFBGa
Rl/mEqYuX4PR3+0164vf6d8RZMrvxdm1+gaSPP25ymrvadLDo5jDDCE+YwCHO+qR/WUs1OY6V8tk
J14raJR94MXU0ZYL+GgfXy5wWXJ0PlyAYuK7C0Ru4x6gMqXrFZhLe2uFyZYhaRcZZhYNfZOmb9Ok
P0Hg6d52/hTtGiuKfqkAcsw6/KcIwZmHQS9sSC2K5POo1I8SQAOlA9lFYNyvM5EHDH+pNDbBnm9+
TefMOiDuwtvKgrU+HTP4YZaelX5pdlkPYssRXoHeNj+udi+qh0NFoyR5LsTBPkyVoSLNlMtccLro
Rb0tPD3FEW8mqwvqctMt+hRysIuORJWc1jEtWO1yWN1im+Yg3M0DiSBxfFzisk5ZUygmC70z9Nq+
XQ9D1zenvqR16c0e0I10a4wQ7e3+OAVy2M/Nu5iijcZj0nq/9MFY3MGVrJ9r5SADqKGRebZ5HL/Y
q+wodrHIWbvMGZJGP/Nss5oDBCXhtKPI+qdF36232v+0aIAgVp83ketsdZBTy55CNiCW79rHcUy+
i2k9fNh/ABT+iugX/bTLTPrL9EMUj2SLl+Ea6yyrVWH0/bIDEu9lP9NXw46GJvcmNrKKlE5ef2pS
AHyqMgNGySoHHuHKeZ5skOkQ1vyOhJ37WeP7kxye5t/OcV3f6AaNkOgXGZ94zYdNqLTqr0p7Lzpf
yxyr0l/n+Jri3zZBhDR3Ukx7bZi2U1awKyaj/b3l+3nTQ+JyXzc9dB5qwO4rzObvjQP3A3yR0zZt
4HJ0hqnYUVGJ72k9Hq9td1KOutMUj67mVex8wGEZHnTLC3nYFA0PY9/oXz9M0tpagW3VLB7bGt4D
d9Kda3PwpgzVCR4gwQfVziGxcuNLUo936eSmPxMjAUnJ09sT/Jo1GFMiQkU1vtRDfyf5s7+LeFvj
HyMAsbnbHBTwzu2Sz/BSZA/S6NDtVapbX6ypqQGAhc/SUFGEqn0a4di6tDlkpUGrJ2oYB2OEvaqD
b/dYGnm/LQoTte2lEyLOo8uiMr/dyaIT3ZKyqPRQAOx0Lot22tTtY0RLaC3mMUV1hodArfJbtA3Y
gSBOdhmKSL3wxmqYyJ3AsLI87oh9MdWxmt/KEm/riAlBz60TKxovM/T9Nk2PAK8g+QhuZ1tP7ptF
SK8Lw/xnF9Ix1Xre92lW/V3KRusSYbVqvwlp0vHotDvYTQyA6i2fCh1Ac1+UqYYDGblJ8qer0YIH
G5lLha2LzKZoU210OB+WH+TA3hXjTHptyrL7rIRLVHTNuyoeaaj6q6O2FfYSiyMgo3aZkfQe7+LF
EcSleasb8BCfR1JVWdGozafX/M5gONlhpEAtenc7v5/UH23yglJo9pNMn7qNvGm+0+hvugXADkXY
a0DeR/s6VejnU2L3OLXdwVJb58aefMvZkS5JDjlEinQZoTEv7kjRnZuIvwf6IfQqU6B316kOiF3+
Mtqs9wbd/y/dCNPHaocbZ2+mSfjyN/H2Ytcjr6CzsYGLrIDeI01qPqVLTlLGqhvUG8rGFoJ25C68
Uhs3pp21SMZWxktD5aVuSUKSHLgL667cCMsmPCtQWinwHcrQtM1/n1RpJs15+XQmSVVAf7scFHgq
aS9EP6Od/7AtjhiZMhRhBtqeVHs/wW5cam51GzfT9Bguh3y09k1ZwO6+jORAw78ZNTx0LhYv69T7
jlqxjKB0hI+Dzj4kkYOb1RSPdXYz9Oo3McnB7rzi2lX19jKzierwOq+t35Do6W7g/kTGqBuTHnHQ
ottChG5RYxpK8u2LUTwSKWeXcBmbQfZbnqoq/TLJeMuWSdtXcz9spNdSG0Df8FyOR8YSI2dygCUN
3oLkdjVD30sDZ9l1rxPqBontalbvE91BykhpPYfvZEXnletqfz9VgbuLE2N6bvqQPKrlPeoqvVzh
WMIeamvKjTjnQVUBVCK0Ll4X+qcrRKv9rXhdfmrO9uT8AFk8PVtwQX9CDqCo67rbFrVyXw1wi0lk
YYHOrqZcvZZ19JqPTmMN0168etMNJw28K2yY3BF9HPFDrJcnWVYi6ISEsE+pnmQU5RBRsuWsbmU1
clYdJPbVBI2Wjd6oiR6epfVsw+ZQ/+wDZqXgEUEThRLp1cAb+dqARvcMKpuv5joonyvIMTbqgDJb
wYvmk/AJkAtqdmoQj1ddkNNwseRU2U5r2ygKK1jxGGZ6ERobuhmSMz9K8LWUJmAbxXR2cRtr29TP
/hQYOogA+FV2UPMKFeClBKcsJTh/Kc2l5IC8fmzvxCROu4HARvXM4SAR4rA7iJxkvtjWRTSro0c3
6+7ErjbKgCQNmlng9bXbuqvyqzL0H/1ZMaH+EkqrINMhstLgSJ39+GfGbznkKosnbDxO0YJJDjba
wRsxwt1MuJxeQqGuzPddR1kKeeqd572ERTvdrymASTGBBfiRciWJA3FEjTkihN3UO75gjQdxpHpD
zbvQXiDISE9OUeR88Xn60cw6765s0TXIrAhBBX+et2rtxC/t4BYbZ878H5Vb3Q0DCfnNOH8v2fDx
qhYtCJK++i0xsy/WkOTfO4V/Lfjl6TP7gWwX5mnz2PUFCQHT0s5uOM5XU+B0p0r1BlR59b9cuRjN
91e2lisrYXlXTgV5liL9TtH+/ZX7LvkSl5m6jXOzv5+j/ACJGWzcs6kczWJSfhgD73OvS3TIsGt3
D8W/dwvmvz9RR9eOxhCrDwmEZlunqcqvVtO9LE3bzP8daiMqnXPyQ9EU9SXonWSn86F/CFJfOYLf
jk9REjfnsY3nveXNxbMT+hBGh6b2C0Iar7ehcRuKHwS/dAZJwA+3Mc3eX24jMt3iT7dR82BzNnhO
3nYjn+dqQL6CIkT2DBVs8Wi0fK0sI9NTOdDLlztTficmnraandcY3VGGMj2c6VWSYWuMl+ngup1m
u0wFGADGHFJkZzajXW+E1ie/0LJHtlo0JrTWJ/QErE99sCRhEEG6EVv9f1i7siU7dSX7RUSAxPi6
57nmwfVC2D42Yh4ECPj6XkrKtcs+vn2jI/qFQKmUqGFvJGWuXCuKNOpXc12B5PgBCKP8zg3fh0MS
DPnE2EE0we7MU9fa7xep71LA312jB7pUt9y4nxBbyTgCp7oH5DxQ7bHMvQmWyhXpOtgWogtIgUwn
sMFCU8/8Tmaoi0IqRnuRTg15FdM4nqravMO+JVzGVQU+zFHZzanXDCp0YW3fY38MMugY9I/7awek
EeBtfniPQ7Mu23AHuc5uyRE/21PyLkvBfQWGCR9kqMBZUy84r4M9Jf5yNkGO1we9rBuG6xk4MCkh
FmGo/G0ZWw1fkd67pY3QVPC3JOxOYvF0R70MLG6LVvfWLbAznWqhug6SsJtJ8EdGLLW6NbrmI1HY
Up9uXfu0p/nh+fs4CAzPnhVvOArJAAsLlTOu0xYcSrQFnHeDZBziCjoherNIqXK6zN52y1Hli9T8
9RKMxrgeK+x+lXB3iW1wgBTi8Q3ArlWVBenLGDcVSv1gJ27aNA7AZFFns90fNcOYH45v2n71t5j9
A9s3hXcYYi+DZmynS5syVIuoLka4DbZrb6T9cq+dAHag02KR5eISWVi42lah0mL0htcgCKPVwHN2
oOyOV95O0yhf/vBSXqJzi4cMJ/g7A/+0jrtIXPixZ6/8QiDBqYVZFZfDXT3iX0ppjZ7hzEbptYEb
3l1mm/wBLDtrA+sNNFOc7mRkOK+RUg3LLGznmEARkdaxgexLAWi6kEfqbTPnMIK24j6KhE1zkLmH
tOhJ5JiDpuSIgwGPlOaLXJQpFKw68VCNdQ36HQCVah6LhxLE/SBr8ZfTAPbZZc17aBqGobepbfe9
N8WxmoaS6W/jtQd1eiiwWzvQpEHtQOO1lf5V5Exg7pV2fcKvImfOctMRzYl6J50Zp15kx+EswG9+
7aVvEzWFxz6P/ZszfdfwVktP6ljE3rAs3MB4NKLxX3fjwN5t6uPuDz8jgZb7IJthK4uUH8Xgg3RH
f2iBg7gfq2F8cPqWH6tuzKBqiA9nA7pvjtPLJzt9mMNf/ioBF+jUl8o115XrIUAEEpPjJAU7jqx1
V5CE5wuyXTv+1kQsgdULGnft5sXkrloBhew/Oiw9f4YVd9X6HBJfhiVu6JKX2SPqVz0gHn+Z6A68
bsESnPLZuiS9TDJWiQRtiuuDAu1371gA7J65365mPkbx9Qm5V74/wXOA3dKsccGSRSJb04irs2vk
D5HK94YBlk1ULyWLOh+STQuVT2jJ+WzfTmZ9MXWm1xB5cDQ7QAx0phcrrbyXiDlBZqGGbqv2oI5c
2nsLNWTzIJQXdysJcbPRmsIL5EjbhZEF1Ze2QjrSYbk45mFfvUCPbLY3I1SKIEhkr+u0qb9U2Kta
Vlne8yIEW1E+Amms7b0ejgqo6Dq8huTqQ+R2zxC5KFfQ3ksflIlwC92RTWnbqG109//jZ5QILxQm
uKaHQVjLgE+g29dvNGc79WP7ajMxHkcTmGWyplluLQeFN0olOPQr1t0EEuwAIjwGCPI2jUysLQld
TB6/OFZp3qf5kN7Gkv1DZvLyY9/cFrY9vmovM/C2PAcepjTsB+w1i6Pl4CWAfLzzQLZSiNWAIsc7
7nDnIYFQ88oD6npLHjTAHhHu1AKwD2TTA3oX7K1zHMBnUQwQX7oGa7d4AVy62Yd9w9ZCh7482J3W
+WwvcSx60/5/s6spg/psHS7EILpLWih/k7K+XJeFyJ9AY8h30KUMliJs8yclGhQte5G3MAI0kylE
UKICPSY5Wxx8Pn2uLtSZVsl0n4KELMLWSUFna5VHJXtknYrvlNeqXZ+6vokwnNseKiyW2UJZUbi3
+dZypOz/oQ6jBN3VMWdDe5jdIdsHvRmIUAE9VYOFZaqGix2X3Uu7cgdbvZiGbCE4NWQLakZVpxkm
DcjA6l6oklYQV0ApCzXzAQpmkaMekJkO7vzOPZMZf10wFEUAuVdpgyl9qKDlEILZUa9njW+hPbab
NMP57rrcIjqSjYsYERJoAXxahmm1vS6+4bDWRb2fHKhPkAILOifIvMxrNQ1kiEHHIEM62WB3xxnS
UpteZ9nybmjv4ynctJ2IbsjUmT70jkXzD/WR6Troavt9UDtM9dHq1D/k/38dFHdAi4HtAT9aJ33E
Sb3hJkgiQD0qqXj9bWyio5Fgt/lQhG35WKThT0vvumqviRc+NpNn0Anyuen+3qTeqzMiVvJ8baoU
FWdWFtWrwNiHtq4sHrg/3aIVUZ1x/9cW94pioTK3vgckhC2dXLA7n1njBrLSzQlEcP1BSYjlBJ4v
bxBf5isDgImnqYaQxljWzTe/FntpAW+7KAHnBj8BhEJz/g3KO+LVZR5bpki3zVP2hqZ99Ir3KdUE
wFKnnPcpUVJ+ivDZjVupXo2S9aBmxN2IGrwFdA7UayHxTLpT2vZXv5JPoIkNQFi6HNpcbEgbLERY
5ex6oLioQZy8pmbTNRAKhyInKYWRZliVM+/8YSdpMRcBDCzGaYK94NkvIBu8wI0dYv1ZQKpjvvnc
9b/4mAD8HPop5puo491KTF64j4NgfPUgZ92psnqWVpmcMzBELwboerySWxynxh4cwdDZtL1Fxfpg
l6Qs3AoUK65QmGyvY1Xhf11lU7fiZQbdD2qPrd2BVsS21wNEhaAL6k5rbnpbYJn+CZ0x2hNvPUBX
7Q3dfdivJrJPjjX7E8U9mRwNGBlgx6oa7clOJur8r/Y/5sdn/NPP8/v89HMGhOj4mFsxZxOgqm1j
Ga6ND+SvSw8i25F1N12Rgve9Vj5SF0XyreFemK6BbUf8p+lAMqIHzD58SiD0knhQhUnwlv73VFfL
x3Tz8ASUvu6QQyFcqyHYpaM/RbJaBpafbchG2gkdmE8vKjMXvGfgxcZSyu3I2iM1as64MeVn9sKR
fnf2wDL/FNf8fQFOqne3GUam3YK27M5gDXGf0l9uUzv8a7bf3Wh4GUb4F7v49PMJB2MoMN20lQNN
el57d7GM7TugPRXqh/FBL81T1oLZgjylzdud63IfXIkMhxLt30wxqA5FA65b8hkNx100Emg6hhzL
7KOfAPZl59MTzNXsnqlwOoE24pa8adohwHuLz8khUw6HwQNqxQ6NfJdBB/PZrJCSCL0wOlMTVH/b
Jm/jBwOKdA/5yFejrnFNM85Q9STLBTWnyeI7kDGbc282CABhhqLYUS9NKSC4caamnnLMwMlHUxag
18m6qD07UQhaFCNAsEIsGcVN9EU2OWDikIM7USyli6oJmnhxtKGmlQp1ZCY0i/paFI8R8kYPdjaH
UsihqUH5fB0uZW0uA69bWy2HSmGUBHdDjVI1ptVCK9WDdsJrATTuerA//NtD+e2xGbDU/+EB5BTC
4jrl8Zc5PJzfV0PMoQ+PPUvO1kDiIKTichvXSdPu94mxISL92Tb3g1QfJPt1AxZYpzCsrVPbyEow
sJoiD1afPGoiZTI3CWFDmBqhnNl0xdR8DCK0Dnl9mKhFrh8DGcoRTiJCKXXCypsuS4+QH/QeAA32
HjzGnlHG1ZxBEutBsrz214hvD2vqbD0jOI8IWbW6k0xFkV1KL2NgpcXoNHaSNUrqmw0N901p4STa
fJtH60GQ0tgC3h/fksn0e2yqQPy8pZ9g6P3uKKAHvKBemoMhB1eYrL8jk6oMVBApL93RjwB17frg
MNcEAOTXTwTSH6h+Gfdkac0cqk/TtzCJ+z0F4CQIcrdT3VVzAE/FvL1gob2jTvqQIRsL0fdE3NEH
TKQtyj5+Hy7zqloJl4G+uUj9fYx1ANhdf98Gdf7osKR4zLFP4kM63EQ1x2fcYfbSYULuqBMI6WnH
QZSwpAEfw/G+ykHiOnpr3y2TC+cPBJpgWIRWgPROYN8B331aI6ncqCH+Bhrcr24HfR8QjQT7XECN
0csy6w0DqZ8GjpXhr5wEoJliZZgJ2zsagm8Z9bhDWtzS0At5h7ywswirJtv4YC1QkEF67dKYg+00
QwYj00pSWspF24GsZZ/sv/sjZ3hmQSO6PUqXB0BYUyAVdOTvjxhg5cXVksdIaFw7PgULG4oEegqs
mkWMd3jfl+DSUOEdVLzCO9dClgXb42DbQ8b2DhwBiPm7KP1SfnAiDxYm1u3QfZ1Gx0mWWSBcTR/+
I/SUmywdzQ7c6CnJl+agKZ26gWaffkLdMwRvO6h3hz2K3vTJDu8lFzJ+UbunZsPMlQAr7FOMkwe2
Lf92o6Wid6CgHeTtX91qPRsBmT/c9Dlmno3s9FCjs+X1oTRb14NRuU8VgBMQJtu2U5oeoQuWHXPL
sLcjUAg3QpWAsZeW/9CFCF3XzCm/sFh8iYWqftQJ9O5SbxALPgAC3YjyRxfUX0ZDFF/yukggjZN6
DyPDl7kyRHYDgYr3p9TW8Pkprh0na+TBGtAfv9XcfGeNgdK0OgKzRRwxn8zQhpxpZf5mo0GagsOP
LEhsBP46Q+ztASIx5cFBygbCPI79QLZIvrbK7u+VheUgcCA73Ezgwrr6Q/oKkEZpYpfaWM3dfHnp
2wmipaV964yDe+B6s+oCu7Gx0jFBGnuSN0i2D0C7/m6cxePJyLVnsrYPg/T9f8rUPJlgObneeK41
W4JfN7/5lEkwPsdt/UZ7ZNot00Z57CE2L0NzT3YV+DeC+8A+ZNOXLoLswDW8S2FgbbcZxM5tN9pQ
5cGonqsIShWQirBWMfKMkJxLpgsPpbkkByd4TtvaXooCxeqNjLKlnMxoM8WOfTGAuJ0vVsDEKZD2
us9DhLeog1wU5JaWBb5kG7L1qP9bmU4cQZiukze9Al1I66TDpiwk/n51aSAAKccDNo3jK9hzPUhU
Osah003GNnUweC8VyGuOjg/1PqG1o6188padBIX/5BkFmLCqH9XIjTd946fV+40FftxUQhDEsZBd
LKzMeq79tl2JTto3yoK2QNrE+QEJAzA6hFOwrhhUERIrLJZZBfKdSMvTFfqu84H2BpAHbdNC0i8Z
TGv9n33IkS5JArYTob2vk9GdyL8WRRvguMVPdOTsSzHdMmM6kQxZmrDxVvfRCZP6GoZPiz6cfvT9
b+PAhwKW+8F+ayDLsADxkXgQPPQ3ow+MjQKN4ZklQbzuamk9l0b3NS8HqJnH4MHDru476J75YtCD
DPZrEMC3wxkFPQmYNQ3zeRqGeRBkVedBTYmAFuAmRtinx7h2jGU2qWSJmFN6jMIBJO3U04bJ+H5L
XVNqIoDi5NOBD0igFbqssjRQCB5bEF6HFlh8CkIwaBi5bO4NO6mWZSXF25irG89BrdeiV1976bc/
UDL1U/iO/+xlHDzM/mDfpJ6ZQvdJigP+stU5HTlbS9v3HlgiX+Iw2k46f0QXVY4BsDUCdePUzjjS
xakzHCzKQH3y+egWvhgP1GpNKM63YzBtCRJUDtAp7xtE9GaEkIYPgZLl7zbpgoGCRKnJmfyGj7GE
OqL5yO8/zuc02KP7aXsC/wbKU0zPWF0jLL1tPoIlHZgbHaQpbIACS8cFVZlGR+sLDQqh7bS+2qYk
uFjGW41j9yH2gwqnZNMY8DeMVnNzULl7M6o8QeVuHCBcAOKkWF+oA0x24YI7hdh+8sZuedWMWX++
OjueJvZOq4dPbhByj9eDkzfgAn8BQUxwlmXl8EWLeMA+4OFLxVh4GSXOLSvA7zcuBwPZ7IKaq2mR
xKGBt8uYr4AngqjB9f00sKwCmfWaXkwt2e2xsy9F1uYrpZ2pJ8yQgVuYEgDBRM7Of7z8aPaccQtk
iyhL12yHrqZHjFiBuky6NYn48NpFRmUlNlB9wGboIaSB98lP9FYpVuToxBbKg3jl8T2z1WybZ+Bj
tWsg02aLRV7lkJuwLPs2Tqd658Rtti+4M95MEIKERlxSfxkg9+gZkfHDV/XOLZn31nr5sKRBuZvU
O5VZYB4JuvGGY8p5UG66Z3oj2EW7Q4zInQeFwLXdBsm4ZlDoW+S6UsHVlQp0qYZ6iaBVcOa2soCr
0Ud7cG0I0F+h9ACEjO9+ODWBuURWNfDmCPksPgabZay20EeDvDHSOTfADA83earqM3OhUC9Z7kJ8
BxQoZtyMhzIw76jlahPdgbck23WuLk/QQ2kS6iiMKN2YFeB3XtgU77MEWdauWIdIamz5YbwubBw0
h5SBkPD6KOSW8NMAQbOj2YYx2YVJIi8SpApr31fxmr5Rpf5amXHxACU3dqJWEwbtuag78P6hjy5B
baq1C8TFOimDdxsqV+/C0vDn7yKqaotzNfEb8qevIsjj5ToSql5fJ1KhvOWQLT7TPAgOg35j9BIE
mUCpUmn+KyuNf0qVeLdOD/FuGYK1nuzSdbyl1Vjs2ETF8MQSsW1H3/qSKQtK1kUzbsktRQo9s3Cw
b6aeHf7TtBMzqoWrQMNF0+ahKg6cYIGN0fEdqgbDde5M7YZYyKiZILb+qSl0kyjLzKYO19feUCEo
YRY/IywLTz00hQ4yxW9JTVsgWl66PgoRdG/iaI5IUQGXqJtmAuyh1DT91ETKID6nVZvOzWhU5jmq
jB/zTMh4XJKo+EqtSDrOpW/NZ2+apqe2kO2NAR0x6hMWF7dNFlyobwBy8bYZOTgD8EQwatR32GDt
QhCsPMXGZABTNG6oL++Zde+CMJDGdU7XPIxtvKS+aoriRzf/WeGTt1UJsO5dWPQPKi9S0HJl/dHV
5E6ADfNdwuwKWjrgi5pdUE1Tc8e5o1ZSZAwYwNjaULO3gOEu0uBCLRpUYIO+QICgP1KTpvT87s5L
k8dR055kfZPeGzpqW1TC3mKD0UPuRlT7AbX7F3JBUkZcoEGxvw5oc2luUQgABIWehC5dHst5kiiv
+z0HdHkBhokAqezKXSR1ADRzZdvGghmOgMiWDFZ2N4W3VVaGt6iWzHYx5I0WJvnUDGV2RdVdqJcu
5DweiiByb2entMHLpcFnYJ43DcCUZDpptLsOuj6r0I+xElDYBmnhrFBwBQxJEJns6OCP87EXyFUM
tDa1P63+Qzxm685DELxqzW3SZf3ORbXQQyScf0Qy5d8LM0DmwCufctCl/c0hbbynYCyr2QELb7+r
Rhy69AwZDkv3HnhkFrELTfvCiqqzlxn8hcnNFObxS1UP9WWII+C0tbkrlNimAI5vkIziL9dB703s
1hNEsqapPM4r48ACfEdiUaK8D/JIny5dCMCb6Eeo/KKj0Wsr3UHm3bvgwBPzIViRJWAM+5y0LLdh
VkANz7EDyLpmcu1IljzJHFvBuI3af0rEqgxm2z8l0liVNyZfnBZBjQz4bJy0OxwPsf0+WFWDYjs9
PITYzTx88s3mCSmPfp1k2O03GgvhanyEbGwsl153oZZngk1halO5tEYL+A7d2/nqvTeKUC5fOyUQ
U3rox/jAH4qNGYDBNAaFNWIBKITvdY1KxkGrgi/IA/L2PriicBboPWa+deqR+kNwu60YD6YjDcz0
wJaKW6bhsc7i8eDpsoq69YuLo++oGbkhvqdhf7ImaG2DhQP8jHWpTuRGHpMRldu2A1nsHuCjbuk7
eY2M52jMtQFhlpSL2DLVrdX71QXYFwNoVqROXVWV+HxWWpz01wgepcEdCAHBYZ7Z3z3pyyMtTl0T
BxfIoG1bgZV+2bCo34BJr1ldt3p6gKuy9kgmBZq+jelzgKQRHpWJO7yFWbUH8Y7xw3KsE4RLpy8S
zAJLD/X+N+DNMnZOZ/Y7lJcCtakHeQ7qFhOz3k+DKG+m0C4W6ViIc6arUtMY8GgFSaC59WF3pFPI
Va7yQ8HBpXglmQEsFLo+RueBXdUsDtSR4eO1LjMbOX4WQsm1M8dzDYa0l+5npazuJWJDBI5csKIF
dcBfJPi/Nomlhg05gbX1fQxza/vF+m5H2U7VRXzX1Vw8sJwDGJ+ZoK9qkvghk2VzwhvnC3VOQlRn
UFSfi8HNTnxMsxWUcSGwqJtBhxVwQbd0CY0ErzDdMw4pejwId2qhHndNxt75BkhcdmePXn3JgB9d
tH1gvopmMFZlzYo9NVNkLKCOqZ5SSx/BgLNdCDDDvIZJPQBbYfp7T/jJEVWn7hLboUWXSvk85ZE4
m8YYgEAXMAAIybYro/SjQ6mb2k1qNzOqxRnxSmiiRQ2SYUBhrUBlIw7U/HCz9GwAi4EbjUAFU/MN
lR1g2KrKr4GLmLqOmCdmo4C06vzLEBTlCRVx7urDAykJlAAkSi1d7RG2oJQnD2gSlV+j+n0O8jCg
OAcuInAk44Vk3rdIpq2nGjUgQ1lb9yilt+4zGWwaRClvyCOPEw7EQTAsEJ0Cz66XuNMCb5txT842
R022HBtgrjCURjR6ToQjm7VdqilfVq6xGXrnC4Om1j4FHdOi1cwwzhRWR2pCpIY/OZ18b0bDGG9i
lCqvhlq6u6qAYBid1V381jtZqnhFB3nqpSad1q/OdqvCI4I6yYKyWq3dgio4KfpN3PgGQMp5d5A2
948mUFtzdiwNQck1IMNKA8hOqbNmHOLtCAzQPNN1wJ9zIlIEVcJVKrDtYRmAbiLv09sgxYo2TN5d
HRYwAUNwHJj/djX1iQtJBDtXy6jNumTpiVyuEqNNN3O7iibNWR7z/dy2Qiy+dVlcaIoyd9Pbcehw
PtSDgbeb589QYguSuuGQxcc8UukJu533y+QnAPv82RZl1R/z5kh2GtGGAQeNqklUM/ziabD51IcQ
DPZQS8lDgy3I5ugO/PvLZQFQ1PpKA0J3CKMjjQqknYjzh8kZncdBAiYzxjedNJxHsnBj2oM+oruV
2tRzs14kVecdyaNARmLVSCihNUbjYkeFUklZg0OKhgpIyR5QjBUsqImSWOvyX57k8bq7jQFxaZCF
D7rMQaX0VOfHVl/igaPdjSIHZmjKj3RH3aXdDSAn5gN4Gz/GRORO/eRZTRX4fP68pX6j6es1pLTi
rZ1F6Yp0w/e5rg6r8DlZscZU5w4A/LOTZekqMxk/Dm75Q4Zpd7JU936JErs7kc31wa/n2NmROift
0YGtAXG0DxfqGVBBB0pn8Krlxt01TTX1njiaY/1FflSW20gzkInSVHQxWlBUai9qkSsNnEQ7D5wz
Wr/muk7/+1xk/3jidS7264k0MysKfkQtNl6feBnVKSpvCcHrfzRx3GFPSYvXyrUX24nPTepFQlxk
rDnbjqHOA5PhHkvboWUJEDtkm299AFT2iWUdyEaXwq1Qz6wvKDMASemLaHGCAG+X9MYnA/B7PzFe
qrYuvxXcf/HxQfgGKuj5BnjS+ea3LjMcvGdIZRx0d6FH/pcp/t99IAGGKi/wd6+dznFO9eDaCyJ6
yEUmNg10amd2CO5B2aWqTOfS4ld+Zv5jPDH+8rdBoc+amR3i34OGpOIvEbfjkypQfNnlxnBLlzb2
MmhlLq+WCYG4WzfWG/JUaNFXU7NZFpW1tWKcUV1ljZ+GZt3SCOsynKfsLXB1mIMOSugn6JjebR0K
a5uGIIIlm40M5aJpvQLUoEW17lFTvw89mT2PxrQtagZQq7abPA2udhWV73YPjG37Gvi6Z6fEGfLD
fvX/3V7WqF+j7NWc+NLZK1BeQpN5nJNlNWhrT13QPF7zZ1nP6m3v+MPymj9TSGEiChv7m2tSrLOj
L1lkD0cyzXaxLENUlFHObTLC9CR49Xh9dIcXzrauxbi8TtOE/eepqWO0snlqmsgElfNt57LlZKFC
ULoTAoMZICmXrHLdpdHIHHUAQ3iZe/CGGveoa3nKtY38GhZCQREIki3NMI+lCT5mUWD3QUGTnvTj
gu3pPNPVdJ2zjtMt1hvvSJ3Agd0nTtadepTxr4bcw45bb2TmnQcWvmq0kZrVJh8807syG0HVpZu0
XXGKCLk2FaZHsrk+CA4ACr+hztlNz+siFb652gr28zqtMfqfp6VBgYFgVqJkinMUtkE0bQ9Ga+qk
S/sxbShxVBgr7KqG1nD2VYudHe1n/Ag4CGrSfoaart8rFCIhNXFtUi9q2fB9SU9+hFNPjwribThM
X4MWR6LIM/sTCMWxx6O2p410R5c4LCARmzZbGhqCZR3Lhh5C7esMYQmCf94393/Y55k/PWTMgnjh
+YXaIMTR7wcvemB2b755EGINQif+nndJv2yGxL9A8Lc9gcYD5YRjGXy16jM5OFAlXpYeOOXroarO
BXREVtThbjk0pr5B2bleubWKz4GI8ouYgD1Aaiv+7rLHvrKmrxxF6Svo2BZ62xxukSJG7EFCuBNr
7viWm7ZcxCmPbovCtS/UgSMAait0h4ESu7mjMsC/HDLUUQz1wbMEqBUdDYEapLonm2odoOzGfryv
ERnc8MhQN2Em2I3VmHdSb2oTpJKopVpDbAww5kMRGCKPkeexA6IqeypquRa6UBPqzs4B5OdzJ/mT
nS4jUksHJ3Z3f9r1tGCHNg6l1e4++Ws7PSCdDHFEQc7c+cdwVO8if2yq+ce71tuQGyCRxXGqsu11
WgZM/Tnx1bI25HB2XSR0BmDyb/oQyzUKzeJ7mQaA/ZZQbBiaoFhatlW9eLJBGZ9qsjffBwpAqeJ7
kII8qXC7n51drNI096Afeo9kUIJTSiaXVcDDn0idAcadpd+G+B/U6NVPdteNa4FX46k2i/JoIbu6
mXwbm0qQDyyi3G+/cxYtjSnLf4KD+7lzRvslMAYE9xF5v7iGae5LG6X7Hs5kd0nh90vVmtbbaPd7
5VrZT9ObDt0Y1G8AbUKgC+yHXicXQvXTg8mKZBvadXqoPZne2L6IVlbQqzcg6bdjlWY/zFG8dlky
PvdqGHH6tIpTYHX2Cd/scu31XvnidQgHalfeTvvY88WxbmJnWUVJBwpsRx5j35oeWmk9gKfDeYNG
M9ScQrs9QT+sugdN2zey45dBVKav1bkAbd1dIwWA1LG/MgIU14EAM7oYeRGfa0vgsM95/61x1m4S
F98BroFMlnZg0h23qKEU64SlxS2KX4rbMkSBFwIOFeL1Tn5rQXvNX1Q5fuIpuyETargMZKZVwMVi
MMpdZLTJRmnQB/7Vxh3zs3iBsLE6cL3uzR0hqgWmsLyllnDD8pwzcb4Oykqs+qOIQeL5MVGBhPEK
X6ZkYxBEBBvq94nJxxOWXOR+853I3ibNx1ml3Xhs80XhaMq3mfhtvpIPXT61qyGajhJY187yD5Cw
WTguWDzKjF9mzMIEaQwEB5INYRyigskzCjSeqZNMrrDOjPfv/hIId6TJIudoNL6zJDoKu2xey9i2
7hmCZqe/2Pu6+GxPWPvqZPLdvwYAaEnsFfjcvAZhwu6HCNVUcySrCHv5zu+KJMjJc8ENSpgEKlXL
wb/QNi24J0L7Fn+Y8qmHJNOuRQn3ph259TrhxRt1nviGJQz0KTI1TmPnTDdQqfZBlIGCZD0SOd3y
adAjZYnAUORW80hycEIUgdFIDkTFTZdAdNz7NZKeaXqAKNJIR/jmqwT4iByw00PtRbTOo8a+B0I8
2eCfEZxUGoNvGOLVOy55hbyA4FAL70zoUXPQq3KWfod00WasvClCTaJYg6PL+p7YqCwEYjZ5diZT
rQKm2E2pImPbT317cOt2PCHPDvFxr6zva7zmUZ7XF1+wjXgMU4B7F+J+6howhlVepVVF7C/SMIvl
3362qeP/+tmiyvz0s8WGAZFdXftFpVtikPlSctEe5uIs3QRqvj1Q2Zdkxj3qSOS+UmmqFoisgkKO
wnV+49VrHoMxYDa6SNuu/UEYC6SxC5xaW28zQMxsKYYQf3UyyjLGGh05p0mreA36UnSmt5ERxM69
atjywSsOBiAhZ+V2w5nu6NIlJRjKQtddXTvqOvwWSzNc5I03bHgS8b3vVeLeH3VJ2wiqXyBPTijx
rF7IY7Q5Q36TP6H6Ry2hxx4dBrxK+DWt/ynGP9+S0wQnSgF4Sexs1CBw7Acb3YjgruP5qEEJs3Wt
YcWSy3ZhtUAG9oAFPboOINJ2Or2SW2iC5tSpKkTgepw14rhtL6126yPU8unhf3Mb8M3fFoAiQsbK
656aPN+ilBt5PXzzNswR0zbXTZVVywS6IS9pUZuHlLmQHTcm84vpDD/GJPBvkWgebsCmjYp17c+t
wF3KzkPmSk+bd8WW/MfEe5+2RNx4N+WobAe1Nhh2Nz4wY0tkF+M9HW2pWZlJsp8PvroXFRvxpyZi
mfE+qU1komtUl/oEXI1ip19YVu+sgyIwTw6hXbFI9O4G5Rm370+EOs0xahGnySbWnlBkAnqJHETV
Jwh0hmwTVSgqL71BbaifLoYXf03cim2HgnWoYcElLqL+XMq6RCl/5oBBxneHBRnjUr77cLfrlpWU
yP5qb+rovGgA/yWUFtIKyVtorXfnToUAE0JfatmWkGhUKdD8SN3jFjuvdgPGt3bhIzQ5LMjY6B66
84GU2Ze1d3O1VxYD9cfc2/GVVQFoOGBn4GAZP0r6ouErJM5tauM7R7fCf6h4lkDhDHFzuiBHlSmE
dH+1W/ALFeD1J8unkdSe0tiCZvmS5rqOgZAQQvH6wnKPr+0hc7ML6MHajQku8Etlhfxsdk+WhnvR
hcx0NwnFl24yFusYOxUPZ5DQP01RviSXlGxjUDTQ7xH2+jpDE5tPOJ0I0PT5XbEwoEp2CPSF7qLU
aQswKbgw4jwXrMnaTo0N+K72cjwbSudy3JEPmWyn/DWapry2yYea/0PZly3JjStL/sq18zy0AUkA
BK/NnYfc96qsRVLphVZStbjvBLevH2ewurOk1uljI5PRiMBCJisTBCLC3fM8FXx5q5Gmk69MCUHJ
qkPAqMvC90MEb2QFvDzKSa9KEA75f8y2hGqouaicfNOmxg/yQH5wUsZhCJWfAOTpDbLZT9g7fvRm
/uLcpM5K+M9GaHxCFrR9tgzwA3Z2MEApfojO5ZBk4F7SxhUgNGtZNoEFH0/iL8AYmb31frxGkmKG
3I8QwjXCC/7QUfkt92XzpRoQtzdkwB6w4FHgnqwZ/o55vMdLqwULTgU0vxOvJV6u+D2IDM8i6obT
fGrY2jiYFdZUWVwCSTTV0EF2yMwaQIvXYzfYhBZAe6DDeEHi5RVindWjGgv3BLBgtSS7oUG+mFdB
eRd79njvih7rl6lDAK4ARIxyceTAFz+pHHK6Hcue/XysFj0Y+U50GDojPbHpcLNRUXe6XorE2uQj
EsK7rD7X0s+fXWTBPtTKWzKrCpDXsqpkljyLvsmf4XlFemOhH6ihnycXZEmpOypVUfXWZ+UwDwK9
OtCqJgF+h9OY+bShxUTU7amYjGJcIReIb6nYqALhQTi4N1QcQq/GbqxSK3u6KLhCwz2iG/aSahGJ
Nw5lDnoLqlWyDc9NgxUq1bLequ7gMrhSJZau4aIQA9ulhmGPYFuOKwAyqkODxQFcSWnsnfHd8s50
ZnTFF/BldzvLzMW4sEqvhQN+ABO8mWJjmEKZeTqjgw9VgIMX4nAr/q7drRv1oCbU7Vb8/x/qdslf
hvrlDm7X+KUdVTh1p/et+egFEFk2oBKSL+j0dgDxh1jldtEvIJSQHG8VTghK+jJP/+xC5Vu1mka8
Fens1wskDSKSpgOWw38eJij/ujG6Ct3JbLxdlYyyKnm+kNy8jjrE3m26iVsXKs5N6JS6FEX0Gcqb
5d6ww/y+gTSkQCjolE2MnXQoBoEsEMMrloNlv9s6OovijQFRo/Mw/QKQG63rTaVjYCX+6ks98gjZ
cr1jnW/2kQG7PSaYieiqt4oB9Dqd7OJLpgKszHXQynVchO5yvuJfA8NLBeA2OLw7unaiM+ySSzNa
zUNR50C/JE4X3M1DJdos1kFolHMT13AvNkiItmCY0AepmT7MZ07Svp/9xkZNesWdBD9s9KND9tfZ
zSanYW6jUsXNVoIldBlx/OJB7+Y+FK0DbqoATOpU9ETsPmgLEtpdbN0FU4sS8mq7oBHtkipLrtyH
HP6WtOzYee7UaSgFAsQDzxdSRDNdZ3fKti+gSSnfilFcDMmKN66dS+DgJINFeVF9csIE3Ewu8/ZO
1T9TQjqloftTLjo8AbP9ZqIWZE/L8Q4o8wUbsCFIRHQPAj1+jcLIuWBCWlOJDsYINufEbt7awY8R
6WuQkVe4Zb1U0gOLgZP6xyrh036+lC/NX2dxZL7b6KxNuHwJgiFZsDx1XuZaf8tM9zHWOr4KIeIr
eK/lqW7GI5kgDhFfGyTi33mYy6Ca1/tLata21wBkTPfUig5NVe9iO+/OVOrDKL5WWf45dzIwaUwj
k6mvwVkhDcvf32xtbldLFbF4S02oItEpQBc5QDxkozGDEnKifsPj1e2qvqPtbdyDgfo2nm8n1t4x
e+RrmQo3HOWjOnLZXKkbfSTkRZRQKi0+jG6WoOGN5lu4fYQYO8oO7F+XmynzqvvedYLT7c6044UL
EzSJwKTigVHbWlbewjCk8+FTlZaHNFILdFXUhA7uCA6Q2qzN+VPRoE7rQnQvTfXydlnWZGpnlMhb
v33StmqNA1Pdl9uDg4MUvP862d/urs+Ee5f7LzTW/Dd0+2Lyug53c3Es+AEMG90Epun2jgWRBCNP
+9eobp6sJI2fIkg2HhzGkKE72aFnZxt5cxmxDkfyp6o3DaiM9iot+LMG0R01YtIyl41k1Tm0hbEy
RJ4uNAT4Htve/NQ1Q3buppIs3HGDXBEwJ5eu+VjJvrpXIL1qVGw+kqk1Qe3lp354JFvf+sUuDXO2
nDsIy3/szY2ntQkmTqToYV3dRnsaHJy48QFeEXNBRerg4stiSLO/kqkd4UpM+rba0uBAm6SnyM7+
oEq6XSM0jwjh+nfz1Ru7Q7ZZKNc0mHLi7sJ4caH2dHCj6DWPHfNEpR7Lw63nWC3oRPCBRqP3r8hU
WVElmXJIZC545fUHKsZjYe+cEM46akK30AEZx8ZHMhgONF7ccmQ7ugHQerCDr3tsJbGn6sLPLLTb
68gdfV+M3ZvXue4XSLsPaygCDju/RzHQxgqkW8jRjFz3VFQpFPiAoP4CnkIOSty0ORZtiNQ16zqb
Wyjw6bIEXwh8NMv3HTco1HZznt4tNz9G6OPYZsXiQ6KeHdUQEzftBwO3XfjeZ4pf+yz7pmudPxUI
su10DYkfeGndp6kBhbaxBvzG668GnJzfIoEEyLjjP2I7uWuSwXrRUTNAD9TKrtIO260qrf7glTKG
nyJmYA3k/VM8QBk3g0Dn96k7NEr5jxDdnRTOYHxFvY1nJ/hqJAyQhAlHHioDzBZmDPBZEvSfoFEB
LmfYb826CX2euA7CiHCozc0ksPfUDOiI99GGqdlttDD67hHRASSPB9B8A95hLNLhLXUCZJe61mfI
DpdISjTTXd038aey5SenMINvwPMkywLp0RftWOycmwNCa/YQfvurZ5dAjIJ65tJH2rZts5URRQgQ
+Vnyic4yX8bzWfcb2+/a+cxkmDeL5EOczZD2cAQz2O5DVG+OsYnh0RCj3FN4ba51ECVbC6MEzOSv
GB01plGSst6RvY+SRTYisHsp2qLYStAPfLbSYuazkoky17Gtqj2ykCDOm+QznxXW0rBHDQi0Ldf4
NLVX8JMBpYY0BTHk4FG2is5aT7nzy0C64MEug/jflLtlpBdeqL2jG0N2BKkycX5JR4GAi9mtqAJx
wvwSQkPQXkVjv0IOlXe8NfMGEWwGP3GWPQeas0OixlGnbfsUdFa2BktZv5mLI4jYuKxwS5bTPunO
HEHgmpyokg6dA8IwgLquVKLR+th8H42b3ftovm34m1ZnDTxeyooXxJkF+aFTp8zqQqWaJfUuctNq
SUU6wMkLYk6/vvDSRcLm1KIGgdiST1IiZPvNGHOLqcPPY/zuKnYJ7deiBfdkMPDi0YjNI3EzeFAn
3cXAWq376UcBjb5w8kV3dyVEux95Nx4ZxF/XmBydY1D7wbJRIz/VcW5/YqBLn2nrdJYfwEJZrHxk
zX2hZl5S8pPJ/K2y8hagevmNfjF1DeGKEj6La8NYc2z8Vq2YH4ffdHrOS9v92sagXR2bMTywNMke
p45UX8U5NHQspAvZYSz3cYJxZG3JNx8OnyBoum+IlnbLlrvBfaxME2KuI1hG7XyEiHL83lZAkUVD
jjFbmQietmDoBfcHZ6uezmxsVbtMK7gLcDbXTmd28CqaHiruCjCh6QBSTO1vayT0bkXDEZTVmIka
LCPA7++MWxfzzLV0EFqf+NLmP0bQDKtawulKf8skaKMrlOUmDa574TLxNQHXLsQUu6/W2LOljqMO
Wnp+t2tka+wYIp13HSDhS8Tlxpey70/Eoe1mYO8M8+4rKxPIQQJ/YXRR+pQBeg/oNs78qoBsKKbk
JyPS77ZbLZ1ljNXrLqvADMQxUQKikR7olj2ZJCdZVq/zHU8fRRYg+6IWaaB3UCyInt20OOW54T5F
IHw6YEaZfoXd8HWyJwxvCysI+EE6oEr52T4ikLHIzbrcYfrrz1jw9+dRyA760DzfxlYRLkrWR8OC
apwgHBdNKYJt3g3QNTOgg6Dcyak1FW82J06GHXLbqms7HWoQ6yN6ARsVqeJmy2un3pSe1S4py43y
3bAHvjpcenvKb7vZDScatwy5w4uEaFpvylauXV0RW6vXmcbs4RumdZfFwliH05kvh/czsv2uFoml
oM9BruQ2wrfnoBA62NSjUzxXVfZmw8v4Fpb1Bo647quZevEK+VPDRSsFz56Z15ssceTSykZj4anU
PCliRCBHMZUFPHJY5/gHMtHBmbzIdIYwBbRcixFCtEhe3USOBlp5AtxREhfZQAAA/RtbnuHIyS/u
NP1m2nqxxobtIi4wJRdGH+85M/CWKGNooLe1zyGmY0ZvHn4VypLitXCDaGUKkV7cmKljMOb1uteZ
BtYbeHGoeb7xOv0x5G3zpIKw2Xpenu79VEApbRqMWow2FNfDWrzCtR+tPGfMVg5Tww4UgpSjTgc3
y8q15whrTcUO4L0H+d6A22Ir0xTp4kPzOGYeoP1xmO4R0wDAEAoPVyiDvNtK52x40T4L5Pp3mhWe
jVftVDlOoXgnC9gKKYud8QjvGp5CF/rFirD/MUJXO8R6LbzCoPIEIsXqGsAZM9uoSBXIbm929tJw
QIDQ8tZ6Bgy8PXCrmLipFdyHFaQhbkUJAkU8V/sc2T4ypJV0l/HEMA6p1k+yrvxHRzTJqR1ib0mM
3vJPu87t5JTbkzwTPPBrcPkmECUsFvjZmt/At6GR828l946WA7he8IdIRNg+MlWBcGiaaofgvW0b
gNHYtnTwEJggr9YeAlnYG45fOYMyT6+Hz5CLebdTIgY4Mmc7tR+zyFv7xgiMQdPEO96FwQZBDsT1
1Ih5EbFysNsAFBInyc6M0+YLtQiakG8jiPMtsNhKlzP1fGOwfvvbMhHPI14GlIxQ7s6SoIYLZA31
M3qkuvpYpFp4/Ls9Pf8y7P5W+0vfW+N2GqpUht6O/njoBgRdIYVeHnt4ADZZZdqPGVLCIHOcjW+5
d1f0nfeHPZY/bKHUs05M7Cz93jshC7ya++i0MNbZAKQS/d7YwKttZAQ5fE/TGkhPC55uOiTuaC8Z
e71hpm+46gJkEvu0hLgPB/K6k2kNgeJBvyOxb+2gyYC1eZs+c1YzfE+7Ctw0qb1JBJKLw7gszgDB
Z2ukPZWfKsf8TtBGQ37HtBW/3fqwcAxWhidetMQfk1BryDAuN7eiW/flBvLIwSZxfP8kBkCvRP+Z
st/zvIU0XeANF8VVd7I0NjJh6ZmvdTw3sPtH1psLRAtKZIjgJ5FjhQm3MC9OJEOTTkUxFanWboHt
pFrsFa1nqv1d31gGiFykGQhUjeyCZQLWlRCgtcpeHUvNsNSc7F0lQRgwNC+lVrn9Q8eOeoAe7QoM
t356DfwJwKDDE5i6Bf+eAUO8Aq0GvzMKqP4NhhM/+0leraEkNZ4B+UoOsojldixy+96OCrFshQxe
Wit7SJOc/wCwH/mNrn4Lyj+7O4FG+kYbWyDyx7sC/AguXDFuehJN6yF7oP9EP3+yWzyTW6eoZvUh
d7DSe2C7j1kGYaSbIFFaBM1W6ABkuCMEiW4VZsEh+GHcg8EGTFQFsvbhXFmUIuyOVGyG/L1I0EO8
HT7WDj8XqTZigIf92775iBydMktXoLY9idrJ9u60wEI2IhTZVJkGZyrTYWri5WO2j2InPJlYfBKf
QaS7PzyRB/ey6/kDG+MLkSHYWWdvkTYabajVkI5/AKXn32NtO7ciszXYaNUnaDWtXP8aC/wVc6us
LuRGq9pew0OJBOG+Yp9DG9xw+F171yyowceNyf8MjAxiUF4bwOnS2ecRqeIQR6zthyavm2VuZv2X
yLVfW9eJ/7DKBt2nOJRISmyVWPwmXQit9r5gEGTz8Zv2a3CjdAPCJK0Znj3TeE0Mj88LyjY201Me
Ba+0TKMNggLKdaHsNj7QYs3l+A4CDF+sic2LeL107yVno8KrYmL+InvTa0A7Jjvv1PLWlOyQ6Uzw
YnDLBQh7xy1AM+lnB/LimamCb6kHGLQDLrZLlATdRQFAjVSDJvgWQRpAMHBvWE7obX/uGZvheJ+l
9ucMK5szKJiyM1a92Rk7kGgneuOTssPwaEfhxrfS8jFJovZexg4SWjoog/bwuSwrj7Ed1RqtaE6+
r77OtWyQbzXAH0csjrBrkdyA5CU8ZNSWDiCu24guM+6oFJauXP3rv/73//0/3/v/9v/I75FG6ufZ
f2U6vc/DrKn/51+S/eu/itm8f/uff3FX2UoIDg4L4YJ9REqF+u+vDwiCo7X5v4IGfGNQI7IeeZ3X
j421ggBB+hZlng9sml/Cdevyne1OrApA0j808QAYrtbOG0LnCJ9n31tjNe9j/S6Ij0CsbGNaYXVC
tDukmonkIscg3SrilYNcKl8EQxluZ5XBOGx+KgNHfAmQCHNbZkSxiFaIxqQQCAEzER382Ptoo8Zl
mqwYvuMHyBMje3Y6iCztz/Z06KOm2uSY9MDI9GdtUukvINNPd6JlWLGLVFbIR1Lt3IT6UmMaAGoK
bPHPj55bf3/0UnKJb5YQiEFL/vOjBz1ebnS1Ix+bLhx2CAL7yJoyx3XKjfKlihE0mZYT3QgcdKl4
dU8tJDBPgGozpIn9vlWVecYhDdSHcTo20WzYvYZYsXEQog5ekrCyVpEdd2cHkpjHsgBPxoDY1KcR
pM94vPJtagr+aeR4T02ZB6URPxlO9DMzq+FOB5F94NzCnAtIg/Mfvpeu/evD4QxeXzwdjtQQKaT4
+eF0Ki4VUuezx3mRLgsBXH7OPyFCkV+hKNteAdV/pukwrDNjQ1MeFadWSNfKrkMBrWIrcF/hA9Zr
KdIMrGmYmIKshliDEM0XS1dnZ1oj4qX4kEUs/yyMApJBRYemQ86PtXMfGHl1j0T7DQL24jGf2PRL
cNuC7iD2jmQDZVi8bQrwP1ItdajCfiMmXn54zaBaW4UcuD07XcI5Fe1HJwNrv5cB8th74Mywu7ha
1h5QhEHzCO168fhLW27e19LaKyh3/LK0J4U5Swv3MFWS/NzY+kAndXB6YPnLTiYP/6g6N31qpgM8
hUUlIhCAoZCGsl20gB4eUrfInixtVhvDHPM11VLvrkvm3jnIe+9mfyMvLLa2eBN/IJdvG2ealc1m
QxWlxYL/8I3g7k/fCMGYMvFfQDHbAQzZsaef04eZCjOLNYBKxn8UeEVBPo71l84EvTLhDMPyk+nW
1istwrjR9idfeP3FCFws0YwKUpBRfCZV2VkllsRjZ3lYOq3coigWzaT2FiIJENo7ZQRxmbg8Uieq
oOK/tc2D+Sz2tnWtkGUz2CrZOd1oHhlX5pHOeB/b5SILB2RbIVDEdlxF+1v139rMBl7p7X+Ye36e
9qeHCQIoyZlUrgUiOlf+/DDjoGJmkjLvwenrAaHY1F2YwC/cW6HhIuk7Nddt4mYvORNrWutSi6oK
gNLreAeGWxDPIoxYKGCP22JXI84wzbPVNLt+OABkdG41xNvQgMzQ+IDTyQzgTvPHbFnFJuhdLZZe
TTcOF+RsoQqWGu8ViM6E8BKA1t3gOltGRQEuG89NrhJ5Lv/8VFznb18xmztMOKYFyl3G7V+eClZU
3M+aRD4wyOWe7UkwA9QmMVLYJpVb4kT1ZRSt+uIayjFZfaBeziFoQHTJZAN/HoCxClTyRK3sOQPy
4HrZrOoqMsDFndZLSgXMBeg5IIXsH8WUMRj5W0cXzudbq1oiO81hkG7sJtdQ4UUgxQgNf0dFPdk6
BYRSMNh/s1G7YnI1zY2ndmQbaoWlNjdeqonee+H4I3/ENAxdEcuPwNQlyz3VhCU0trwKMlxU+6G1
y+saArncPQXamr4Cw1d8nYpNZNXjLhNIVJnsLO8l5gg4FcGagh0/CPsVkvGFWrS12z9aE4CkABAZ
oVvslKbSVNcNUFBKGrjlIBEW+BnonTvT20Pcu7joJgTN/Nh4R5U6X5JMNw9kyvHqWiWIYWyoSBVm
AggVM1//+Ttiib/9dFzobbgmxAVcwbELn+o/zEODy/C6G+zyIQjMyeucfY7qKvyWdUg69HrJ7hH5
CZGehwRg8OsF3wowYiC+770UCCttoJsKlgxHhk8/93SrlmEDM5zc1AiBcQUXi+yiCj4p0NVSUYXj
Oij0+NgGDlhF/GwTTop4RW7kZ9DEItV0KmKH0eyUM7HcTMW0AvloqUS/oyKARu9DUhFSyOsQqWZr
ZeNbToig0LPqdTjK5gP0GmhxrIyqagYOwVE17hMOqNsMvRYpiCSgBGbO0GuozeV3ni0+QK8Lv6/X
ukv1fAm6zgBgDvK+rdh5sSxHX6Xl+ndxC/xrDxDPi60tKIUzlp6QoeA8mX6594LCfAGrSLPBnOpt
qVkUgf+8QKyraxTynVrsIMguefN6G9b2R3iAp+40bKFzH6744lRrPiJvFNKNQ9kGT+Bc58jPgbeu
cur9UCMiAFiBswT7RfiG5VO2SMfSe47b0Vp5Rp/cZcgN3em8tfY0kmgQAbyN1LHUf3CLHuBk6GS1
Xr+0IBoH5zSwyWo6kF1UzbCuha2XphzfbVRB7Xr0shmz5zFUuIWIVX2nfHhQMq7TryCAP5AyZBM1
R9GP7guSGOUycoYA+AnIpzpNZe76EA5707Jt3IFKv6qwPtRe9gwwQ3zHMB1eB2yMoHkBgWuRt0+I
c/mQs/Pzpzwda8gEFO2WirJM9L5ukThORYgw2/d1zTaRtvMrPOzmKmeJ82CVeXLHSmdrDr3zQKY+
9JqVZ3njxp5sFi9rKHfMzb0uyS5Wke3JWQvRILAbJnJPDqOAImSTrekd5Ea3DIBwLJYUqNtejMy8
hpWAUy+v97ZXlT9aK361o1EB81p7S2zT+X1p2vWWJ7WBfKARdA1AcW6KUOcPvxsnifd9WpRbOCza
ddlCEi8Li4diQqMgDRIqyRMQJTNyiDbWSYafFGx0EBAOoLZyxCylwhIx+X74ovJ8NQ758BzFAGio
UpqItWDHjtUtB0Ajx4t0IjcUSbECsKg/dFVTIQLXtV18rqO8XNYmc6/gJw22tipCKM7kwym24J1H
SqLzKC0ECmQeqG/AVK2T1Oc/fO0e2wYRGeqOdAD3yv0g3CKhadz880xo//q2xKqBM5vhxSBN08Sc
8vNECDdU2Vi90UIw3oSLtfMQXiLIAOim7t1AmztQhcEjQrYW2lFB0z6NjSwheAOWfOkU5jVqM6wH
ujL9nuNbieQy/vnWAjn8PgLVXrhzJooV4lnRIFnF/qd110SqoicBWzqDhCOEcZd+XafzOsJG9vFS
8yG+6KCx7qmCIQJy/8+Pwfx1XTo9BsGwbpj+SUk77A/vA6fvkeetmL6857Q77oQkxU+eQfkYJF5w
A9jWCL7M248+8e0V7+3y18mAehQJkvzp1x8U4LNDpCxa/vMtc/OXdY5jKlMp/OUUJg/+t50nkKYm
hAbD6DIv6EfPqcCE7odf4RNOJqc82Hbibel6bPunmd7xlYlUqr+bffA2zmZm6/ArpDZureuocVYi
LDNwNK3JzZk6bvhsCXC55Ml6CGoQByPkscpiM3gw/PL9DEIIfNVpwDwy3+SrYTq7tcsgkfcftuO0
f7h5QgTe6dgGc2wsbOlyhvLPX+duGPuwGkW8GzxAvcTShihLO0Jq28FCEw4k56EbOwjqToCTTsf3
SHqrPt1aeAYfER+y+kXne1BttABlCPseUk4BCKYTvHOAAs2DR8HS8tBNtVSkg49A8CB7/xRwBq2q
v/pnnYiBEzbNb6w7/vN3wJq8Cz9/XPx4lQOWEG45DjBZP39cQC3SAZEsfzdjuOxiOXtk4Nt3z5af
IXAJDpVqOsSjX4MHHPZ2yIBpA0H1IpZgcfR1C2I+5sBt7Vv2dgCXc4D9AqC7H8q3esKEqeo/fJvx
R7Inb8CHDyOYhU/iurYFDw9X6lcvFoOqb+6EQb1NdMwPGnLhS2QKIYOtE/6XMHVBgYfEc+VUQEry
PlyQHRlAzgZcjAhAh1nwxWV5ArEjIS8mYg7PKeKi1CzLRXb0A7hdqJgL0FLXUcdA6hhitdw3xQER
s29Itop+pMUFi0a8kTLfRkTKUy8T1fASnkH9wL2k2aSsLE9N0joHBJG7bVPx8R7YbH+Fqdz6PI3T
Nl74Yxzfx7EMMD1KBBOL4mL6AV4gYJBsL0i0Pys/zg8Wft3m5B7SYKDy9Xk0nivwblyoFZmpOOhy
3AH9/Ep2MlElHYa29FYmlv3L+QpkrKcha7NvFzrL/C3ZPlxMOc1WD1F9/GBL2yw9Naxcia6E3iR1
oUsJgL+2VlKlH23UxhBVPmmgtXBY/P2uIUWNPaFi7hYrrXLvM7AgJkCOQcXRBD5TJdkKaD9LnKLC
grs+Nj3Q5GmjPVI5V7m/bHwzxOp2WCdeLaGqNsbDEgTKeKPIJn10dOCcR+7dSR6gNJl04pmLumEC
WiEiRfzG50eDpz9uLTrBfoAE28HUzmOsF9ETgThn3ziQWaYx3GkgEKeDtECLM7XgSRnv4BuHA3qq
JJsd8zVcV8H9fKXUHTbpMIyreYwQK95ojO6cahvWMZjipn5WrbK16ZrOeh4h98qrDX3L26COOYYr
AD2LLY3Kx8K7hIl/UIKJfAk4IBQpCm/YJWy+TuN7/ATpls/UnMbpEdZfNCDSPFDRCxSfUDvI65xu
gQ6lDz6NRFon6uUr39hVBf4mdFdksy3AERDrvlD7kIcg5/DMYEXPZui9r3ZehycFbjjMMe3GCjh/
ANEjf7BHUGFBT8JdN1IE2bI34gUUW9IrNUGOgQ0IG9RIQ8vK11bEm63bgk24Tl6TLkk2/cjDPTes
4lMyeliAOMkrMiDrlWxy6wjV0f7BaNtvZunFr8iLwlIia8yL8t34DqtTuaCKTPY/2tIxrqGXx6ex
bpIVXQCe8aOa0hnzdriAqg809j3+FHSRxHvKC9cG+2qfbJOic7c1N4ovkN5eDqzyNlZSA1rqIoxj
NMcuKhF70HAGLjG7RHszdhgw1nhk8DyyRdGHrFx6mMQ808+uVGvKsF1J7Py3VAwMF/lMEF6dh6rw
HS7ho7koV7NHCGKEG8+CI4+KZVaxO0Aad3Pbpgc+G1IB+car7e80mlM4xhYiu2KJXbj5aBk9f0jt
I9XNlgxIiBQZb/OtKqPJDtizQGplunM7wf4KJCKADdV4acIf+37Pk080QrBuS/ehc8ZPNs/e77mT
6g7pxNl8z9PXYQNug3xNV00EMthHx0EkfbrAdKD7hr+5m+/rn+6ZOvW18bd79uMKhP2Iu901Wb/p
jFhsdeXuC8TmgEHTBRI7jBZLCzodEl0hbRUxkSJ0xM6lGmXkQCtmCWTd5pYNQB2RUD5U26a8kGmM
DhnVGy9Un2M7gJA02RjoRYMTnc7WorXYAql2XmbEqyDEC8COH6O6BJ6jAssbliDJI3CXyWOZQpGy
c6/UAEkD9poBSrWmYsFi6wGdqSF1gQKYWnVBl23IVisEi3W4hBTqsM/bZPneDePWQYO8HF2Cd9tq
k0fmi+ZuMOX21iItB42PqfMdjaXHxj3jiWTtsiyKI7WjrpXfQ46N9fWebFnPutPAo5exHPVe2WWy
gmc32vKmFwcWZ+nZ7yus1PuVlxV7FeeQt2JZukiCYvgjGDdJ5tQ/hmT8jh209UnlCC5ElZchJxzE
d2PNsbG0Gv/ae+CRyVor/WqZCrFidELCLHY6jfUaCRtE/M2YPtCV+yEXhyjq5R7UgNtCSdALWaNz
bKLgD7uzSoRJDZBbSiXOId4aG174JtB0kMwe4tJdMg85D0a9LjmIORJkWbwqn11AoT2FP+G1UT0e
coREgSC08jdD+99LKLt+kT2Ll7wbvMca/JQryDAwwD7G92sDxV8cfrluqH11BR4CsLkg6D4hSxgA
ZxMZBT9dDxLdwPPldbFxhwIM5mA/31TgAFl5CSR0stbEgntozVcA8xZea9Uvbg2ofQDWuB2DL+OT
y+WhTKdRK9dcqhFCR3bfmndZGCOWQz3hi/SCcnj0XLM4OBCTXlOHNNuOVqS+AlqSQCCnq/dI01dP
oyvvqX6UEXy6ZtldggLueaAboXc+XSl1fRB9cecJP7tm37Mg3pRW5X31qs3c0Vbt2tJjfjAZPFwQ
+fsy3wiyZhdGhgcXY0NwthC/WebTgEhcOuShzj6NKhh2FqDgm7TR+iUuhgU1MGzg86Ddlx5BvlQ+
uAriU3SpWgC8XWPVcO8jB+IkwYC5ogpD1BsXs+ZnrWy+VaAq3QZxb3zOOf7y0zVBcVeuxkAlCOEi
4wcayeX8uHIIqy+Q7+I/SAMKNd4kIkw9qggZP3AkvTSj9Lf9WFQ7qJAMn8YcOivTg45T8CqAADM9
y9FwkYIXWYsRr6RnBKueywEKHiHyCXa5H0M2bA58I/otwJ0Af5ZE6HIigqEK03cejR7inNPbtDIi
8VBMB5VgbVfakbGm12fotqhQ3wPZ1/MLtUjDcZuD92dJnahVi+zdAcvJM5Vkr12obnR4Dee5tcUy
1zwAQbVwkBXznHDDuMZ+cTS91v/cOzkeDsCesy+yqkykObG0X1OtTP1kZSB0tyfnIzJJfySFYhcq
TSNayKJ4zqYRQU8HYnX4L0WJ6/4JFk8C6E0CFHJC7qk6adFiddqWvbXrHH1nTRXAugFE9qHa6Isd
Jn25H4sIGnbIy1InT1h/ng6BhMrO2L/55teO+yD71m0KJ5hrx8vACZqlwjtyW9qMx0vIMW6tVtmX
GniTh7Fiwdn+f5Sdx3LcyJaGnwgR8GaLQlmWI0VKlDaIVreEhPf26edDlm5T0dNxY2aDQDqgyCog
M8/5Ta7efnUuFBJ+U58Hj7JOvBCGZt3hdLNerC3wIVWT5yz2shdS4wT8hfejtzPa9N7Nt3rX8jOT
N2rN8s++6rQtSHR1C97ZQInLTr5kkWJvc8UrMbahWI9Isocirc6yOBn6AQwaq6gytD4VS7Ut5yL9
EomGTMZq6sVCOv2CW4K7b9TwV2uSTWmAYtN8lK2D6vxhlqK5yaFKtF0MFcZCVld3gi9v8j55YdYn
+aHy9fpQxv/9Q8nWnOij/FAKCp8sFtJ6H86LepYozwfecy0WJMD9kJ3MQyxAdnnICPyGDI2UkAD7
2smRYgIfF3p0kteM105Wni9B3UVbtvQbYEnJJ3Agy5sB2j3tYAfLkjqWLNFQY5clVzOOxqKmj1JW
zWcjKse7bAs774Zel3uTJT1SP9VISz5KoCq/9JOjXWVbEeXfNWHFD9VwFYd5ciPmeHncQm0yn2cj
PEttcARWG7/wZgAh64cL+xLNAi1zn2RrwTzva7lJnka24v/OM5WBtO0j9c12vGyTq5fObtIjqbHy
dbGdZJ8qqhbIYpSp3cVtwndHtWN+xfiURjNqY7JR7bhVabTeqWiV8nVKh3JXJIToZesYGvm5nXmj
PcZ26KS42avsmhdIlROoZ+G+3lT047DF8SEj+86FPBQYTqD/s2Zsr5mBtUCW5lpAfr29WjU+v4By
OE0EGIsZx4bdo7IWHk11q92TfDCPhB5mLOHWa6gAQXIjf29GcZwWMOqIIxafNG/Mr3UsrqqiKSVg
0YUNm2ZgJ7S2WnHbPYUziLMwr8tPsg6jq29WrgPEWqtib8Q0ft0IzfICswZrQS9b3r6MnzSgU6HA
3FEW5Qi92ol0UF9kjSZY681Wlu5km5jT8U4Y5NFd9hgnDK/7ikiSLLqEPRHuH14WZ/qGVE53ltWd
AqyRH+hwksWorU2YRtAFZFEexkZ/Nbosu8g7eQv0ipjZC8oSH1QeVCvAeyPgh5LdR3NSt4baD1ve
NPWu6EonkAOHUlNexh+Pv7atvSWYIZsDy+MqS2LotzRL9rqYi0+yu1WQmNXVRf/18d3IZA9kffFS
/KY28EXh40cbnJ1Q9nYM4546KzJbcU8fVfIsnZwdSL7pIkuPKgw3SBtO0x5C7a/h6PwbQMfnYYPS
wVFUk7PNTHgOMyjY+5C4+eMQtu5quBCevL5EZiZvkbubpuJXP8Prx13vYOzniSoOxjTSLuSzuwtI
wDxIp0z8GR5lmPmjXTWH/9ouxzM152z+snJHlssJalJET30HN1+6o38UpYjORxHqEPIza2doinRm
+f320SrHtsAyg8ZTp6NLBuvWGtpPmRK2XYFEW9PYe5kSZtV2mTEieOlYhcpeYeK8zSN6xVE+eruH
h5KuvQ193D17plc/Z0b2WSJhqiRyd05VebueqZOUrD/b0CohGZf7D52tTGnys2DbkqaxqEAB/aeL
1NhKJ1EHSOFM23ks09l3vOKO7mFylACpR52ESdlT1wYPczc8vwGIVBMK6Lbq8k9DSFksJpDdAuIM
un/Gm2zFYgyDY3wdsnSMdlNEnK5SRtQ0Nb1ULyL1thrZsbuxHmbUL+5RXn2f9SY9yZKsd3v911BZ
Jw+qrUzBzKbtZhloHceIUz/NTju8WmnfbrtatLtxLZqK5hztJIo3srU0E+9WN+ZJNsqqahgCz1C1
Z1nCLwd53jkvn/Bg//1qqraLo8Z+xim7e1HSS68X47O22p+POSl0L+xUX7bJOjtSsLGKRwJCa39Z
56WXrun185Dk14+B9jypviz+Y6BRWKTFGQQfbCRMsfy6kxyQ5EV4KHXXza4F6wREFzRCWJFzUJRC
fyrC0f5fZ6zwd5oTgv7qiB4RSSNKsbIQgAeM9WCdZamfFOsJY4w/ZEkegPzPmwSn872Rjwh1D270
MhBPXQfLy4Rxp6xPdxwMbYrq9nrFTljWeRwV8WILQFJZgQfk8lmXf1KCrHVgCttFApV/nzwkTfOU
GYZykaV5hEc7jdpnWWqccTg3pbvsMzJn5zgSOEquh/TvMyv2+n2X1l9lj0yrf/WQxTnLNpZZJdgS
mh0StJCAFixrfQ+17OtYZ95NXRvytaE0AbMiCAtNvxy9G2TjXyNgu/5cKh26jpUdhxWiYGiL+Wyi
frno7Uu+whQcXu2HtiKMIjvIunEVA1LAwj4GtaViPjvernAutjVt7FSPAUsX5lUeRm/Chg0P3d2A
oRIbehqEuwKd57XFhL84GYTUZD/ZCrjwdcCV7SCVtQrPxhLFdp+ksJanobHvywZZXluVMPoTzCf8
e4GXUOGN+qePs0iZRVCtdUpEq5l6v7d+9JtK64zZzXcxjvVXgrOkQ/j6r+Rd9ZeabKSsb/CgJ2zW
Vgd1iuuvgm1SPlX256FnwYMEJ1vutf5jeIFLzVMDNPve6SjWLPg4fWEjgQD6etasdfJM1slW2W8c
GvHPVtcbf40tm7DZeKPQ98piQJLrBCJJKPGfAKBsZdVHvTwr7S669K7Z7j0rXV7NLLwomHT8tZ4A
mRzlCabwjxqnwcn3YUUe8k30SS9OSqPds5A9RCy/OXnaegtmPe48EiDhO7XXg2wwFl2cvP+McPlL
rw8qkINxCxgPYwn0cur2o1trr3yVyn7MoiKQxawFaWwRtvFlsZ1StmmsFKIm1vuNoei7cUwSsEMM
9UA4+jVP3pPSGdqrvHCT1ARW16KwubBXEGsPifCiEzy7dwTGtpXQp6u3koPSCYtQ1YqCAdYTqeyw
M40vKIYhaZjm1UbzMvOLYhdEa5WihudWG1+aqv06W0Z2j4h/vv7LIEWb1aAodftSYKutKEnKWimI
IlCXPDFBLE/GJWDGsg+2YVu7XNGL/QzGm/g4k68sGq3JzmqdfGWxw091s+Sifp7nzDzpmadskIGa
31VEkzZDb+VnQi7DFzBphYlnguwlKlOBbuZN756LaC+CT/nZGBTZSw7+t16GAhek0GxBNCQdvpjK
RV6h6vpft5XFf9yWXm02lrtaGbWA/GF+/TgkBnpwlXr5qMk15nEfTNamaazqLBtwFymukN/7s4qw
73uR8ywzz7zhEmYf8rm2dimZz/ehaYNsxSwlDiYGUdW55wQl2Ns0YHn+ADMxMmyS9C2ru18jtTB/
jJQdsr9H1npuPEZKtBMWk89z2R1ivCr+aIv9hGDVzwYnSr+uBvvNQqVjWw5jfGlqJX1qlEnfeZZd
fiLSQm7LGcw/+6X35ai0nL/2Yom/dATjA1Bl4ipMUquaRfwOEmz6krSh2ER5Vn+PRxeVBzJnaciM
qlTt+xJ7NZotrbghFzkc3ab8yqI/D+rJJBaF8RJ6T7P7jQUnmNo+/rkanaSw3r4WueZswtKK71oX
6gfXTe1DaWgkicDfY9M7Tl9Nu8TGhrlVU8KvPRNCr1neNay18nWAQrCp8Ag5aF5ZvqqkqqB7esum
MkX1Os6jeutwS+S5K19lD2tyD9EyZ3dZZTdeu0lcVxxl/yUarH2da1kgWwnid1fk0Z7lrWSVK6YA
q53+WZY6YXjwjfAxkdeO40bZ2XgqIw3Lh7EjowQEW32Tfacyb655bMH4jhUDM504fyV0dR2yovxm
xGCkTSR9To3rgq1dIHW0WvltDmfUPHuTHwVeHu+V+l12VzSwSZPLwl4W0WVwym78Whp9fcBZr93J
anxMg85McrgUuX4sdVFv5UUHxTqVPIyvdtFByTPMIxiy9CUtTXx7TMDdrTPgT1UOIVNhzVxNNPml
6kAZiXmA5FWM6caOmv6AipdCgnQt/x8HPy613u1fL6BFuIAmXYn6yqrY0MHsR8/iLdEQI+u1yvJl
faFNS1BFo/Ho1hTTb906N/u9m81i6aiyTr7MsbQEJ4n4V5x2nt86Gn4J3WJ+UXHeLdCD/qyqnrjZ
di38ZX2Jsj4Y9h7cjK0s2rVFHp5AwVkWQ+NtiOzuszAa8zrlUUoak4sNtgWZuEfiMBl8m5z/n7DZ
A1UvCE4AbHpKNM/7Zhq4yWGdqL4g1jLsprRTnkKv7p8gd7s7I66U52RG8E3A8f5mDf1Vl+OXFBmo
MW7+qgosKianG1FoxXu4Cr3i6lRzf0TGej4kYdvd8llBVRgrks8kiH7kySB+RurB0g0+R63pb27m
TrjR8OwpK8ksSWptDzOgP3Viwa11KKxtjPbnq7q+KNi9T98Vu0XLmpgYfpHDITXU8DArTRR0rW68
FXHnHqqaIIQszkDKDqmSJo8iJqfGQffa9FEcI57SHOuzQC0T8y1TJ7LlRlEwv1LsrGSiaJePzg7p
6kONkeKj1W6i7uAQEXqMFaXDOi8TWA2uYyub7Ek7a9g/rp8Kek+ObZwyPFpzCyJp76qoUK6tnlfF
h0hT5kdr5oXKPho09dG6ZEm4J8UOGWO9cuOQCMES3Hi0WhpOz5aO4Li8lIhVY6926KjKInObtl/6
FtmCdWwxjctet0JMU9b7aoM+7bFvg6o1t8fWrbpDOBdveA9Nkw/Lsr3IA1/vr7PEuDntMp3/2UN2
E1BefRJ52V4W2wqT4UJYmCat9pG5qbsXb+nAGVXhjcnXcBBHseNdHSF+KitlP3mIyuS7E4MslSXZ
aCvoT/b5uEvW8R9dk4xYVJaQC/uok2edrr7qBZamH9ducWZ9coV1auOQGU92CxM4tzVaOYG8sJbz
8vFj2OM5LOunj5uFJfYjtVLeUzbkv90fCkeLyFGRbGXfj5s5enq03LY6f9T3kZKf0K7+LO/8ce24
0N0NgTHtcQ3nU+hoUEVXuxV5UGKcVoSHS/a8ssr+U51lwup8Wdaxyvj71CKVhn4LkgOGkgcqAIvz
41R27apM8UWHH59s+S+X67J4r4cRqYX1lvN6HTvq2RXJsjkrLhIjnr7VEpe1GTq43qh5xzriVy6L
tpU67JtEeVEtL/rc4OEm67XJNY51o7KMBXz1rrVQwewWuDMoZ/MtJxog69Pcm46LmCAHyotjy0OO
BFwhMRAWtBqpAHmousQ7N+tBFrvOqndqCFFc1o11TZKaHH/lq7pqEplKnEvidM4lzdqg94zliUnY
JDa2NtihM2wJfDGvpAXrbNlRtmgxto1rb7GO/aiXZ16o/Romi4+xTWSdzBLN1e911u7nWVfOQBoy
18wv8jCbMYJV60GeybqYhFEADrrZ/KMBqXEIiOtY2TlRhv2sVuXpH/WyhxxKmjzcNSyXH3f8t5vJ
sVrjfSeAuEbmCP1mYzjv1NUecV4P4Lp+HSppoJhBKznakbptZPGjz2hE6kb1lHGvt07iW5oVYyjd
REenyrP9KKLscxymz5JSsrRhws+i+72HBxj9v/cIlboL5qVDHtZDQdTrO4JXXVScddXZmgZeux9V
TpYgjvBR/hjR6Gl/MMr6Aj0mP8v6R2dnVp1gyHG0s/q+u6M1D7PFxLFjInbike5rnAO2VKVfz1Z3
f1RWRbsH0LcKuVJXroe2yeIte2w1kJd5NGgO/jEpatqLuto4rd5OkzKrmywL+81HXeIKx3mUS+nd
9NGkacip+nKkrPytXZbbFi2Mf1zuXztO6yeQLfIgr2hr7q+6jyJPHRO77OMWNY4wuxQCWuCRcZn8
Kpqry4QbI5mdslafargpqiEoypY+bPU+iLoGbiXf8k5W2o29moLMRhKkDdqnxti+1LHKu0SPnaPr
pYRLxiZ91t132SZrQJwmB4fI4+ajzrbw8YgL2HRaajUvAqzAS/kiu8tDZngs21XXedxD1plCTRAN
Ee1BL93xoOUqGJg8zy4E47JLS+zjIFCBqMNSG/ntuhxli+wDlrMDjz2g47z2lg1wJ7VdORhIhuWZ
fiqtdGhfwxzDX6vGCs9zo0+5FU9ftRzMemPlHXnoGlO6LAIgUbTzaa4h1bNwjO4IaWLQqMDATNk6
+2Nuzn9BtN9AQhkjP+tHsEaGB2bJRFAgi/tXJSSJNxgN0h0O0ttqliZHZV13wV0qt8Y0T69VC5g8
tlHW19z0+LgSRqcEV0IEH3sevywvruGSI6LaVU+GpZPHdeasIjv0n7I8k4c2bsuD2RqIPUXRxf77
QGgN7vvEay2PXX2vuu1X2fhR/4++y1SLFdv2r9f4GCpSdzjhybeV1/6ol2cfdUvlxucY2ez1E/zj
Th918sOkC9LLLi6Ef3d1CzPe13aB0FZktReEYTGqdyJjN7l5u22SBfx+/uw5EDmVsnNfq0K/V9gv
3VQSqa9try3+4nTZ0zDm3usS9m1A3MXhf0Cr2Y72zmD5v9XXord66S4KEBx5pWRoNHxjxB+y0UIq
6CXkcWHNfW5Sq8KGLeJRx3udY7jK2ZKBAssgy/IUmfTxBKJ15X1M3lse4vOdTeNVlqByfsoLdbw9
SsIksOVO90fJdg75UqrPsuSlREhsdAMKw/kC/hza8NgtN3nQAcJui9BQgShQV9Tmr4YGRCWWK667
7VSrt2H4ry2IqvgRb6jDxxVqdAJuSST2RRZjRv/3lSHHe9vCAH3pYcIJ3Sk3t2iP2fcO0M3dLJ3k
MJsOzLKhAlqyHgyiIpcc63k9ZDfCqpS63oj2RrNMLE8pyb5JbOp+Y8fQ1bH3ufeYJiXKdFbjeQxy
IlvfUeGpNft7g9JeoKa5fjaUyrnOA2k12VDDNse3U/06jBYczqX7ASHL3c9tV55yzBoQAfw4TYBn
n0jrtssmifTy1Gk23l2TEh6xdCDmDKHStprqVQzAwJnhmyPBveo1Z4Gzb7DCDmRrDrnw0oz5Z4LR
Wbfpx8V3+7h9qdakKiozi285uDgOkYcpAAwpbEX6Qj21Wrg8Dmkx/l78rix2jtCvEj0RFYKXsp6F
Syl+K8qGf9Rla7/KLbCglUO0pdvybrEODXCgSQgyHnMuto5QG1ixcfKsWQ1MmLqtv7eD/epNqvGa
9pN5SB0z3GXVEH5RoBFMQGm+1wuSo8Uwd9dEzY3LRLZzUzdTcZtiobb7KIKJVoDyQg9jDI9am+IV
2erhXV8P7Jrq67gS2RLC/VswsCzS2xHXGBplN6boH4Svk5O8hjwIOwYEHu2gpYJLE+aCtzlShqYx
fzOqCqVNEum4QvXJPh5AhIeDJa4JOg7XshZovrahTSSC4keDWIu52QF9MjBh+mhQbKu+KAA3nbpA
ObdonXcjCtFaFo3zZEMs/jL23+21OsQD6tivwUGyBLUPgjk6aHBdUcAaFdxRbeUMedjcjlFO4mdt
kHWy1dLY5iLWTh/gsPUGDUJfyRfn5nUgxF3HjL+rc/bS1rXyWgHtOrSLqe+yulDeC0vZyA4zDttB
X6fmWY4MC6A60noFm5GXXFPJ7/6yguisjNkuNW6Jbek3IpLjLsoVHET+rpNnTSLqzRrO2M3ePMAh
ZGc0zJPLD5Ox8mA1mX71yldZMEpeEH4O6O84lc5fTjP36ZZ1d7Y1YfAFH6PqdXxkVIPfzqGzlw3y
o4RgH7DwiRCZX12xHaj4St+KzzOe77eh0iKfhD4B52aZ907dOlvZzQ1JEdimx7y7tv6/R1lDXL/1
mC8phj7cESca7rARkPow8Ekmk3T+qO/jgkTxsrhsB+kmG9JMVc+EWI9ykKzn70X0oRvXEJdj3Mh2
E2EfXfuLaqnvUlQn8fboDjg/lKhFvl9zq89Oq9jB4IGvMyLRHVscow4gs4ybVbW/RvMffQc9/NOI
+h9cLro8dP6kAqCzStMICxenOMTQ80MaUDZ0w3QrslQN9EwDDNy6l1lDVU0qUiWDvo/U2L3Ikqxf
q2QvbxHh/pH41YsSwJ9pi0/VrIfPSv4CSBjKy3pYsGQKknqKd7IIXHS1Ua7nfZ0sCFu6/bnVuvlm
LTlClmTdN1CqlqNsjJ1p3uHCXGxlK36301Ne4MMjW5scRa8ZHJdslFUwLYDamvNNlqyQGEPYnkO2
N4UerH7T2WqnMQAoDTIA6RtZ/PCrfhjdyPK09mlrpdtIT2vVcSe40dr8yXWR7dQVjExZ8i6fFFg9
bCamt3ktySpV1z8jE5tdZP+Wn+wem3hmnbWHC4zoeRAmAXwu5kGmQGQDpJiOjY4eX7HHYgk48fap
sudZtVk9mvGFvJQa8IHGZ2TtdBa2Pu/N56kZKsCVerqZ8xm/PWXAJaB/jzrLu6cnm5fNswO3O5tn
sq1Z7uxNous71/HsnVlm71VSKYD0bWUjSE8eSMceEQKOn72Ql7sGR/GbS6Db7FBo1nTTQOPCnK7y
TLGAG9UVAo66zdeaKGOOfXu1ih57G+JPzNKEYomcMSWPaojbcRuagVvqRHHTFUl+cKbn2VtXRB7S
vhH3RwJjLk+G3iybNz2G5Y18xonnf/KBsf1ZIrH3UqlGdIzc/Ks3RH+IJPL2Yax5hzRUiG2xHWaW
jPkVLW9WPGd7e0UzuO10TJqKvxX9HDfGpti0/Bk5qXsFE3EnkD1IQ9DntfbaG9o3T9NdXwURFph9
SLRTcfzGIEGkzgB/xqjfDCNPD1GCAs+pDtsuNEPUu+epyJ+TJ/T1RUAAIhGxBfTsQDytpjYg07Ed
x555Wc2SpwnYoi/K7tITjo+I2P+VWgUSs7XRbaNSq3dVp+T+aAIw1bNhg64kQKf4q2b3yx9d3e/x
Lzy2i3UzqkZ98lqwrUxOw9aLm8LX4vln2P/RFKgvs/f9gRQ2/4v2KyqD+8Qrvgw5YBK96qHili86
aDV/bDCX15UvUZFurKZmWqk77MeE+UdWvKP7tTP4zxQepnmT0/5QWSYElvkZNkB9AnLM7gSzF99M
BkIGijJu9KXIAFhZ3/RYXwB8s6b04lJs6PAVMum2Kphg5xyzqbpKr7ENsnqJyNtZKR4FU9nvQYv+
oYxF8dqHP2skdPeQ0N4UoqOsE5ZrNRFAyuNVcGrKmDwWJ1A1/Qoek79kqVFlIrwARHL8kSVRc9Vm
AzO07LUfBu3NcE4DCMqNEopXDV5IUKJsEEy8A4h4mkfsxa/mMp1KoeLElebXscPzSYMis11SvgwS
vcM+Bk96iqOjV3dbR8c8MSwbLHLM8bnX4obFZ1fvYxvRwWHo70A/ArOZR1DI5kkrXcVX4zgHadd/
cpaShOVcLkEfFs1JJOOx6cHmIrVEahb4utKrh3GEY1aaBcBXcF3I1pPtjx0sVCrSRF2PW9yAK0Mc
2lfXAeaMa47oa3vf9THambG6sUFACqQXDssCj8HEAsjXwkI7sS13N2OvsHQPmyMxbN+suxkUh3pK
PAE/vK5jfVvPdXvqU4TTb/K0hveW+b+1LbpKRVHaw75V+2NZEegCHckoeRVNNj8uEOERlIS6n0/L
uIfsUcB2Nhsfq/cJHY2lPQkv1ndWr95UvapPAMkXnrDYxS6F/XHQzoBMen3+wVxlQ5NZvOdWrGry
rAx8Zr/oZOuIKxTRJqwcPKgy968X/Jy+Ji4buNmpY7/Qv+u280mEva+T0ztGcFW3TjL8WbV8PcJb
7pVpI+Bbod1MBr4sVpHswbs1WRqjH4zxqi1ei3ipt1kPELnpf+QOmiUAdR1kU6tquyixexua8Jgv
rvIpROA3nOMnzejfCqsrdyiXfO2KTNk6YcuXh7Aj6j/DRbXFQAqfRLXWlp/aePgWNWaHkmFs71Ob
hEo19rtwaIoNnzd9yvNp78X8Q/IKzRY9t4ZLXfLP0jLxmo/k9fWarUso9mmS7xYCygdbtOc8L5H2
Scu3sVI3YvWGwacSmyg808hopruuDM9NhapEysOoasO9CrX3WHcI1bTNk8p+Y9Mvw7CFuWidFF0R
xOxT85gJRC6arv4ptLL08aQ21OYnKj2JP5kJ1uRthmFq9NwVhnZAobeJeitAAbl02k9qJj7Xphr7
njGx9XXza+zY0a4xRvSFI7CpjZcfdY1FQuqm713jLX6fuvPGac9Vl/muPdu+8AoM3/PK3ZWke649
kMUmartrYfVEc5EjQUwNHlYnVDQp2/6NmH7ii8F6N8oIRhYhp5tQvcOYoXnitqdSmX94DvpXlvfV
GnPsP43xWJB58mNBupjJedrMFnC+UvfcDWHo6cDOKyO7hppNltdPydjxDnYnc4d5hu73q9OnkWmf
IXRPYFebszm7XpBUA94ZKeRUMSZP8jAIK3kiO/qU5Y0NddjOgfEOn9wUggWRJT+3Fb/vmp+JYX22
xvnPRu/IgcXmGTD2UwUL0ZmJI5q2WwfoIHxpMRvdOkX2iqy4dZ2Y7v2uyZpDFbX5PZ/B4Slx/yz6
xTf7PNvmLOoCHWIWolgJDl/aCJY2tze9hrNyrQsDQSA3PTS5G52xpQlR+zHip8XLrWPISu0k4lQ7
JaMBQzMulqcyScdDgQjyGWi4sdeEmC9DnEcsZqG1Ao+pd8OIMSK5Jm1bJalzz7so3kbNpe6h9ZjC
JpmKASTaGSyJixqfwxjx382Kgtx0qUre3AQSbwlhvdqGh13gIuq3tj0Mio3fQJG4bx1J+03jWD1q
+zEawz0wIGPGkgmJfPXLUrNz0uqhfFdqcqJe2k3HyjKtAMpr63e8Lt8nC6ZPDK/lHVpxBzgZ7AM4
VVz/emG8M4HhrAhV632y+x4PX6HirWnhn0Fc5D1CEMXntT6+E09nw5bWw7vmhYOfg5J69yykkKzF
bd6jklcEOob1OxSyCVFtJN4ixThhOKhf0Z/0CEg4YSCLiVj0a6HAIpri96VLqw28JBNMd9TtanNi
kjXNU2yzJw4jc7h2iLheW/7Wp8ltdgDO2CszAQWVl0O1zBzrwlqbiJJ3V5ZGee1S/mWjuRlsPiUS
QylS3tOIRjKiMH1krFFQ1HyARgH7jXDQsydT29hAxneqqrQYp7R/uENGihltEDj+5SdyOvNuQE8k
AClkb3DDMvxBM7JbbY2OP4vU2KaEgH3DGvZ6mXp4kifjbqmuQ1rPh75NwuvC36Ik9hnM4lsWh+JO
ILX30aRiymoU9YYUOop+xXK3zZkJu2zmDYEE0HUod5OYYierDkm/gczQ7YzVBLUvkg2M+PRmj315
9BacVpF2xIOlWr6VfYnPSLnsa1z5tnPlfQYcHPTNmEB84fkPFxC/c+0K/hQbbAiGw90CWtuxt2Ea
R36YEWhtG3RwBKe7JIEyJEI0vrQxu9tKetXXV3eUEbiy874JerRDFXTYmLgFxAcCAmixhtam93LH
V/OSRCTTQ5eE9stYeQTVrXzX9kbljyVBjdKL3CDFAM5vySxv27iyg9lthhNCHfYlEVrCj24Bt9AS
LtNMXqgFS+ibUybnwqgB6RrnGWm67WDNyRPcjnrPwt/ik93QTasPGooZQmnDp45HFXGo6k/TWXqM
2IR1GJCiieOEEPLsaNuuC8t9GYlsYyZvra3V92iedJ+I2jfe3mSYRzGfCssf5qHy4zZSbnbV9tfJ
nhS/IF1/acUoNmg284er3inGeqMoCfOkXXMn2g24oQf4UzYoUBYWBtqOpqFMj+aljyitq2rpFXrj
jp/EdO1aso3YKHqnKHRxTM3dC0Lu+yFSMn9w1ZtJQGdr2PPsa51y6rzyTQjbORed8qOZ+KImSzMu
ZlUX23ZO/2oN8DsNouI459zLvknO2TBOvpLMjj/hMtAx76MKwbSi2vkJI+9wO4e4B4kBpnQfhpiu
Id0hHOWHOZnjkxkC35qqeBP3k7VpBb+TvtLzkyIGKKAGgdF5Ko/uPOAM4pb1Gc2xq9qwpTKAihhY
IupYbgCWZUUmcvupmTwcXSYWT1oztHtIttt4UqCs1WI55FbWAq2sXru2fFZUAG8IbLd7p22/aiLT
N0ajmTxhGQ+fZ96WfoIlt0RHN8K1aI2J9kOcbpGDZgUfaXOgsvuovFic4CipZK+Wb21rgJVjWRDw
UMChwGd9s0wT7kO99zULC9PvnIFYBzJNU4Y2dGvfSJVO1wmQIZpF7S5zo88OYjXbydNxMxXZdpki
m83wwD9oGMTOjkJ1K5zsM4ZAU1ATMtsiuapusxg0YalECK3o1bmY0MNqQ6ao3DYN30ESbqckg7Pp
8qTbiDDeE4PLTinSu7aq20+s8c+YXXbImCd3Q9OUfcWD5IfzPQPAMeaJeG7Zz0YWiWbDJW8i4JV0
dcuOVW10Vvrs7CojmvZ5ZWtBAsDGFy5yssktEpPF8qYdNjkIycBy0ufYE0+25TbbDolc8ta5uhug
4x0WR/Vg/CJywjscKs2Q5rse4felt0vkvBK8GNBT34Wzum0dt/GhK2e70LN4k4Tif+g6j+XGkS0N
PxEi4M2W3kiUSEqqrt4gqkrVCe9tPv18SPa96uiZ2WQgE0YUTJpzfiO2qDx9N9Dd2dZ9O96NnLBQ
DvumNk2svoIAz1IL4a86TKYN5o93HpVPjMX/Qfgz20UaTheztfEyMDKCoBxofa/B0aRB0M4Mc2A+
U/QRE5+B57rWwAYCau+a9cCUYlc7KJjXKEGADi+7W51B4bJIBAbk/JsJBH022fNKZyZt91iD0f/8
RGZhPEdJdtXCWq4H3Qifo9b67trk4eVQnZI+jY7FTHdta8C5SrIZlXf2WGVCPT3jvbsxcKFb17WB
IlIZQp0LwSml7akzC0BeU4amo6hXIQKre11jzTLUTvMoHAkKwi5zrJFc5xoGqdzB0cQMI4WQ2kuN
lfqUJwABgvqI5WV/msZoOKmtr0K4dn/KE6BTcGoYqT3C7eDb93OR+XsebnWyMr06ucS7dp0sLzNi
vyckkeQpyVm0BfCS1upqfkcyoM+mfU2CERmaM9ELf0Wo/xIZQXNK6+Kj8XMCKIU9NgcZ5yyRA1jN
fjYjS9zPp9Hq0TL3WrxwXSPPV46DOotZ2MdBWwzxqv00y+LEKFKwCJrCrdOXH24MKqAbRMn1CbW0
+OzmdrnW4jJmLeWHJ1UwfWUeGqcXh7D7LtT05iT7Br2s0dk3dIenRk/BLsZMS1d1U74lafer7Yr+
ca/UlrpNsXTQPp9D6aP80kf7cHGjVOsMteUv1cWaj+e9aapi4kdTuFM4nlzxDqmpoqPbGkj9s7og
Kxt4yYdViMJYt3qdHrtOknCXG2NMr4YWJLjZ84+RfHOQoUQJghl824bhmk5q+QH1y1C2l1Sju0BC
dx2nc5ivYj0M9zKrD2NbI6xQ4IqYxMexg5eoMVkDBjtZJ/ULEPMgL+zJd9J2FX4Vli/XarM14orl
b2it4g4QJVIh0L/fyiJgaTXaxGswpDoBdDBPERzzdeXBY6t/+jL7SdzF586GaMgNpuOzOqaOBxY2
qHF0VM+qMqfy1CyFqqrCRsyD13x5lP/X7hAj+n8cPXpBu5vHiOBisTeqcY3Z8ncWJ/26tVGF27qa
jcBIkR6GOg9I6nCAqPD/Lv0EsfR51QQN+MzIq4HcUQwg/nbzZ4SnBBnAydC6pzDr42Om5ci5v/TY
BO76eLgWYfWU0g+cUMnGIa3KfyAnJwiUt9C0ejxmpfnSog1POFzzt17aaCuA0aQTRCJvYZ0X9N0y
3xmjuHpkxcL8ju/6e6P71n5YwgS64+SnSSAT2TTmeTawttlDRPDufcM3HAw+eMm8fAsUDRL7gUJA
pBzGo1a6KZ+OP1+iGUE2x9NaZk3EGQPEG+ohO4V6hC53pzGtgox15tYc0YLRnJUk67zSJkBavmWu
0kDYdxSPiqpKT0EpP3nY+NMAWj3aY4G3ppl0m5gUmTl2wWWMpLUnqFzBGlsnLCE2TtOWL3oOqXFg
GbWOsipZ9ZkoX5yEjDNCVoj2F3uI9nJDFibgKASfrQllWzxuTF+mf4D6b85hkdhrLJGLTavJ+ilF
OMMySu2jopvdeVPjHzN8ia54Z5KTdmT3a0qjvSc7vOc7++55UbnnEygOIXH0j7IIUUxItB99aFdr
5GkHEKNRdtF01j1tMGyrLI5+iCp+J5K0xoHb/j6I6Iogqvc7j4inMS6Yhea+ZCHTl0Ik9arRsW2z
W/cnkXmfWAB9lKd3/YFgyY3UIByXvoZoRbRkU4o2PZoozm+83JYHVEzlXpI62IDStDZS69ot08dN
WY3JXq+XeEdARKog0tpFvXsB6I9dYTTcCvgkVlLG30OtcmGCk0ww72mllwt5Jd7qlitv7ah/71rj
j2LsatTJIUyS7ScPg1dL4icBOkBjsUFzOb1GSZpDbk1nOqltN+fZuc6r8ews0bsZqO9oNfUhGBrt
HevrbRRYhFRh7G3CPttOIhHvIAV/RhhNPduNqb1ZuqNhn6GPW7/PQTY6ZbzLmsn/3hC/bgIfbH0b
zmcCn2KT2cgpDWSQDyjyb3yU3H+0wWitvdQzXlgBWMemitt9C/fsHtsdrHcy4b8b5IOdIPlsMCRm
Pm1Y16DMqsV7xD4E1hBdrToktKFFxa+s+o2sQEyONK5WsnGDO2jjcCdiD8JwLfHYkql8IcTwOZvd
Uc5Rdx/bzr/2CFvEBXhmjKabPUrgdEcq/53xY08q552SS8tWX/XHbnWkalR1VajDv87+avs/L6F2
uzJU/TxiZdpREPmE/bGYGj82yxG7Y1VXW2q8GWKdg1T9H5tf+78OV22q+Febuo5qm42u2Fh6Na1Y
22VovxVFxaC6bOoeUxjCqf9ptQabCcGyP9OA7G7xY/u7/jj1UUYzaUDN0XYijeqTKqplmB3tEvEx
Vbfb+T911KuZRQ7JUzmb4uYYOp+Dn1trQETiptqq3KV3T+xxr9pUocNN1+MxfHo05W76KujGvk7q
cG482qj5P9rUjqKVDfmdRet4ufijLdHalWEM+vGrjRXnGjF766W0M2Mb+5XYOxVS46VWOxe9svVL
mAcxQ9/U/Wh84yMHiHw3dW06yTDKty4GRNdyliyfxLxC4q38HoO42CcYQB5IjMBahp2Iyd7GMINh
MzQZsZSweHbLoX2yk2zvM8aecfJkiiTT7AhzbJ+y5D8XSLbuEXd5L5rMu0A/1Lcayy66FeE+j92U
MMPXn9OpOyGGkp9x742w1AHIDYpKbq3AcDE9ydGPK+WPyEN2khsd3AnoPxddo39Hb63YRKNbbHVp
vJJu7lli9sg0lum0blE33NtNSaZHR5DJMCHKMfXepMOgv9feCGC0Sxc2BZGkDH8oLKiE9UdSfVpt
37JSBtDYC+dDjna1yeHO3bIYkYJqKn8Sy5/PqqkRZn8JsvyoaqqAKCx2LdTvjTpetXW9+R44Q/Ok
akNcSjJM03PXzQE4tS7alHk63oooLKDBxuNWE+N4U21xyWQXcNRF1QJcOc9xnf9GhubvA+SEVDVR
STAoyzVUkZt/xaMTXdVlgkrGRx3rwtXXAUOP3YOtNdlRtdV8t0+dFl6Clhz+XG7QSxSvhsx1TDzT
eef5YglP0G2rNuHE17wgg6qanHIAdZuVv1S/rpriUc5rvTLMvaomc1veZqLijysUWGCbAJUU5lWB
XIGDviZV4h2Slv4VyZb/gG4fh7SS+bkRfvtq//dxhPgL4JCWuVPX+zpwMOL7RDaOlU0+rlFwKp+R
DLSP1rTo59TxtFJtqhhKvXzulkIkGnBOc5aL5hPUnP/u+DrYSKV3qEz99atJbc1ZWD5/tflJ/lsP
GmY/TRys/KZNnkuTlHGEWe9j66vN1TpABE1wUkdoZJgehxWizg6aCRimM1EdTyobMxQ9794FgaBt
yJxhp6pGVOa4IfTwrj2nfY/CcAH5LLHC5eB4jPJDEkWAqpfqGPUVjsHgTJBqYu0Vue9WkIFvK20i
zEvVJql+MFuQ+93Yu+9T0YyHSGPGpvZmU5seuqaaN8KGKz90rncKGyYlbkp0TteMCJG0zH3zhoIl
WBB9qJqTG+l9yROoWuyH7ptlO6gkdflVNZW9YDaRV/JJVUFM2Ws8HL/X6DxszKkO3px40JAEi7Wt
EwT+m8HU6KAXTOpUtUTqBf01JjnqYIvu4hUGw1ntDEF0vH0zea2H9ThbfFdV9aovF007prtdEBRP
6kBsiZnTzT3OSBgXrlTbyMizjVpUqALW90FcDZBoGPImNbCpsck3vZBw55LG6QboImvLNeXBy9pd
5A0Z2E8R7wvUQt7EeK2qJt8FGsbQ2bjoXo7unSCBQ/LX6LclqKx3LR2ITmX6t16kjO5zkb87xjQz
z6eXwzQmYy5ueWcZQ3dGRzR7H7SJZEsQfiAHjQXHhPhz0Nt7VaursXnzrCO9Y7x18bL0QAWdPNMM
oG+lSFEXYfTeTkSyspqUFDQa82AUwltH5ASWKJ+3HkC6bOPM7neEsZbYmM90Pr/PvVWsbTMXh8Dc
ID7qv7qLH4wqzOxg2dqLVTTfelPDisev5xd+NDIc5US8OmPtolnQIhOSx2vhVlANTTQEUc0qf3TF
8BqGtf6Gk6FC3KwaOwjvOXGttGaurms192c2QBcthdqKljmGW9rPohDZo8mYwvikWcMtabNfletb
hxYbi0vkoA83M8U953X+B3Pv9pdvR5dhyo3f2Gzs0qB1WCy9tLNcMSEvyGF3HXAJJ10FiCt/Ewv+
OiqalcAb491O2mMMkPeXkSMMp71m2JjcTLc8o8xb7EqDOG2hJcXWH5OKpHf8jUlfvR98iAxRF0To
06fdqz2UDYEAN/7VRD90Id190BoLOr/wN7NOjLBIohLjbJ+grQ4y1pXmVSZj8Tb2ycIuzKKTqmY1
eqOAJp5g3ruvYT+Th+rHGq6GNb3Gjb3wy5J2Byo4ObQ1GiGOVhywe8LEIXObA0G/ZmsvtHJW5taN
qT9/XpKDJEGxAQS1TTQS/SS1slVidjHBG3dlm1dcB29C0gNZdLU7EZolbt8FqC/NqN5Nr0OzNi+u
Dqu190H6xrVrzZ3ah/RpcO7x0F5N7mdP5/xuR15wzyvk+bHIeB8ca8ZFGxPmZd+EEByxZlxNl5qO
3uKtHojcL7WBZPGtwIlX1dADrm5tkO6isHLeu7LGbLfI92pfHzj61Qubw6NW2fW1G+XR1lMdWQvz
kNaZvORL0enjWSadSbiGWtW3w27wNRctI9O9TKbhsead8xURHTQDVKO17Ekcxph5zs+52bgXfTTY
G86d3NpxPCBYu9TVLlWQwMTmabioyuNSed06JFVLwqj5GB3GIScs2UYYpvlOE0EYQjlMVcvlD5AE
cDl7gT2TtQBORHXqTI6Wvi6PfTS/Papqj9FUwyl20kueDX/YZVIecyJel2Go/y5QwPS2+MrV63/t
GPVgejb5KV/HdpZnWKt2MuoVAHKkRZarxB3BoMlMEAywQ/Fipf60iwbIlEamixe+JEgC7iDnp8XD
SLWp43ysgV5U1a/tVxh3RBmW87/aZd0iX9S4GrqMomEqFxqbaA4jGKcURdIVAIyhWI5ZRRJ5aYtt
ek+EgARwDrd7y53ivQrr6KJqQTCHC7QSR/Jl59gl2l4b3YSFdNG/6W5hPrv4foAY6QC9cEQNLJXF
8V1VooYcE3r18klVjQ4oB2S8bK+q1Vwkx3AMQA4vZyLjmb/IMX78YdXkOvM6bjJxUzUnHwmxjmii
qGqM9/vWtZdA9HJ65DrVCS6Gu1LVzPSc1wYKrqqp39cJ85C5efOqfnu+4LwmJ9Hw01x+9wIsmk2j
2qpqhbk8r2aB2436bW6ODFKCENRSU1eLw+E1qwjxklgmteYYhb7W6rY5uSQLCCTPNX21XbYH3SUz
JDD/fPemcl4lQng/ABCfG7bwpON7ah35F3GLj5lI6Peqhy5CUj664/PNUM/UcIVHZ3UBwZEdqtIN
T50lo3MYavGBPGRxKBHxfDHz5CNDnu2zm72bPePX7vnVZ5GXLpbL6XQyKkyN/QT0DbGf+PNIIr4l
gs/CwBB+csmmIgGJI8SZFOk+meSbKwtrhRwn8I0qc5872ZdyldcGrzdf6pDlL6rQXDd7IRqKRHb4
w0PhcT2kMND9sSafJuoBwBXQczh0OhqbPSyWoJvOgOXlsWnrn9hmakfHyOc3p6957aZXAz/4D3zX
fhXSX5OgR7m7CneRG/2u+zx9iZMY3drM03bQ9PWPykkMJq3dzvBN9z1y96TEsm+WlOPO0uJk62vZ
WWjBL6br+slu4t92XP7sp8gmvVN7BwPEKFk2H+MshMamJslQYIL8EERW+udIkiibHR8oUk2y0uPD
Tusp2JgR6aUaIMCtLPdE5BNSfpied0WC+QvqxGQJjG+1FMHBCch8AnzPtnWEPKbtAVYawcK37RA+
OX/6sL4vY2HcLL09QUSvV2ShxE4viYg5yF0SeJmI9+rMzRvPepmmP00cT6xr2bn+Yc575A8nAMrN
mjijdjA08mpwmuod3HkTeZDQOv0C6qFfMiJgG/SV3E3hFouPrDwyPCKx6Yrvde43d2kyaNNkvngk
7gF3exERUwrNnqKnKUh+zQWmi9OIdi5Wi39JaDBVZwa4AYp27QxRdyV5a+yd2olOwimIyseVvxGF
bn2A/Pw5Okn1l40KJrmg33Hf15C/I4L1ZYU4xNj1Kx2RuiPOfeNNL434tQalomqqqJ3O2EGcJzi2
HKGKsDJBukzBOYSsckNGxQD2lxzARmwTvBheBsPW7zOp1W1gkutWVQchxUueoAW/7BxAF95HCzL2
5A5PqsmCfbD3YrfetH5q3IPB6kB5AiBaaqrJsBwE37osPakTltHnaDEyM3eJD6URLmqfVX+fQyCt
dlxdVQ1PKrHN/BALnWXnxMqGfHV3UrXANPp7rGUgBDwk6VWbiUfIcQgKFxYNJ6iCScmOTwN70eUE
4WvzNq1THTQCRzCrTl57k+zDslNbimkk8KdBGjiqIwh1j6ewRAXq65LCz06Ir6aP35zHY7mOg/k+
J4Q7Zscw722INVrRRKcsjxjpyi75y+1cdKWZO928yL1l42eFJ+4bMc31bDkT1iSF9VZN1a8oRWhC
7SNEq68RpwwOIEbtN9fAz1AbgnGrji0sU5xqbGrWau+ok+nBft3Zh/Yr430FGKaZ81MQMYOAihbf
VIE4Srmt07Dcpv9tM+c4X4k6QLzbNePbLCZQXmGA9re9z6LYuvtlb91TqdHpg2k5qmqiBf3RkMBD
1CHG6Fp3BrDZy+PH8UVLGnlCpfXgLqfXotkBdw8RRIfbVmu9d1NFmrT0du04HT2ReLcObfTLlGjQ
zE0AaKUtYEfjSLNXBxMRjK5oybGmCbtiDeq33XKDpi3A5r+v1/R/lbkWbmH2A4zCNuUGl87E4q7t
H1XV1tnNpjEYz1QNE9NyL2sAdo+qGXKWzPchwI0X1TRZknRen+jYetTirtpmGZ6Mgg9D1ZpOGw6d
05QcwR9VxeDOLxXgkOdHEyxIHK3GYGV5Rfzq+XzmHdpZ7mzaK3K7ZIqtUdxUEejRXi8teVG1KfTb
S9z4+9LM4nQt2yUK3NTeSu0tY0b5zDEJnbVpsvtqs4L0d6DrDHpD1V6NGFbZbw9v0anVb6rgPULB
YyBb/dUW2uN7E+vTE4o++m0QYfLUGO4fXwekrFNQ3mjb/Vebj11ZNz0u2g4jghXICK2dyZ2fzDh5
7aYgvzAG5hdS6KcBEsRJ1TDKdPWV2gyy6GZ0dnf8R5s6zWnLn00Xio1R1Tkgn8K7qsJviBJ6EAJg
qNNW6RogXXIxzbhJ4ajemySs7mFaEV4Lkniv2vK4IFaZADGPirJaz3Wor3j3w6M62LbwaC1RKbZs
4D+Vjh1WRje7FX3c3BtZ3ToChc/ovTb3MkXk1o60cK1DB8XrYTx7vT1wA9gZAZ/akEgFKWW4zV2f
m+SlTfyj2qma8BkzCN63wdGYx+oy29PZbaKB5zla7609VqdganpQQbPInxtRbYtqq+ljtWlbr9kY
jpAAj8J2Z2uW9zykUDSSIUwX+7EtPm7fWiss4cMPT2E1PDuDQLE9IicFL+Fn2Cc7J0LwIHVY6ZTM
AILKqA9T7H5KvwDB1hz1QcCc0CIw3fpgbjrmIOuW2UcR4C9k5isJSng9xRpE0pDRXGX7wMfArrfB
oOvaeAIx8W40XrwXDAgEuHUg6YCUh8E86xKtuc7QLJILsJN8bZ9N5gfrLjob0AubytIveZ8dMaPW
nuq+gh47jP4xHyDAWdZ70o4Jyz+fdTJoz3yI/LvMHeM0k9Em3tERTLTKVV7MHZyplT7hpIs6Menb
GTeAoBrSVScZI1kMP+vD1Yja4HUR4ZshMbhzbcN7FNaT3Sb6TsMYZVXGH1LKNzJCm7gzql3pdv55
yHGDIRDA5lcxjyjAu1Z9RrTsGwiLCRe6bthVXoSPq2mGl6H45DLRCbkVa4Xu87j2bIvMbakZTzlz
1dyZ9KuVceWxzuXZQXBWRIBEcg3LxdSEkzenh9YYm1PTh80W+8hx03qeeMr8Rm70zvwmJvwDQEz1
WyGhaOiyujrAP661ab9rSVwfctQan5BJBFfCmLLNWq97qsqSKIk5wt+S4VrU8/AEkODQNwgydk26
LppqH+RTcCysud5kzBtYWtnRysJNa90M/cGpF0Sg6I2tPbrpDoDwT6SafixmogebLPmauzWsgcP1
a9TZiODx3ritBlwv7bqzQYlOAnAttCRYsfcWo73lwrbRf9apOcOrs5vzCNDgqC0BD6u9qhm1sUyr
maLwGvXkQbIIYZYiRTIiHjv93cx/DK52yTJ4voijrLPkCnr5L+lb9Yn8m85ImDZorumnuayNmw3D
w+a1J93rNmMK/sar11YRxU99UYuTmJhh5Abf7xzhy5P1FXJ74/L2VjkhK29Ak8KL3zHqZYKZEkN1
66bZR+7807d1/2ny025NKLCLCIU+wA54q5Fbcr2jGCIcIQRkGqPAtKxslkjJN4gAxXpM4s82r3DJ
ju0DY/mQglhB3qrZcUP/ajIsYibC8GQfMOXoaueVwIi5SkCXbcKkvQd+C8fMb3F/063yGDX0g4lm
r+U4tOuqJybQFK9omupPQxwbT91SeDaGlR4kzKxYRaYIt3YPUi8yTFYomtfT9zrtVqSpvwaUtYtL
8amReUCJIUZRiFDGr8EZq48OWXMG7UNfYGPn+XCaTEEORJ+gpwZMj59FC5BHXlmRdGvynnVlX7A1
z1e4AbxniR7x5z1ngVBvZsjFL1NAgL0x+5mssLghrMLw2dUglEK9B4dvJ08TyMsVtlnMKlgU9qkO
h8fuCF7LTOzcYFGfrYdP4Yc5AmUW8EbfzAAx2AXAw3AfSawaTQjzq96AytT9HiENxsB+t20AnK9x
PaLO3souOn2N0HS51csehHKvYcBi6BrykejFCBGSWKj8+1zPtyly2ydCjfla9jOiaHn3Anv5RqS5
XTnoyR+D2QQFaobO0XP9kxYOwUlLQ//kLDidOul/tH7wVMV0s3ar0Y1ldX2QKCxhofrnCBB1X/f9
n3gfWHCCXbHVqnR+HvEqevIIHpcLgVhk5j3z/DP4h5lZ9hRyB8c/J1btRDcE8KUk2ZpWH67aEhJF
ntQEKjphk3WrnEPt1+XKSd1uD3S9BBQXOIBuGAx2kJlPXkFSyizR3EI69l45vU+UpzQ2aZLsq7mz
90NTB39kwRtcpl7vwl/SbTZw3hlLgwUio/2KrWFdOLk4mZPAH7HW2w0r9eAwADzbO+BAwZ2QktJC
Fm89hHvPKQl66PaGOeNzMDnjazaiUeRRQ0wm3Xa2eCtyzT1/FfVYeo+qy8z/6DZQxLD5ujghc8dg
dMAx+jlAzzoIdqEIg3UUoL5m0PWtWTKvTF3wKYa2dZZNQtqU2cdnVpjbQqTzSZfINyEUdTUS8dtZ
HKKg6jyhW6xeRlZnDMRLsYjn2MVkPOl2013HoZsvXbL03NSCSnTXJmaqWzfZvhKeHq0zj8cIJuyo
daw/+iFj5uHEH2lmonNol6+ONbm7qYhZfy9F6D/LoIeH1hnJtu2vmdemp4jlwSkLvXhjlRAAYGPH
Z8e1r6awYG8EE28Udo8jiCvie8l21JqrxKCSwB6Ls34RODPyg8KAuUtGGqowsETbWbyuQGD+t9B6
8kUD2qZlgF2GFSGpFVYgNaY86Aiz4NfgIXu+JAI0aW7NEFtXDLfgSGAGGsCxFgNorFmMMyvOkHMJ
jTwhKH3kRS3PrT2/6pGcoHaE7mZClWY9L1VkCub1YPOw7MwHaOZFGbySHulJaYAuCuzyDCLjMM4w
UoArXXq7v2od/k+FnaQbExNNuVaYuWgh8Dvgz7beOBdwCqR/mTLDYCrY5y8BqblT0tYfErjRO14b
oA3LH9EYZ+96gUtM0H36ZcjLraIE3hIqaKTJSifjhfIC33hWxcwQBsAq0DahOhoNcOzVKlVqgD1D
kAJzU9gndRlcK9/iRhTHPKnosqfe22DYDTyElAIguFKuSxTTYq90+S7ctU2X9zwaUHobgAL4r427
tOXvITkSPicEWA+pjD4ipOAQH93NWMttPG+C4L7gjQBob1KDp4v+b6ats6H5i3VNd+7GfN9MDcMk
qMDUw9JaTyEJdfA4m+boRd/LorK+ISGPIud0M1PhHLJRu0mCAAu9Vd/X9mI8kPyp99YhCaaIbP0m
SGRwjGLnkpBKW2cmskqdXiD8Z4EYd8++bc5PRpa8TTqr1KgWyChGUIYXk6Y6RNcmbfl7QIE+HgoQ
Im/6nUvCGyxX5T6EI7L5r370jDuwXR9pbG1mIWDTTxsLrr7IhnZTZm7wCgvAe9HnNwmC79UCjOAW
ot3VSfqtYmKAfGUMtLIimaqqMjNz5nxVDkBT0/Zp70fMn6wM+IuzKURvreuqHA6wI8q33m7awwRb
ZK2qZuq14I0bB79QrX1musz/0/XuxqzE5+xq875MMnlG+ON1kIC9bd9NXwRSLi+iNRoyw0hheoOX
bZ3GrfcVNHBLwM7QUiTmcn7ewtTwR6SCvYgkYylWnpzyLavoF4s4B734Js9f+giw2I/CfcO0rDvm
C2amWnB1EQiLo+29xAtutLFm/QgwIlqQpKqYzfhD06xwm/y3SbWrw/Pls2tOleC+Bh10ulVeZpQK
6NmaIKeNphabcDfjCHlworekBSkQ3qdWZDsBndftLLhF43RHqBx1QzzvHroaCiOkcEO5zYLBTzyU
vBfBDbWjDzNIktPP2W/FCVyWI7dMVvklalN90U4Nl+ygNlNJBAkWFv/e2JSgff3OREGo0vbzAilk
LpufygG4tWjxeghXqWYscQRaBVisLVmV755WbFJd4JD7aQ8jKOblxrXLFdXWFz7RNVJdbhVUUTVO
Mp/zgzoy9jruDLKI4u/zu+Ui6igj0ueV6+XZRv3KFK1pErAIny2ufnvR6nulMOIFa0ju4xEM569+
eX6THXuHAjVqlQNWRaruv9pMWCKT0sL4TlXzvN5HlWbiP7P8pgLcp8A746D+pPoZOC9HcT0iTjLU
26CqPtV52STgmC+P8fGEVaPCSxUhWRdnIY1+tU2V2e+RWsGTCdDHA/ur3gZot2SopzmbtrrZ/FB4
YFWMwKj7Bn4d8VQkR/J6dDEjqr2MPt5vtyrp/cB5Rbr4c4C5uA3aiCfqIiG669L2rp69m/ovI3Gf
nWwsunVnjNHbY+pOeqs8ZR7Lvy5Cs+3roYEdNoFQt2KjHpd6GmqrwuMzXalN9RY4kRmSV+5XQTkU
J3wdA9BnanMpICLwbmj7Gq93+pYxlQARgDljNYwR6D821dkejhQgkX2rOD02ZTaAhnLjg/p7U9sS
o243SZd+k5N5UnfucZeglq5KJ5s36l6ru5J2Jev/zkB8ZcEAqGeizlBbqu3xOqi6KqwMx5C2j4Bo
Ivo49jf14B+vpro1X2+D2tMQ+VzVYNg36laoH2kODfenE6W5JoLOLNepf3aLbQhyl4/7axfeIAFe
Wbuc2QBv3d2oiw6mbbQrJETnzpxv5tJ1qGE7T1xvL4UECYwd30qHzokSbouekJMW5f/6w//4DWoT
2yvI7mZkPo58PD3UZHAoHSxzo7oANb73yI0fXABZ0y2Dy/u4uQ84xT++mn+AKv59By3SeGUMa1K2
OysqDLlN/OhPrc/17dcdphM8mZ4Ppfurc9GH1xwTy536LUNYv2Su1HdoNA5y3ebRUzeaGjCPpR9a
Pmt1ptr6f9uCvpIIB0TpRr0JQ5LtmMKwdFleBHNC2smGY/31+iwHuLXkANtcj0iwHdQbPPXOeJgL
h2VJvS28EeMjfwFX/r9/1y2zYxiBFQ4KC7jCAkj5evdk8uybC4DRKt1mkbehe1u6ZfUmqepXW0n0
Z+mRHFN629CrRzAr2asnNPpIdbwqvr7Wf7yij021X9bBeAhae63ehMcp2ArstY+uJUGg+kIW7O0e
he7j1xf+9S6rNlUVy1uoD8OuBaS3j7x4p/bZ6mVXR3yd/+9XUNXVU1Nbj3NU/bH5r/2q+q+2x2tb
1a77d9eDrRwJ/sw+Crhyqwx4TJkBchtcEM7LwGEGEE2FyUJ1Nnf4UJCnZ16gnvjomhiDei+F7K4e
cwPWh08mEQupl3hsp9cCUMrY9GdnwarKqboWo9/vbFsylWhNfaOLktjNgMDMigTvTvEO5mKxi7Tl
2GxEXL14mBd/PXj1V1X18Tl91VXj12vyr1PKMesOA/aD6mVURbN012rLTKEv2QmcJ3X31UVK8Iwz
mBVeuyGEVr9WXwmsdlrV5j9aR9/6o3AQUVLrlhnX4C2kuu+u4lJE3LA+0bIjcXCoIcmCb5hS8z0e
gLsjY7JV91gV6rEny/QEoVzWyHP2s5jNU5BY+U6X0zm1KwTKgv6gOhmDXruDs1uhnruJSvEYAf6H
sfNYjlzXmvUTMYLeTMt7lVqmpZ4w2tJ7z6e/H8HehzqKfW78EwQcwSoaEFhrZaZW/wKUnxzFgOLO
ixwzfT2hYcyg+zV2zh2xOHuOWXYj88lF82yXiidimQxkRbaOHLf8PrXulU07ALxfrmKeWMyk0fSZ
SezE2LgGcCEBKgEX8EZcssZK3IF+VHTBtwbkRIMXpVeM7cxjJhZbxOsW+8G2jgOBOfhz98Aj4SgO
zHWCYti8upp3UYHiZfjcVGWehMFS30ot0nZifPG7XDPoj7X6MGppvZN17VHc1eXWilzaND9DbQhW
fZbB9A+E/O8GbZk4JPHtF+V5Ycf2NEeRhu0DMf5bJTFT0Pl12l0hZNcPhKYVJ4Ha6YKmOPEs/Mn9
JJnvr7gTyxyz3Bg+0L9j4Jn64JQbA4A0tBiWhsJJxktgM4NvYAjc5lwycWfEY+3J2B4NwoPdDN2Q
/0zmosMyoy93cn6gp/l+uQhLq8iJLv//oVir9aCXrstUL36MKM5r8aUscnPlGCD7wYIWYgax0JUa
8yCjsSi6iNPOSy6RRWGTV23O4tf+G1Y/fyjF7/ywypiPzVN7TVjABYcg8hh86MX6FecIpmvxmowZ
dDBrb9C/wbWCPdlvo0NW+b68Fd3nrDt9QQOCQRovntdx4kkVK7olWeqGMcHloMAUqRAmNi3CxN9Z
kjlKUpQ/rGXnX5+PPUica5/B69aSrwhP35l4qcY1fL0ZTqgftvghenlSbVU+imWZWNSJnEjmoadl
oSjiCILz2gMAsnQWXZaiyC3JchuXuuUcn44N0pcGog7mMOZMMXE2BAKkB1EWbx5XPGIbP7XPP37M
lWwVSJ38YRkpbuH85I3fPYD2R/G4BjDpEjQ93QO/aaDcEE/Kv2fF0fNURVBOdbDzePMZCuKBFFm2
cJ8wIQLgIVqXhmUPKBpEsvQTxc792Sllepx//fQkz2CP5Z2Z1zPzwyxqHTVt8J/8570TubmXyH4u
i4PmUT/0+nyCz0dJCo6N2nxWRqhmxbyyrB7Esf9Wt3QRrfM6W2SXRNyPpShy4rj/OeqH7YzoLTp+
OtW/1X0a9dOZvGnCR2iubHwQfdMrjoYzvopinPeq4oUXCaYUwJnAiNi8T2a2JVnqxgRNUOB39Clq
jezcSUy3YvCl64cWkXV1jwghXPDzEy1eFvGeLC/L8lL9z7rlMPHeiX7/Vvd/Hcod0wncn4VE+/Ub
G4U2lrXTWlh8uJZk3sku5Q+2in/r/qlu3k9Mw85nEON86jOfoYuciyJ1f+TG8ddiahB7UJFbvtFi
DlmKIrcsyJbOn+o+FUU/t4UwoP2plFAiRJkJkI+XE987y1vxCM9ZUSvKI6ZsttVJkexUJ3tapneC
qYCNL2VpnGDkoixmftZCHhYlIzHs2XTkekY9rsX0gPUfStYKZuC/cLV50jBlbAhidsnyERAm5G+b
f5tul0fBEpv+pc/yGCx1nx4XURStvVfFmCxskF6dPOqbxlLjcS32vxEBBpiLov7Zq7tgN7/x4qIs
yTytLmVxuf5nUTQsr64oehhS/k7fovxpBFE3JhGxE0rEa7RM9vPCem4X92c5skKrhM1bcjQwjGiT
heTDznHpJo4ViVgYLEWR+9RPTKJL3Yc/Llo+HdI5hbQdtStRgfcSKAWqAaIHlnJNIZJj+nDlKOLV
T2LqcpMoSQ7iyuRRmyaHUbZWVWIZB/GyL3d0fvc/GDM/LBWWriInbm+QtVj05k6zkSu1ID3RwgCa
FBWu7G50ctwxsLkow028orOdUjwB/aiG1Zt4kf9atUrZ2yKdjeukwjmYpskxgiIYlDigNZGUFd7K
1VJ2DU+C/8w3VvnEO2yNBgJkTMiL5cNQFW+vq+5ZYLYNHACBDHeNuKrivpQJUCa1yJ7zEJyJwJOr
0w0ea0h36tme+enyi4v64RbNW9f5qos9i8jOr3mAc3J09GErrrI47ZKIH7AUxYX9VDfv6kTLZzDn
0lM0L39J9X11bSKtt0LGEKk4L3Vfmyzs9xpEgFsVxCxFoGcQkGZHdCZpNVR8Z5oFTc/U6jiEeapR
hHZT6T0FSrJXpjHkqEyuuVfWK9FrbJL+II25vpHbhCC9rstWVcCrLhInsfW16RDgqRBTdIkjeycH
vpFuoQxCcJmd/RarJFHDg3WsVK96AJOFrxnSWIDniYV6UShfYrd/niLav3jQwH4Bf1NuYI3rYeWg
KOoSCI+SCPdE2cMCEZpF/CV0LJgF9eY6hHAhWIQt7FR8+3vHcMd7XFQ/wTseWl3JX/tUR1Urdr+l
OUvyEh34k+vJRIon1XPrjMZ3B2s9nl3Xw+Gg1LDjdN3Kq8ryazkS08uWPH9R5dhcw6hDeFUAbZec
TbIAOqbkMTUK+JtkeVNAEQwzVE4cN0KMxa2fWjAlISbQoSjgR8q+ysz8Ng5RcRM5kSRZZsF7lqYQ
C2OEN7LQ2+QF9EPu0L3rOM/2tTxR+SVyoSFHAhPHZjIAr2yXnVuYhbBeywA+NRchURkGw02dZMQE
OXXHfrjK7BORGrjXHIztNaxfQzsE925KALoEd1eOvkGrKR1FVZ4g0g3vIqxcGcRnmoG3xvLuFWzY
dxlP6D2WFGU99L3HDoKG0HQIrYpNrmWKpCgasquh65qbEjXOwzglZULYnsmzBbqaHkuDrybxWskt
VNE6vDP6gNhc36vwwri/hygYb3OJaA6Yfy2eueX4IjCcB1hmgnXh1yt4T7WtpRj6ZhiqFI43gukz
TdFPpkWoM2GtykY11aheIQUPDQYK4Lnj55cCqN2lmpKlyPO5jzJsqB3URibYtFw9paMea2tF15ST
SLLB+6cyawtpPTig3B0/xtgMqcFz6xIwapt9+x516ZuGK524cOD+vFs6eGYiE4lWyApYYtrxN+7O
r34aqe9DFRGtACHOs9cnhF3Dg/UwKviSjSEyzoWdtie1DetDHIfZjVugAPmv5S9VL/FwJbF+lbX2
uYQ16GoH0UNnFhXQV6n8ErY4jizIHreiKBpwhb5Av55uy37VItyxGqbuoRIjyhcSyzUdhwebKksC
dsucsflwsJF+s+JRP4uhykpXbpbjHwCHodSZQIu244NTbJZfUHvRH98fo3ncUhvrh6qpt6kMrc3a
RWK59ZInhApHjPZZxV7Z1M8ALaovYM/bG6bjoyghtFt/QbQOMFTSQ9Y09RB1lpZ/Piiyn2UbPi5U
AwnUBvaDxWLKSiDoLvCntZeyw6ycx7CdiAYLJosjNJgR0WxcClWX6j1km8paFMXlSWJ5+lRZxIRN
18fsewJdimmhF+7N/s/8d+IodfdmVoI5m64frNNE5CWDgz49z0zf6TCniKxICm8E4b6UxdPW11BI
fqgUzaKlAdyx6R4InCECz+tWxHUhqZAXTEpq+VaWnn9ozc6D490vvuX5TrSHnV/uYhXWpmKULAzW
ko1aOPbAY+UF3qWZki6C98TW3P2HhraNkZN59Vwz3AJhCM95n6BhOCUiJ+p0dtlINpgwqoVKUKE3
+D86ikPm3svRTY844P/lkNjuiK+Qlf3nYeomg+T2sb/lMtbA9adfJ3qLkwxZrlaXuJ5wFLgddaMG
AQsj5TWYkhSCiasoDq4LY2HgdoDX5RDj+tScyzCXr5ZOIoeC3pkPX4MfmYNDG6uKnxcOmhiDJJ2s
V4NQfJilROunQ0VRnLiGdfRgQQQ+HyrO9uGIRNW3TU6AxueG6VcNeQjY8XHMzLcYeVIil0Y7PtdD
EZ/tPiDgRIF5s0nwM8p4K7ZR5itPcu53F1stf6S+Ij91ZiY/qX55a5hgb/imQbpAOsjXr9Xg/7LK
Wj2bhJa82glD4czJrzFsBq9BIX0Fj+w9iEY9965uFpp30Uak8DYGUPclnXr25WvUKfqz4gbZixId
RRe+OcmTXFXAL29+GQ+X1lPiaz8lkPup3UqPSrJmNa6Ys4nGm4qiD0BTHDmu/VuOOtRLbWyXIJfi
18Qp4dFWtHotilpbdQcN1dRNrhsw4q9Mo2m/IGMFdZHRq9sAQOVr1SKLIIPX20/4yldCwfKNmbj6
oUcy856b/TMhNM27kX8f7cr+akh2fUryAOokU23eq5FACtky0jskOnDp+u0fzzLrd0K21M0YoiJu
Vu6zQvAZHLZ1R7wnudCvtyPSsOCF/6kCFvm38VOdalhExSbjJe+ccoteWw7DnJU9J5Jhnqq4GeDc
brNnFcT0F6TfV6JRIoztmQiMryB55auoMt0K/4Ld5XtR7GGTOCrOEK1FsQxt/T7ipRMlMWLTyVcZ
rjcVRPTZG0biEjLD184lXDHAoksXFjYzvWJ0D5sNsXjQekItuy3czjqJlrZ2na2udAbPHWono8vM
A2FM8NrKRbsG4xOcRNEKZJMwhaA9i6KJEBE6kKp7EcVRGr7bfPNvojS0yZ35Or1rIfE9bu8d/KCT
HuOklq+BC4zYd5Gr6tLiTqDPFtqJ9jF36pcorOUzwQrdo6rWvCohrPJFZF9EB1EPL+Iul8rkJqpE
osNyFJgAGMpGRXA1Qz02Mb1H0T0EjnZP9ceqynZ2YxcIFpZbaMzzszlY2TloAMtNZMH5WZJJqqaw
oZmVh03otJCOm0H14CsWUuCD8QxDWPwuG4WzhTczP4giGB1C6tXsNdd7KCm1lliCqZvSDu4KTj+i
atIedWW5JlC8iN+Jok72wPGtnYrv4900tHNqS8aT7ifWNY8MAiymbvUg/x6IljzyaVOuLOsU1IjI
2VMyKrG7xoJXEb/7T93SReQMqf5dtKqy/7fj1ZoAmMYMH8p+rG69VBAundlQ3xHVpfMl+p3K7ove
d+ZrZfXwA6Vqdkl8zYTZuIiJiOvGr21hP4quvRZfykBz3soqlTd2GRrXOHcQYClL2FLghX0BjvRT
gvxqG2Zrm7Chi5zzUtl9+L1RCBAzNLt6cPTGO0mmFe2D2JefYFUpV2J4a3yTc6f62eA3IoxID+Fh
HLQDNtsc1t3ceHRMOMd53S2ILZV0FSVlBjMuHFWXnDn1Yub+pnXV8FRCTv63Ye4jmvOlFhwJwc/Q
+G/k0ZPDjWj3iXu8iNFCy6bSLIATFpZ+nIuiWXWUqN/xagdzT09RHw09Mvay2YHdXoYwLP1sEl5+
snxD2sZKpiJL1VkHg3jfI1o31UXRdGtnRslwH9Bx2bS1XL3wNsqE/tjWN9bOj3DzSH8q59nuIpak
fWbsHp/MOtN/gkmELFJnnufp46VNIguQijduy6Iob6FalwddK7pTYNcG6r5ujixBY8GPRbAqEx/I
TDWHFstt3ffQ61+iQJd+S0RazidKUgWquMz4NcTdd1+SrDfFrBLYjpXxyTfhBmeJ4j0Aobb3yUQq
LktufG7j0NhjDogfbKBAxDhXBvYzJjLTHf13JuBvgA+lX6qHDjLRSaywWYRHnq3/TmBGVpv22UOa
o6q/tA0xy/AUV89OzZ6waQvlgbiNhvAcFJbAXVkbjGuue1BVDQ2q3pooDeQYtTilSc4iZ1klLkAo
EK5NBK0L+jVfFKtzntPYeVOGULrqreNwDaDvLf24PIlio8E8l1phc1TDFmIqhXXZsckJdcsq23nx
AKSvis6Xr22Ruy9BOb6rhqfeRGmcIsAt1XgQXR3FOgeK4d5FyW+9fR3n8Rc9U90Xd8SXmBnVU65Z
1ou7793Eeg/5VO7rXq73Vt153zJ1X3al+S0nIgvJnKI8dF6XvSFzt26NwP7CPvKCyEN2K10J8nwP
8EbT+spqrpsaggyPM8q6E5Kl30N2NPASQbymBdpvIXdoQKbmW17zsnSotFLbFGZj7DokBW/NlPBg
DJsKbeSNKIoGHLbZrRpR20Ky+kywE2f2moLoBgRHV9jusps2JSZUvGdb0q6pVYxfsAK8NXkwfBuC
KdCjBs8BDxSUe7H6Fo7d8K0vA2PdT/XBVP/f/W0ol5b+ru0yDuFp68qzIXz7Z/yl/n+N/9/9xXnV
ogO57ehbPTXCdceG/THvhvJRtXR1b0510GWUj6IhZfM714kuEEVWj/lU9+lYvpzQWUnOPlT5JorE
mNCWTlHJO56M5G+djHy0k+q7pZto7EPHWZUleAMvf5CS2gAwCearV8rO21q865sWHptN0ivZg0h6
nfuVta/qSqmKrepH8sUrAOIxSYkCDO3ypZ4SUTQ1CdD9XE6KTct2Da7Hf1pF/VIUR4g6uO3OaUBA
21I1j7SUYya9sbcfci7X9xb5DxjJnPcIPBMPVZ4eHRcsqdpbXwazdb5rENBhLXS6B8O2ERyN4FvJ
YjnA+wqaGODxscqlnaY641cYGbp9w6iC8PQVWNZRnMNPCOdri9q4ooTt3NxGwdE1jY14xYPKVXsh
bsRAdUDTdmpV9ye19OHsngR3hKLOLK5j+BngXDZfokEkLVzdW5sgK5DorXXUYz2HXKd2HxMrkh4h
iG426sFBRiwaRzhdNLhjICG39BVLEHAxYV/upSJp92z+oMXX/hR6/Q2Kke5rEKIEHzV1+xBUrXKQ
wzo5un2s33xPRRNDysfX2I//EHSY/OFgHzn4k6TrsGMh/fuInsxe6xvvVmRV9ZhNiSazPPQz6BKn
Dpo6QZEqQjaMOr8pMbh4KJPlbedkzU30F90QeNoiGjkggAY5TTRpshMyj5ZsGz16kHWgq1bFd0iH
EIgwEEbTGrnfoYNW3gyvifYF0JprlACq0Hp9vFg2kcWg482zlXTBMYPK+OzogXHE7JGdnGHsTknR
90dJDvJzomUI+7htcIkqF4qnzrIvUT6g9VpiJAmayN2FdS2jwCCXO9vJeoCukC5DANXe8U/k2zi0
mkcXtid4g4kdZMYhGqho26exQeoHcef+OTCgR270Vdv4GKW8TH6p8EGv/V7WXnvbhssb3tOvaM+0
qyIY+quLDhUU1Gm8KQY/gAkL/ji+TQA+3Hj8EVX21kWP7A3vdQWvTTBh7cfgiVjSP4Epjz+kSPuB
4Rd4ueFhKPdsdZfUfJzdTt+30wh2iH4HcWA5Eg89GypzgKSTEJMfGXGJaqN/d4g1YAuYdGe4Uft7
iZD6xMY/QrpWXh1jaKBC5g1gZ5QfkkqBSAbyvv4WwtbCorw/pLoUPLuSY90sBTStEIL39RbIneF2
hzbuhjfdZO+kKN6znfGmKEOaQRsg928BAYBbL+/agzhKDaNjqXXKKbWUboMtMTuBCArZqk6RwYaD
IIdbr+YqfYAQUXQRuQ+V5tQiKj+3LN37RPATcoJlHFFXFDY4NBx46wTFwJuR10g51lLz2iBgeepd
OYG+gkuSwLeN3bID6TEVYbRztkOdoXM5FVV9ALSkG9lRFN24VFagE8MVIg+A5EyLTcGUqKmP3lOu
D/m5d6ICBQtyIln6iJyoQ2mc3pVKiFKXEo31fzhuhDAqB6D+X2OL4odTW+gIHFkJrT7ULYeI8/dB
Pp6S+K0afP+ZOdddZaFlHFUXbEWbak+yY7l7rfOl9Zhymy0nC+9mkR1ESRyka85T3STO1TCkA9RF
481pKiCFdVp/bXurWGmd5X2vPekZQJHzS1eUXWozHcADvvaUVA3oAClvk4R/MGY8wA4S/iiCMuSz
U9Vvk9z9OjKa/Iqd+yxD4n4FKFBcU6Xwd9CZjqtIl4vr0iBaWWD97acjyZPV1lpuXgmRQbl5GkEc
IjouxdbsrZXVlfgs/3OST0NLfQReSHVfY2JUIcycTrIMIIpxJx9wfoWnjd1J1qXpPQSIkA5F8UVq
fSAkqnXXYXK8x+Y0+yoZEQa6b891IH2RVIrtg4Wp4GrJCJeEMlT/c3GqQ6m7uwZTIuoIwVS26KLh
BZlalwbRT9QVpZzs9A5VAFGsTS3dBtDCbJpwwLxflD8CgAtOJpfvijcAf2vz4dXK2bSXQ+U+pWPa
bggVax/VJoQN0+qTB1uDVCWExO06GG13yIiqhcExIGYf2aqjETtwgkyzeGfJwS2N5WKXsNe9y3Dt
YjHAeh0bpYRhPUte+HX+Gpu3/TUyYUAxRl3/hqbom1vF5s/ccE8yhkwPJhxwTVEZsZR+yfLahL4P
IwMOjeZPPzgXN02zn1oVfpd0rNTMlgTQEzVkGC1qWDpUCwaUnsmYdC9u2VVwmrOBEK295ednPwEK
KFpTJDwvbjtWK9Eaxn6C5iWccqJ1qM34Vkr6t2gaCY9H+hCXxZNoC3UbmxNES6zJg4e8lqVbiJIQ
ec8YgweRE4mceO+jKhfHpUrkUEP1NyE6PvNRS6tsJdY+xBG1EnVW5UM3aVfgTiEHXS/9lvPIXXKt
9Mw8uaNK3zFElQok0lMfOTkuIhfniRIrZ8dulLMMjgrMeqDs4xGqGNEgkt6GNWgtTX1KSRqK3XKM
4ko/8zGH2e4/w3zoYlghGDIx+DJai0zHurWGfDOPK5rdOOQUH3qOpiStkcPSN5rpAASbhpe6Eogg
CNYPB4qG+ZTiB/qJ7O4cXX+d6zTxC5aTD07EI+hajXys/Hrzr/9p6f13XOVX4sHbMP+G6SqI3Icf
O/24+TeJlvmkTZ48hBC7AhXfG7Utn7Opm+jg6iVmHpEVLSIZxOUXWd1uoG7ofjh4hK5S0+1YbSCn
1lfXKgqKdYmAhRcANfOq9LuRVQMcesQ0tvLR9N1xbznNb8Jyh00MsaIc/GzVCOlI3USPwoEfzOma
ox/Xv8rEdXasmc42FKZBoQYbxRwmKlvnpykhkR02K6lkIodoVocO33awMVaoW9ll9Mo+8wAI70Wv
WmfV8trB6zE8l25BcHHzong9gwHzgxE7urVydbFC8JcFUU8YdLYx1q1MV7/7WXeR8HoOGZKIAxQM
+eTwyyScDhF43wM4YrapTnQOJOWxrCPpLodseXP0jO6Fe9ZZiyAvN1V1fQtMKo6uc52CiMtqzLrk
uBzlYcnbJCWUS+imSnfRAAbtez2CuCrqFijn+FQVT1Wsd/eOhVBtlXChp2zJu5GQEcjLQn6I9yLl
iKygkIPsQdFYMDvU/aoHaqo7xBsa8a1VehTApmSI3ceyA8efZGfL6wyi/kkyrMVrMGb9Ts3gGhN1
KQwM+xGVNQym/9Q1IwsJKE3VfYGKXmYb7kMyJdBROLlV3GsTuqa4hhenZw1zH6ckiLX8YA/WsBJF
ZhDtHsJGAWComquW+srUvwZGrZ1ElS0VKrxk/YhcaJVtRZ1INNVVcRPB2Si6fGiAMU8bqvnEotpQ
M/y7Q5YexYlFnet3K9OptU09lHispx8pGoNITs+GCQHhVGVgVr9ZlrTpPD98zPJtBiD4XitK8IjP
/E8fFO6xU7QrROTxpUes6i4Se4TrH1orY7fUxUObIuIGM38kS6EEpNHV0LxuTpERGXeM/cZ8bBOY
2zFzUT/y6woVLZtNmxujMTQaub2fyygkFbsyi/U1cb60+7mhnqfFc1jZD6PD6qAdC3xFRaPfHSeS
Hozg7E0FLQj/Jr1RvjdYLU+DHk/bQvA+qP8RmLH06yNYjuKRqVcMZMmZiXZFcEfwrrnl2bCZn6gx
DzxijesVrMjVQ1Ym3qOOkexRDbOn3PX6s+gmEpZk6gpZoPwgiqKvAsv6xiiIHBdHiToQFTGQhOjK
Hq5fO7Ln3ONUc+7wco8nTWu+eW4JS8hUr1pJi5JUuHJDG+S/6AYD5hHPvX8VPVj53eVA0c7ByPOX
DUF9kDzHvAMWte4oiBVbxbfRMuhH6y4alBpyTznHOSOKogHCFP1WxCwYUd6QYI71a1zJmrZuA+bf
qDUuS18f2yliZpW1j9Ui3NkDERPQWfqPOWiIDfIs0VazYEZbW3Xh7jRHgzkc/pZHqJ6DR72uwIZq
EfaDHnuorcWICk1aJiJh7TKiloWapzr2rDZyDzk8CbEQd2LqcyEe/pubivDrfU1rtPzQ1nCIv5uk
VVzEoU8ih1xzgv/6VE8ooWYKYRQ5kXQiUHJK2NQSOCkqoa5t9o6Kx7sPIXzJhmd/Drya4rxllt3l
m6yOmFlqdrET8GFJWCMDdRDlRKAeWj35qk/Ao2ZC0pTTT0CbCOSRKfBHRgGxG2yQGAXg3T2JRC3q
fkTgqJz4N/6TVWPnZxCpcGBUKbSPorltRxCiIhtCOwPlfxTi5oA4H6cdLHvzFbMHJEgieEZC28SF
KK7i3AzZy3myyuzhPkHuAIQZ8AV9Kw2aBMSu+T00+i8Xtog4K/Y98l8bQ3ny0HU8ZU37ZnFZzwFy
YLta0b/5g+5s+ymqNmKYzDkz4yRb8X+Xqy1y4g7gw/K3use1klBJO8uNuikjTz/UCLWdTC3Ljyab
hKgIy5UkN/tON19i/rVh9CD0AXXI3GEeAaVkTW5DSD9KxiYsATFPoLR0iri2ppslcgmkDdsCWhC+
u61yqmC28AoTR5eWw8QXxf3lw4UBosx1M50KCkVLWUtS4mLvx+BW+MZPPfGlrWZcsq7sT5VvdnOi
6UF/ctXpyiXDt0RRixOQ3+LkpAWk4yKb2k6rbEVWSK+KnEgiyy2IdnJgw5hi57NJjiXXCgA6LDr+
9cHKHSs9BglEABNGdPqbIhF/eCk2iQazjIJupjthmMYpRlFcjkxgTkW2HjF4pYk1bJY7I57TpShy
jtIhbwWAl8k7gyeQRJvC/pbEaHR/3+jGOZpi78VzIJJgKna4OHZjUF1EVe4aiDt4NqsRIWvQCkUD
U2q5v22WfYmVqkR9VEvBgE2osTlrNWp3jCD5AiTPNZ34IQodGQORiGIYwEKsBNKfkiVld0YYsl6N
ldWiiiKF/dmys42GTFed9cPKS5DW9dGn3sh2wS5Gld09tp9fTtw/K/lErMt6BN3YDME5oPQDrvOt
mrTgRqNrkhX+Co4yHKVj7l9MYmGuntus8bdXq25IbonCJyJ1CmPjwLJ6lot6zZSR40LHspgXzRG6
gWlrO8qPoO/Vw9ihIGTaaNJaX+uyTnc6Thii2JsWLZbK2wU1QpR6upLaBP8IYYIbPrhMGuGDrirm
elAGaetKNbIwrbqD+x96uvFF0+NjmufY75AkCir9vegKNAuHeAf9UrA1APpldXPxvVJe8XEEmexn
2aYCkOE3F4hfiScJcelKMq5XL8SoApZqDSlbsOuKSSO61ojCxUSBc3o95mqHvrFdbXIoKiobW2Pb
/6ksLozdOkilcPzYOhdviMJ1gMCWm4YyvKZIlAYK5upWhvhWC2HHRzSzaP+ELohsmUiqdT8a9t6F
60bK60Ot+lwEeOgC3eRK6z5Y8arTiYvpXh17Ml0iBMl6rPpl8eme5hZFgTvGMo9ptNekASCwRLx/
00l7VhTjGv/jNxbP/tYewO/nkhnBTUSYjj2y9tTB5tjQoxG+yR/3Umc4RPZjDwXSAY+nfCGYFvUM
GwUGOeVG56B0wcw3HoTBtmfLaG01OpxToJ586U/toi1T9tfpCVJDs77G/vjboHGdVnwoCzbZkuXe
MrX5WSSwI6m8omulaxFrGjr8jb6FYo4c6hsMopcsqlDANcGJgeDexJgTNB1Q+BjJ8dqsJ0oRuJZX
vVp/dflebGB5XaHLjD5oggvH5lxm4QRwQoztmqicAUYv49oU0i7xKvdxgHF9LOwfeYyqnid734dW
2tU2G8FOaTfTArA1Nf9MrNzOcPxfEjysq6xHm1jpxzenwGCBAVKRfltIJMJrpAVHTcGS54TyI4wL
9lob4o3rt8+DYu8QwiV8xCcUS9JlvK3skKToZ1QozW4s+mYz+HG+k+xXX0rTlREm7raMU+wzbboz
TCm7jD4DdjWWwUBRHrw+rKGmHI6N/J2dv792BqvdNuVTFSHVWqLXhT1/azr5u1K30LNAkGRriB7X
7SsRuRpkR6G/RsUzWbEaVNYj/KsrB8HUVT30ySq0/IOhS/KqhbLLDPVXiMQKnSBJaL5i1keFvElD
1FdsGENlpTkommfQNnz1nPa76xUlpE7Zr3B8G9UI8rXY/0lwbrKp1BckFF9a4iXxusCW2p0dKFMn
30bdN/YGW1s/NBYmM4KATVf9g/kGChPzPeyMW9bjtI+di67SLVG6qyaz+mdOD7ctqsN1Xl3csUFA
Nh32yPOaqMum/mH4gXI29urnKG2+KQ2C8nI93PWQlX8zTnS9GYZApNFx9OnM0Ckkkw0xwxAbejwT
6zJrIAQLv7dcpFWZIwosadIx71lk+bpSrOs9117exBYGfyQFzlq+KxPDfUTbsN7i2gnXfWG9mH2y
0dKGiUCChjaO39C4jzeKg8O7KutgVVXJV+JFATnW7KH7KEAviehNs0RIeNKJJTK631ZS/AqZ/yPU
afaq+tqaMNAVQQTuvjvagfork6JfSaD+rAoNscASZn6ZPRQW7n3aNcPOTnAWBAqx7HZMHJE/eG8K
VtA+geyvG7InOSxuxWSoSofJEftbqyykFzp+sE+obNXqK3jvym0vmRPcOX9o/XAVZCbWkilQt/D6
Y6bwUUiIETIh74PrhVnT9NahciyT4MEiEGOVx9ktibI/iWYdi8L8XgVsvHr97ttxstHl+ECgCvYg
t0avpXPB1dvdqUbNzIOqelMQgb5ttBBGnq6NNqaEGr0q1cNKMtJ+42rSTxtmI99tCUQPtK2OqJRa
W+Z+6MtnZN5wQyf6HivA3hixZPrpS9rLOx1V753tm8QPE7MSGDxmUvbmyFl4ateeb08cYl9azYdt
PH4dxjrewD/z7Jfjz6w3v6rZ8NiaazUxi53p9dcRas7IhHmuQn9SMc1rBo21nVXwDGYqHjW9Okau
S5i2ue8CaWMHaN2/D0H+zfHiZzNvLr1JTKPcvfp1fKiIwYl6nomwrnZQskFN0158iAMJaIMYrYyN
TZSzA5fKjVbyfsIqb8SHoso6jLgDnHHwQ0MagHaFZ3wb6v4b2tTJyoqll8qGyKYO1PcqiX520Olp
Rf8Ovuw3YbvExWr7sQ2OjZ48D8DI17GcfckbyMsDeJjaiIhqrseTjojYPsMNQMyfhu2oGvc4ICFT
q45e0zyiaYSGoI19vKv/H13ntdygsnXrJ6KK0KRboWglZ9m+oRzJTaaBpz+ftPb+V9WuOjcqCyNk
S9DMOeYI7m8rWqwpuMOSsU3UuxRY/mKgvNCEIvJSl9g25Qezkw8Z1jwLY1b2Svj+ZnT83XvRYtCH
29CuHO0Ov/0MsvwEPSImR5M09j2hGOUJ3TAUPhfbdJMrsgpBdkCFO/tbL7pDpqu3nj+K1u+SQMLA
6TN/9Rttz8r3BLmsWvS9y0cfnQyS6Uvb3HSp2o5luG63rZLrlo+FRYLOn9nhuGC2l1D/K6yA3eqU
gFJtO/LU9JZgsdE/ZCVen72VMU+Ra5Vw9Sov/M1zIpQz+GlybC5O3x1Mv7vvvTwgz+Gh6qIPu6Bv
REJGdIPK31009fiTlkPAaIaUB0H058y5wUQA23hJ2dAYiopmXHmWDsG43wj6jJ1Pt1wWJ6JHG+qA
RAer4nLpL04HqDzn3rjAh+ecp2O7qF0cAXUB4cgqoufSyX+rbmwWRZerZe33JEYiOmxifTfo/qNr
UUROMc7ZMhr2VkuVXfXhR99x3c29uXYw83bb4WiB3uGcki2xuHO0nGloHWIlCncKy90LHoQQnSIg
NAvssBksPmSXj5HIk5kF3SiWven6CP49bzGkqlgWT22BR9SQafratPBsaJvkkQD4LsTbnhscleSD
/6OPfX8wMCKjG7O3Xtg9a2LCdtPvP0SH0/ikJfBe+o+m9dfRgKVom5BR7Gf+MgciaBhw5BDjl1LX
uHgowmqRBnUEItDregFinW2LefB2hExe3ATzHu7g/VD9GB218aS4PEv8ddLkILSShDmFh2LK6VIn
jwbLzxJ1Eqwm8nvmpD5ESflHyGi8EEbPWMl6CVuPoBL5ZeBc580NKgmDRLAw8cjnlMc+qvcOxWLU
ydPgMzQkXwSrqyMColdq7VePoUVgR9esCHP8nmw6gMwbxpPnc6txpmXm9deEQe7mDgFSaYuPan3J
zJqrQwVOM+tneyhGivE8WwiPGszJ4W1Eyd8Ant3t7fLqkGWP+L2N6sUu1cow7ZHCitCMxMXbwenv
NTVWu0TL7q2IgpxMWmnacmOBTNX1rCho42GDSNtqnWIJIPTixNEX/lZ4p2Zw9mKj5grgpNH+AP0+
kzLbhY41kgzcMa08FRU2Zljci0UO23Y721GzbHHE9FUapLN9bHofbmr/a2t3RC0fEoJZJSA0ho9w
77JqhZTxPh2EWOuyfsdk4a6XM47P5dWi+aMWBFePvoFYv4xfKuFSCcGB8gAJFrUeUXeWCTaTUNCl
t4G0ZBMN6aogdRD3OBOqEPsz7bGAHNREZrtjroU1PZu6c6hTrsCYTzgThEowlfy13XBY5h2Ow8Uq
NpxN4owf83gHc+Ylh5G6IBekXhUGnxNR4ieUGNBGZvp1B61SN10hePui4cx35bYFuIe8me1eM9YO
gUcL39aeRCnWAwa310WqXOCDihRqgkC9ubrLkf6RsbBp1h7rwPchtr5MR5vWoTlgloyEFEdD2tM8
x96OitD2OftLDe0AhQmxiTH6FWr8LonxSMqsP8vp5MIZgfttXJNYN4EQbewFTf0h8XQTVzl3mZFy
utB8zhLXNj8BXH7JUK72Q8bU2mRwPxFVlJnGI4Z9xRKqDAJKy1jqWWlfX7BKwIiXpslg38s2wsaX
1hjHrWsMHnVAWgVYzbW4p3RvqVFjR93ttYSzrWzEos2rlzSXyJGcO4wxl3NJ/aw6n1RfQIqFk8cb
ReI4rp3zyYHCXomfyfC/q2JOlxDZKk7T/sGV6t1t1TdOott5mgLHND7KMbFxS1ZY9CK+CMfGxp9E
yYA5iF6JpyFzH/rWQ5aRFsfB6xmg1DqDbP89tTsS7QvrOewee6Fj1Y2HKAliJO7obrgcY3nMbXEQ
hsOlG3XkOTHHaHT3XNF1DKVUyzjR7wkceTEHUjH9Xq6jeHqMQ3uAC+g+MFAhwCUN8Wye3zz/0XM0
SCLm1Yuv6Mag61IKbApM7OuiZWqWywkXW2LOF0PTM2+IN1oljzJ/wTbPZ9gZbjkng6aKrdWYGnRi
g8GuZiJXmulYgXfXRhh2AvrBXSAb3O/hnEh3pWr9TctzRi29uQlHPPfGkDC8HBu02u2DaOi+4xrq
vW3tqC9amVNgKHdhU1XSfamznu2opG1ch3NSqhI/MMrB4W3IQ8h9LQjh5sraMgLPS38mN36LmVNO
U18E2oA3YOqb086dLqVI8lVobnLBQFqiQ0WDGq0ccmBK0b9lMroi1HT+Ycq35jtNwA2BWUljgLSS
V6dtUkSkk5O9jCN3b5tU73WlKDkGp2NM2DIejgmJ9l0fD+WfKiQjI4urUxfFa4sgkbU/jfsqM79y
DcFunOL8fvUbqrtvGEkvDMTLtQZHZVFzxa98zaU39LmUlGpPclr7uABPE3A7fK56GWYR7mwlssAa
JULOVCtt0f7lIVhIkvyUYX7QXQ1T87QiWSi0GT0l7TbGYGMBacldNKX5oyxsp/IXw3HlJiqND9fQ
tu48gp/4sHms6qcssTrFr/sHv5lPKmq1rs34NGM5jLNvlgWkweJCMJ+bmAjX+5G7KZcigkP5CSUG
6vfwR77lKfSJWE5YowyCzovBffWNcT81mJHgM0eWvNWch0Z8Sr4sLFEeksw3N9o1cjmupkNu67i+
J7JfJwl9mk7tX1XqlWsUGgik+uty6KyaaNrwOqbgfYTxbbwjVuglM0xtSQLW5hUhabhQdQh76Mcf
L7VnXcC2n92ip9qEmGrPMM6IrkY6sc8znzaVJSq0KHi5NiHZgvXWDfSad90xP2oDLlUBZwLA9rHk
w1tIZT1oeQZkKKy3gbmlEalhSfrP1U/Fjw6xLZ6j2dkaOQW6iAjlY3WiAsBpjx7WM/FurXsLojFO
wgBW934cPVS/LLwhkx+FsnKMh4dc0Kk5DXqaVBGLIvS3uCGoYTJL8qDUMwak+RoO133qDgfGCgj9
tPwk8qhb0gQe1NW5dbKejM9Iep9u3762OidmZr+SffFkOnIpInIKiQDGBZwg2emubbhakHXBEN+2
lv7Wd/aX5g7gyjDdWovsulQHjEm5/7tzYqGYGHZ1f8pqfMBZAKDBXc2bjffw2rx6WnSYcSrEUvuQ
mc4McNd+V/W4rl3tNSeSeOHGlgpUSeGt27AZQs4Wqphelj5ScaEvbJHflWH3JQUSirifMaWE/tT0
T24u9lbhtIGp9dRUEvq9jkH1mGraUlzzeXvfWCEFJ4o+Lb/jIt5iXHHXJPFaz+yf2GvAqRqmgCSp
EqWYbMypOmUOgaJNne+qgcjUXq9WsMI/M6OFLmqS0G0nqzRj8Jx28N9CiXGwveJP2Pfx2U0kJGF1
kJqBv5NjxAtEj6GyHsMOCUUY/s1SezaJEhqdMn7Wsg88E6U9m4EW6bCxlHma8B5bWp3x7fbdzvST
p1IxWUcB+NOF1w87zj8mY7hkEl01aQu4X5X8z4k6TZk6lin0vDD6pIT4JFg1XrjlsLar6aOvrro8
nRu5VvgwAucS73ETth21+RWpHDdM8eKlNQHN6olJALwJmhB/+DaJFFkrD0VOnFJpPxaeEkzQtfc5
Uge9xkLal0eTJVy43qYrSy8oFCZ3slslKnlL8kYEf7VdfdtW/hVWFVxLs3wocGvs3ILFxWlIW7I7
7PH2s1SrkPx4WE5otY1qj87oydQGyOkof1FZbCeFLWFMNmia6oB6vRw4G+Gcz8Ja6sxU8eCK0IJI
FehBN48pSYlJtp4jd4+C8tMR9Uc+z+cBny/Gas6RK+TiZLi1af3SlyUcTC/amE0auKqHcKyRFpXO
J8RLd7jWzpvatlY29gbcfwzyKPPAM7m6hlkftmQ64KIPDXz0ekzW+acqy38cXcAbFzxlYVHRcRbL
o5W/9iJbEqB638TdWzwwAr+egvNExBTEEn0dOZwo6CdOcx5uQMTfQrc7gdyeQ4zy6RLQoeW1sSKF
aJ+L4qmLzfdidASNXkxZi57K83F5Eh03Rpk83agCkQ4oA3hcbenGngjVfqu69Jvu9xkVaLfDNp9M
5Tlcont5s6tDU4XvlAfwMWJKlBCg/qAxyGkMwlb6yc5WXmFuYRkB66WTRclQR+RDaofSrbQTveZl
LMB2595dk5ctl6XtKHr60V8XM1Y0s8izrWyOstQYEHCAlZdp3/S9iwkthEhCbzvOGrrJAstKQrKi
0YvuhkTRNOKcwGxfC6rUJrZ4sjdTWxh3Ws4Eq0aJwCTCpVHzYh15hrGZJr/eIY9LFs1EBtNoWMWj
NrWYxrtZu7k9/WcbNvQp12Wbh0sXCQdG/JXJvaojbNwtSrIMrulP45snEsy4CbBw3HEKan/alS6S
dEROHw44siHgn7pWr235f9azQaHaixCkDxN7WpvXOW/azUCF3ijuYUMDAJl0T+QLf/ZdflV2cfeZ
NbUTxuBv3PDPJbMzmHLjEx4Z95oWuluqi4ic4/xd6zFULS1Ke0cZv6H0uGiosIsw/LJS0QdARN4S
2wDhW5g465L/yWFZ8uq7RF1Ltljbxy4cvtD9jn3ze2ihb08swmEf7nBixiAdxKrzzYufYfptr6tJ
O9bXt0uuExjLgT6lcL73vVf887A9lCRLzDIYpvQw685jUZ2rVAyLNFdPMmL6nHverqkEkKZ7zkzU
5K7304w2Jv5RfT/Z+UN6HR34WgFsODZ7oUcqaBuLK8InBR5V2R35GHJZR/XIDL9bUlwrLmtrJwdB
oI5N97a1olhgNgGzQ3dwJDDcCk/UzHJxaIyaVWpX5yYd3sbiGrQ4psMmtIo/lcztscNpIwLe1m06
ZSvyucFOFvMBy1r5sf6WTO7Rj/7M1mIm25CH5tFwVoknWR7Tp0K9hlaCu5BHjxZHVrRAYr0YO7wc
xnIMPD+ld3ZttWCmukkT3bhkPqs13rF0t0AsY0E+lJHsRQ/64gziRI/97OjFpS28fKU1IoFoEb3h
MYKE3TM3qJn0AKIHy+CVdOgSOwRyCEjVB1fYczWYiNVNvmPzOm2dNYIh7SzbEGTKq8y9xSxsrXvO
54ySv1BAleHAcAULFSTuTNxVN9LDaeQueTL3gsxxDBRNw7ORYwioW1i+DGUFrQrAyq5+srTG+0Wq
bT6BMxu57e9MseuKrl9MEYOpdgZ8ct3sswfk425TagsJ6aHNy3gXpcO1gDbfbSQuC9DKCLuTsbnX
i4LBiml/ldfRU/hRg7AERqZRu3aHFswSmmxzFyEN7ClGHkKHs1KWgJ29ju5kOA3o6wI4KtXKlzYu
6RNjD+eaWNPXIH7J3CvmZZwwOCNkmybGpYLybjE2Wf9Qk5m+bIk3uhry78Hlj5FdB3kPbjPiqGEo
YE1qqWqXDjWOH9wR4lqEQd0n+rFT+rqgplxMLsrpZCaxXOhnvxLWRuh9vcYhcjfXqbtwMrmKTQJb
5oibQxSJdq/A2zMPgnuaja+OhGSqdy9Mzfj+5Qz1B0Q2TNr0Li+B1elb8alNHaJXhjVeDLhI1DI5
dC7z07oBtK+sUUMUix9k7herubO4Gav2DYuelbSv9WeJNG4ednbGSpon5at0ZmvrmiVsZlFOd6K9
zoQa6DTEb8Dhc7OGujYnTxztxkrEnBaaEgiwW4BALjTaLMd+LfKmCFxDhgGWKxIuJ6rXKg2IbJMY
QF0vyXM+8hbZxCVs5Y0dCCGueQr1wRbppXP4bEOjc7ZpkkFg4rJH5vPaOPzHtc1boicCiYkcljVG
Mo43XGzfhlicFQesPsd9VD7oQCicUXIR8q2s4qzF7rttaPd4b6Oa1gSNDEydqbJcZj0rx6vKII2G
raBxJ164IGK1F3LDsNjCI2btD8cyJrwFreyn7ojusTDD1ZBOF0uhuhzc4aUN0XpCA2o2kiAaluju
PCYzO2l/gpQgYJ3oq7Kcful6/V3EDBXg0DcxRokmYHOn+sG/mY9oSu8HvdcIn/ZQwAwesRsSYUJd
wac1QehMwkZ6EjYlZ7IdYrfGhYTqvzqKqWO5GaW5w6iknCkrbM45URk/Y2R/6ubfMM4/WM8QboFR
uF3fz62j44wTgkOHn5hv8WphOms9R0HByBD3mhaRCbiHpoaTYsbskOKTxsOqjbV3vxHeqjcaAteS
rDwy+XNX+eyRjieY6TD2CnSDSoc+B3EvFSt97QZjHxHgiZEtuW3vUiuc7pxQZ7ZB6yMklBw3Kse1
hhc8POSnTsv1dePd43FBYahPr8NobOdWBxUem5duYCLiqC4wI9kGo/INCsV85q+PjnHbvecOIzLr
zxySe49unyaYu+IwjFCNaAf6kQF07GvU7NsG3fg5Io9EKwmzJtxpqVrtpymHdysi1ysPj1kPt1L0
P8oD0K9SIHjYlc8doAB5bz6+v9IB/LBehpD2MMW9YYVA51O7qtdid9qPLtEFRZo+aKLCPd+eOOXm
qlyUUFGWxkDP51498dtK/uqW+uoGnYrFUVuDtWdzNd1WZf4Fd4P0StxPmffSGZtu88h/lHJWxSnw
i51vYixwIRsuMy3dFjqBzk1o3detn96VLee2VS8jPuTFVPnQAxmCG7Vvr+JOqVPlrSzYs0tvFKRt
9J/TVJ65w6ZUwdZCVMjnmlLCA6nWU3oV7Hb0HYS2QZCfq58UkRWtQvpk6n4YxDXQa1zaCT8BnORR
2Z+lgzJX+wZrVx9atGX6qmPtJE5Dy5htHuW36169WQStUdNCrBv4Vgx93kT+3J6T64MN+lbApL27
bXLymigjkIcqc/hv22sETThuC+iPcHJN1lKC1T3Nx8W/GaZlVbMOh5XxnPZJynmgX1rsJZaGabpB
ZG09x7GXYvYvURILVG5g2mVbqFUT0sgUCh1EumjGst7VY/s8uNW8MVMrWQ1NfhqhjDE7ZjpnNXm9
4eIh2NjrM3yER2a1TOIo4VhjUeljUwE6vLKatj8NlfeYSz5QOeeLojKaU+d3FRnea4+bvlfhydIx
3sB17NyEEyA/MGMXj1+qN3ARdxnLp73xajkwC6v2o6pxckHRRSlUrPzGPRdMxJbVLNqAonUVIh0c
GLHimXMN2lC/aTMtQ2foiC+8y5p+XGP8DXMxPPlzdIwcehXasnVmVnGgtAw8xlB3BvkDFDnjL0su
5lGud29YzUPdZ8AwTvSaT8w/BfelCAfpRpv+RvKD09AyToltDctOFtFay0lGqA3vz7XhaBbd69gN
4UJggxy4kx647cT6bM0/YvS2jUVMdvrnOpygc5F/1yPaWt3tqP00QozkFO2VVb00GWSKjpPLbJ/R
cez9BoZPFMarMGlw8ejNheuL76vihEIcd5LWN60gNN2DCfM6Z/6yGiJn50P5uUOo+GJcY8ajSmPa
XvIBuOKnzRFboiMqAV/XY+hhapPmz77DnNp0ySjCC+TOKafzYDE9sEX4Ht/DQGFVCUI1r3oT6v7Q
HKc+yzfQMnbTEJ6JC0H6AhaRGSNUHZdjRtN0KaT928zjUYj+TJWKbXG8z0L24OzUIAS160z0nN3X
6ow5ytlJY0E52xYgJ9a2trudMZKDXoxP2jQbxx4ukAkPeF0m26KhxO1869fMrH4hnfaild0MzpVx
M+BzM1Fm1pCeGi/ed8zSwNw+TdF1B4Ow2DT2prXWdf6yncvAFzFnS/KQ48wQRKz1ZbPBVmkHZ5Jb
eaab6Purj9whTiwcLRKntd/I7j8zkX11TTxz9psbVfO9iITwQvLW187cfkQWIGSaXuX0KRM0i4wn
s/SiQGBRBsLAxNbmYx6aYQ3xiRX2Lu3SF77/R/erqRp/GYEXANMC+re+vtAUbZUd/Y7t+Nia7m+V
dxdvap+YQoSBmWr45LsEZ/k4StUh7YAwruwd5qgaqcGOgJJN5IG36Iu5puXXmTq7obXHKO3LCJUX
1BKe2HWaJTvk+XRq+ZLYnd0wOpg/3E3WtHG5gmRUbgoW7tDR3qw++cPcTII81+Om1KG1IX+Pm1/p
thdypkCjZXmuxdoIuXOypuOu7G8LMeB+LL/MzIObPq56L4FSp4uKXAZ0p9U1fkabINiFxo9r/jLQ
9Fbx7B9HKGlLaWCNAPU6qXU4vX58N9qzsUiT+FiVGqmVVnFwUKtlsi423WTrK2hzNtWFCnrpbAw1
RriNVTURLPWjyYFxWOPyz8RdQ1Maoegk3TFGeO3XHSv8ZqrS37isr6ZT3c6SGv83qZzCAcWhvKUJ
u2agTerVmGN/D7IRjC3Z456dGKvRlc9x1dxbPUEQ2FTzZyRLVcB19UDL0XvbRyejFaoZlwfJpBNc
ZWUHPPUeoH9j+jdWTKxGhhgj4U4wpzZ1p1UrVZ27WTf2shjWSmrRss4oyqp2W0qDuhVMOJEJ394o
V148H5OCBSiMa7nSq+4u8ghuj3RiF2AcGb7WrvxcQ648vOVjs2qGlhKgi+41g6JfyfInYqBXp4RR
+pGWLLXJ/HS6+iz0blv4+bTqDOrdvMsc8CALsVCOI0uo7rvI+qrEPrJYNckJdBmH/flwHEphI3Mf
/F8yUj4Bv0TtvTJB2YzEwKFp2Vs0pXFEGTFG5hnByjlW+jlRPWwPY1dFebE2gAecwrkfTf9K5aEc
rWqCFCe4rlVjXtoxeYZhSTmKD5XdDQg1pHOSs/UUWumjYE1Ze26/yZp541fGXcidHLFo0JcMyIim
XKUpaCSJnWnSLMx6tJbQKHnmRRQ7FbyYtgA1R8udlPFmGoy123VUJYCNPpkFi0rLD2JsfsJ0+Mla
ZhXpvDDqx7zuey4aJH9h+WbGzk8y2r/9UOLXby4tPa82mN8zL5swVqjp2p34C0iWgX0lG8Az7WyV
83Nsu6+pO25109rVMaWq1pkH7HeQewg4Oj03RLv1+sXhzxDaqtYrbhhYQwy+WNs1d1hdfTUS28Ds
S1iCHLZsB6j74LggcXlXXubQXzbTLDZxZ7z45LDWtf8e91dGfBIfNAWRAqIdKRDFeLALck9LE4C7
8F50XNz6sDxjeDTAvBqe6gEsposQw5auc0Q4RqBdWD0WCBkW/jwdZO8vk9kmRYldmJgcLHxSGLN6
a9trHi27+Gxasso03cVrH0KaPjz7AnjZ8pEV2N6T6gwKNnvJkssEGo8EaLjiJSOgE7kJ9mK21XxK
vV9qsFRrUkPHxDw7hktmKL6BKZh7X4Xb6y2PucBllpm9ELFEm47UJ6zth9pqT3YzegGzRtpuQusW
Wm3d573TriScHuXBfBy7vdkzDY4YpzTaN04ORD2CrS5Ug4MkvFTT5atVzMvz3KAvdXdA8KyNiVFx
X5s3vdG/FjoQGK5IV0X6RkPY3foORQmFokKtch0D4ieVYDuhRxPgANVv2H7UnrHuG3HoXRc/lIpk
yIw1G0MLtwTQ7LujqkR3NMqkPwJAzIz1lLaFPqIWrVaNu6IV1WMqtOyRtvr6821D2aJ/xKeI26YT
4gUZxpERNLbebv7za3bUxmFFrGF9vm2CDsAcwhbv/x4kVVHKOu6NK3tuq0dwmPoRuthTpWPecdtk
Ee96qn19+88O171yAkzX/LXx8t8DAaSj0lemtrvtB9l6fBhr4uuvR709oC3ZxggqGVvzl922tU7b
BTDsbGxc/rstT7zAwNTnfNsD764JtksKoG1n6izG4T8P9HYPnpDq7n+2C2oDrHQUA63/7m/UDi4W
4sCc1Dz9uzknWu0UwTC6HfS2PS8noqdi+55eZF2ZdXifkun5XIcQp8pKdXe3p45fZtcMuHmVjGn/
7DdRvjdrsEQZqZ47R+c9kIEQ5MhvukC641HpLL63l06N3wYRZL3d7Wma++kGYYNY/nPgKFQHsgoB
za5v2+S4zmXGP7ve3srzqwtTF3G8vZNKiGycQy8CkGB31dfFlnZaC25PE5SnR+WbL0Wt8Xfo+tmq
jfbpdhyDVwJlNPXhdiBbQuqrpR+ub7/tUjuY4PSiqsnLh9uDndfNOmu4tLDKiuOgd0q8LlTRBrdf
w2guH3jDZNuQwcwqft2nSOYY1hVDrX+Pk7XTSD8gN4AU5rrrrOQMxB6vSzXm94zgr8yBqnrAos5d
llEyPGZYai5bXBWepqZ2ghD1zTO1VxNEyslfO9A3rjtbXeIZPzs3t903OdpykWt9+SGa6pdQWeSS
jbx4Q1p8j5VENphaP3KGyJ575V83UlEUzFSYcJTBoFcsHLN+H45UNIvmAFoFJbfAhUY4KfQDookp
dwb2nstNzCzkl0HE3urm+idv3AcXhv9XotJ3T8bNp05PQPXW+u8ms9tFlubTOqkiolF8o34gTB5f
zdxlCboGLt+2RVmFpHLWKH6Gun64/cKIDJdFIqxWt6e3XzQJ4FAa5RrlDof6Z78qGlcOFLPl7Wl3
PUDpmt5qGD0c9f7vPch6LqFPM0ezVV3Gwdy4+lqzDFyIr/vcju8zE9yMtT3886fefiHbsN/IlpnW
bZfb8UdNh+c/xMz7yxo+G4r07TxkxEUyAj2TFlRs+9pOiQSt4iOXmbbqtDF9wsQgCRrD7j6KXDuZ
dqUiZsQPsxfGf3Vhf0Lw9i/KMT0ikDtks8rNQVX8eq/J0tq7pvLWNK8D139hMhe3hjcVDm92iZVL
bK9QD/AFzdn8IN3KeR8dswyiSM2PvpGUa98psNsp2uEOdr+3IbU5PBNr2i6tOtNfYRSmGCbF97We
PcrZNE9WVWC0YDmK0QSzwD6L6xMnDoOiqMxOGa3TxsJr4ZhlIt/0NS4puWTAVWRqOma21W0sCatA
Cob/vTCKo9FP5gZnm+ho+Kaz4UJxD1mGEKBkweUqu5OQTjYV0v6tZafxA9UIJZ3hOt9RfoevhPPT
0Ycv2i6aHm+7Jvasgcr8d9dxaP9nVwuZ86NOxvdm6GxW3z57gj2VHsg+26gQb1PcloEzbtsAPDdD
Xal4pYgLXVaNztQvVA+F2ZKsnIbzykxm9XB7IF7WDSzsJNa3p8Z1P2NAiRtZlb2pWNoI7k7BsnH1
iXZmUo//vC5OAZU9M2zuGIL/zKT5YVQF0g/X/76rfGxv0CnRDXrbkhQVOJYKMTC6hAcLV+ElpJ1x
ddumSi98oLqHo4/jJjMh9rttc5W1VBP2TLdnKg6LExZl29uz24HQp/nblPQ86Mwc4/ZgCzskuJlr
6N9t8DkbRrmOuev/bz/mH0sTa7vzbVPlexJLt2ZbNkSoj3neLXVTwa4AQOnWWir47oiDjFeoEdFj
anMGlmW2Z5fbAkSA60awySz453lbNxjwgeP+s+ftKcb5QE3Xh38PcftFaUfd2WGkjue0hw2Mas9G
OOnbG3AvtZw/ghPz/7Mxsh19qxlA/LcX3na8Pdx+gQ6VcfD1xfNcQR/PfGcXXRvQOm6s0wD+c46K
GloLroEfoIYtQx67vDcrjCrsGT1O2TNwtFz5K83Sf0gihDd+DZ5+2164/hN2H/qTfy136xpZjBb3
7C/LfVnhCmVPpE2Hk6xXt+19TEek+urCFMfFnGgkXjVldFnYRM4asdL2rcvZtLj92E0kl8pxwMrc
1va3TU2a8dvb839+vG399/eDj3AtL7S//9l+e/o/22zTM3ZFna2UB4ZK7tW0j83pPw+63j4kPf/r
LOCLF7Frvxkp4gO9yqoPhnY/tqicT82Vr51hdDvhWGLjGWm88gsL1w884F9FaTA+Q+EhTY/1NDLw
ZWry5ELiJaHGLJiwMrRVa017D5etcEqtJaxw1j85nqa6Ln6nClPPvjXfIrvVYZCWHh270u7UZWsa
A7aiOqP7ha6saBsWkta6Q9rlmcVn5Rvv5JNrjxhml3tpYjOYuDOEhLFf10WVXwadIdqk5cZaQ8L1
4YQBByhW/WVoourOqJt8rSMQ25V9VLx607QDjJSfhrJKVE9huC/iIX0MRfR3e7vZ9PgG67E8u2Ux
nMKIKcN4fcH174BByUwrhRsonUhssJP8SrEkPd4eLDn2x1r00GttD4sDjS69hiB5tMxEjIvbPmg5
rz9C00YDJ/b/efp/h7jtXlTVpSjycvvvoXMLWrDQhm7V10gDxnHe4dvin27PZIYAzR2wvb89TRtY
LNBTd8prTy4DwW7XgoDADtOToKy15jINzFVTKep3d2ZunYx5+1nmxQWah/omovnYU4/+toODJEtG
JNiX86L0kAksNBr5KxztR+hbihGGjBeJq9y+QCfeoVO+msuVbv3/GDuzJTmRtNu+SpuuD/2DMx/7
qy8iiDkjM3KWdIOlUilmcObh6c+CVFVK1W1tx6wKC8AhI0IEuPu399oQ5oQmVxHR0rtl9WNHkioZ
OcjoLDumu2+iJ6UjRlwHSH3lWGHpbmuJxLcfrPoQ6u1xWVsWSxNzbreslrO7yOgD5ssa+zYaVOWQ
O/i6MlzqjNI7IAoC85UXzbuXNpXiq+s0ZU60Mk3a8Fh9ZUivHN8PEVq6rkRg3rw35t/pWiNZwqxM
+xbDECf562+8H9/7WcWVxd+okRScBtn023WDDvsuSLL8zp+HHJFaodX5a5tTt42XMAWGdAckHM4V
calUx7kqRVxd4WV5ZkxsPqjYquCNWRdZ2yBlY/TkNhfi1bLThGrvoQORe1WiE2w6Xe5yG71r2ujB
Y+QX9kZ2wBFEPOCjwt5JeE6H1W3IrIcpRWXjFoHytqW+5r/lHV1SvWrMh4xzbRDIJleDqYeejFMM
RCgF7pnN3Ayc66Kbunk/VT4Tp7ZghInJjrE5UHfdaOLVstfWqXSOje1fUZ4HMBpF6bWsreraRrFG
Cb2KvpV2dqzy2HyqdGnjqQjAgUxZ9CwVJhDmBvbvR1JLrZlUd8Jv6EXej7S4Y63lWIsLtSVm3O0y
fehTHEoAPKPb2PfhRmlNQYkktXf9aIlTzDMCOUzWUtGOiyvub81uzFT72uD72dhJot8WKfF3karY
D8OMLILHuypLw9nVrT+Nq2zOYGjtUTtT6kyZuIS6NW/KUfCf5bx4b9dURkG2hfLziGVPM44kJPeG
TwQh5nZq3BsUie2dpbfhvbRgVkSA3jbL6rKggWFb7R09+9kFBHjoo8GyjQaawXQgMyD9wXdbg2Ta
LjhZeVqd+7DPNkmWNk8iil+Xf2pN/xGZffg95lplMn0k6GI+xgFVdDLmY1KbOYUqNuqnSZ/LB73/
ZuTvx+Ruqq2Ek/08prTQpSRpfsJS5Z60ZnRPlDypb/WCgkQZ58E24dlQkYbNrnzZ9feXdIJ1T2mj
bTqUWUtIgYGPj1TdVc2nh/JMjvoYAGFYmarDMp83fCyaNCIAGNXrw4SRdtMOJK7X0aBfFblINpEZ
K8+Y5G96rsLvZtRdjLrXn/Et5JTF639r6mftzdJ1NcLhIt3oZ9O/ndWYVDLWizJhGvFFVLn+qPqV
fAi6X1ai7kXrLPG+R3N/2fP3Y6Qr+11d+YhQprIjWbxWB56xOP4piKrGZnmZaAABonkh3RjCpHOj
wu06Vck8Xlte5jBoFTJVf9+6rEOGr46TzpS1OyrH3AxOWEaMXUqp+EhVXjku2zG+M3m6bNSywYGL
PLem6Ofmq6VVa2mtuV8a1MvW5eWyKB2TWpndxisJOeNn+2XPqAVfW7cKTyP3+UvAT2OfDkzMaVmZ
X/xcyy/LK3qhTw3F1OPH9sEPtL2jU7hfDv29LWrTn20b2L0rGAct2GEnOC8LE9An11FmbOwyg13S
tHi/l5cfbeqRcsff2yy7LdUE1tIRLBMhMwweFODvpzxvVOan55dCQfG1vFoWdcCzC3lSuPrY1gln
LM8f64k1Jds4g2O2HIzFEVLT387DdCVFmrq2uF051Mh+OQcdJ3udj4OKvkbi1QLX17nRBZBBfgnU
ML+U6WjjEfd1zx1F9uuOfdMB8PvYKnXd9qi06t5y4LIArZxf6n01t1w21D36MIsuxw6fRkbSzPNE
ufFMGEK5WlaxMhW7Woe0tKwKA8uoglfzalmNrMjjASkepCvEJcmMh2VzH8FubQwy5OIxH59rjVIv
Qwj7sOxVTPWGJM3plqBs477Op/dTu6nRnvq4lfCUOIiKx7iBK8R4dH5bWgpNsDAV/bonV+lZ+CST
/Pu7NeZ3Szcs3FJJGp4/3u1yyoR3m9UAmktc+ruFhJ7xuNg2RYAueoalv9PRZ576x2pZhzjRXCQ0
y95lxzSk3NmX9VTNv6Ramu+XtTErT9wqsfik2saN6etiC4yiC2y3wauZz94MtT0iZQqztQ+o4Lqg
K0R0km9SfqjAZy2t3w+09RDtdOnMuR7RxVTq6ILeLGBo0d8m5F9cAZA/tcrgPKuCPz+6A64j172U
XfJYz5tzF59NlVBOb9rEeR4aPV4zER9dLXsbKyYTY0yeAg31dGMQsTP0ivNcYRrb5lU8bJejhOiZ
jmzj+NpVUvdpiq+WP+konXoF6ZUK4Pyn/DimkFvlym5ZHZPxy0TuLAyrWj7Ugb9Z/qTbUBvTJpKv
2y4VTwausSRyzk2qU/FQVczFBFmdScq2z31pUnuJNctHF2rcj2NqgBv6a/egoGH4OGSappGbKIh9
k0erbuI6Cbv7IGy7e4KWmDpMEYf6AasgbwiQ6ceXjxZa6z/2sZ6el/akntQ7vcNouaxW8wnnKu58
ruWYvsrMNUwRd+fq5q5px+pmyPHb0wFAal8p/FpVIJmtbgXfw9s27IrvZDhl6ASDOWvAwG07NQ5G
/z5+NK36m6sr+ffEF8hfrPKzLsxy00AmvGI20jrLSSvJQHLtr7FSekvT0qHOJ3rVuZtSsuFGNeJJ
Ylb93STdbrX8PQuTYtpZ5YsvkSoq5UBnTEnMU42pclNElvOMcOC8NG1i8aVzVDyIwtJ4U8zoLJ+h
8PtybTOO+vMzJIyh3j9DkdGnWj5DhWvoMcrLb8h3u61fJsY2VZNpjzgg8wRgj8dltauS3BOhKh6N
pv65d3ID/ZdVNRHlnqJRtsXtTJ1EV+InlZx0Tx3V6hoxfH8otaTeg02GI6pEqWfDzfs8jt0zEmjj
h1Of6lSZ3pqS2wQQ8hhDOUdPrl9d18xnFi3AhV7PX/qsDHfwsjLwd2kvr5iZIzJqfvW31RbIMzHD
RrNmHEDrsuxH3BHEQPtNZl2nmr7xByW6omzkrFPmXTfL9tIRaIEwOudXullsiqYnMiJoOUJ3I4Jf
3MF5P0F/0G2DVC1tjtezbfXKMNCCzmtlHKDiKarxfWdXhdqmqjqIBPOOpcmy1+1EcaKAAEU/pkAF
CWybVoF5NpjfPFvzYlkN0946TYRLLmvL9qWFllE/ouhjQ6bOY6zv87F9QcZRaGbbkNSb9QJgx+n6
KAH930cBgslaQ2exgNDtqX60XCe5p5wevm+Xqb1uNVF/hbaB27z7Dm2cZxjyl9tAGv4+AB20c8I0
v096ihyNonbf9V5dA4BuX1SoTR4YR+0adCoJaG0abYdSqZ8qVXsMqqQHqUNQ1pi7z2ZMhkqs2clV
K8ueDBB9hNo/BhfGGJix8+AWW3l/pYvGujXnhSHQLZrF7RhH1kwUa89IME/4/9BaVkZSHcREt+Kj
fVvX0VZtGLIt25bDuhAV/hi12W5ZXXaoUfUGtt48fjSzUVLZdZHdYN60btPSr2+cTll/NIAsQ9cs
Hl8/TlPrdrlrJkx9y0HLjraNBi9JQx/LBSdatmlNPhB2HWWHZbUrfGubRxI1hEo2jhuYzw5DulPv
IgJYVutxDDeQatT9smonxWNDueuCmcq/x6G+rZvWfJZjgIHNvdOG2DhTugDBH6g/kGGpu7iSDGmW
bcsiivL6Cs8VtmXaqlOhb/2pkoemy7+gBcZ67vrC01QnvuvH3LwY4lvL3ALGGeIqDmDMsLzOO4uq
SO5UI1I9lerQZtn2vsOXX/RRaKdlDZSieXHzb0vzZUtkauqBTuuv54nTQkUV0Sibyu46jKRN/SXA
Q/V+DgYXyLXL6QvmF2dduVSmY0r/2nwDiuC93n+s+f772nKvGqBcfOzrflv767jlJvdXy+U4ak79
veipVc83wL9avv+9ed8M3PkPx7lDgPox6A9BPyZnnI3J2Uz8uzYbuz04luT8sX159b6tHCiY9Sgb
aP6xOa+406+W9XrqXtMAYT75DGc/M4vz8mpZ1OUIU0WkLQFif+7wNTUaflk37GhfqEF2jHtyKN9P
83GGrlbGjRbP7L75/MtiORedgm716R//86//fR3+b/BWXIp0DIr8H7gVLwU8rfqPT5b26R/yffPh
+x+fbNSNruUajtBVFROpqVnsf325i/KA1tr/ydUm9ONBuq9qLEzr6+AP+BXmoVfnVWWjPprouh9H
DGi8XgZrzIu5w42wEpziSC+++HOXOZy70dncocZm9uAy9XdMlr52LrqOBwzy2qXJsnCy0lnnFXrf
cqVEvUtHhZCAdBvEiXFdTab+vsgm7drg1nqkNsx3DS3JuEaVL3eKFrSrj3bLDmpuBGgWEchkGTEp
aub7Mnf6s5lnw3l5pf/1am4BOSWnG4fuNGRocvaFdmiitriVEVJa3xh/WXNz9WCG7rj979+86f79
m7cN3bIMxzV1xxa64/z+zUfmiI4viOzvFTGuZ0tkxXXfquk16Rbza9zbNfWNeUu5MUeSyZBtDKBD
5sXPzXHlgg0sa/+sUNz0MkM1Ad4M9a0b2RUIBbYNvmUiJ1W7EFffn+uyrV7LtGpJnwmfSuT6NxHV
8CdVPKVJ0z7qmKbuErTcy1anbeKz5mMxXFZTjaLKoCvA8+djTLwHmyCtK8z7rfmE1iJdT3aenpa9
eZH8cv5B/nJ+RVcPfVthtPQ1Uk99vwHWUXdnZp//+xft6v/2RVuaynVuG46G5cswfv+iWyd36LAG
+RszIj28GL6/5RsOMpcv1QRlgbEPWt7yHX/s7guwqHWeH9/bhXWLUxiO6DE0puqKaR38sAkXXGaN
LaGZ88bOmfXDy0vfN+aXtvjZSprWW1fS7yoD6R5gVumbzmmml6ZZjTXz4RMBMVs1E+2hzQznwfS1
y7I/Y5TDjLmQODl967oCb7yuO2d68evkYWCO+YF7wN9OmCI/uFNdHaHhekjhlk7mcOlsO7xqe3le
1oAEjpef27sLOc8Q+DqZ+6tOh/yIzEX3fOOjCYc2Rv5+qFCMypvon+yLGJVHCDoEhH003Kl++TAO
mkbAW8dcktPMnyVQPtv2ZmxN9YsK/X+PWMh6X7XG6DrHw3qvO4QERYWZEZjK0f/prPPhlQ4LYbk0
/ue321+93A5fCzlWURA2f1v910OR8d//zsf81eb3I/51jl6rokYk8F9b7d6K65fsrf57o9/OzF//
+e68l+blt5VN3kTNeNu+VePdW92mzZ+38bnl/+/Of7wtZ3kY5dsfn17gZzHNSjhr9Np8+rlrvu1r
3HbUX35F81/4uXv+CH98OnGa9jUZ/8NBby9188cnxdH+CToAgIprW6YlzE//6N/ed7j/NPEVWRoT
2JZhmDpPnBz+WfjHJ939p2YQzsWjhjuf0FRuiTVWnXmX9U/DdVwdowwXgKqZ1qc/P/7Pp9j7v9t/
fqrp4refvMnzTKVc65iurqNhEIIP++tTTQeCVzkTv9V+2BD7QUBHUkrNay0m8Qvpn9HeHE17qo6E
5TBZz71tQsqxV4fbSEmPMZSYAwVnZJVV7G8hX5B0SQjKZmhcjCh9hXNJzwyvkRklkMHxwiS+T5SG
OIqBfA5Kb7APcHL1bgSVuezfKkHiUDu9/PJP8h+e3cJQ//1z8k0xc6sKSxiaKv72DBlqEw+scKyD
X03ausC7PESELnxAeCOHfmXjkte1cGUDDSprQDDV2gZwgYIj3eea+pT7QK5NVTJdYmZIKuLoxKNl
FVoUOqACH7GtPwJ8RdTfFve5on4jO8+4LIs0g1xnuYO68dEVGVbgDZBAQW9tU2IR1k3OZHxmEYi9
HaekP6E0OoyT0mJLy0q4dSCcVGzEJ5dcG9678ZLosoQ1C9AFmvCDo4TIr+eFC+mU0tK6UXP1uCxq
fG7HMSnsw6Tcfmx2bdTFUxbkGxzxHqW3iZhLOMXLIoyaYO1rrr5O2rQ8Losuoo+h+z70yELboueO
EHpaWbwtfP1LsYff/EYQUbIeDaRCXOiodMfyc6FG7iYORXMMW76znNwPUi9V9SiVINjllkv+FwE/
K7TRjGQYOK4DM51eNSNDllvcpsmQHKc+dLZRlt5ZaecfZZH5R4opcgPAlUSZeXVqVPeXxbJNkVCa
jBH9ZZaHu0ivL8Pcqubyq4O+3YshVDz6Q3h8Uj2CeDJWG1ujMUCcMTgklb32W9c44nUxj8urcZrg
7j4nStltGw3TuGX6zTYgLqcGTSyDiXLYB7QZv0vj9SgOV04U4Z0iMnTlN+WLSFrilsuAb0TTa6o6
2i2jPXxxKkk8adAytWYzbRt2QDvnhcRautIDAq06BSx4W9Rk+sn2adm0LAIo+acum5QtfajbSYU0
uUrbVjkuC+n80Kgpe2nuQhIyvsok7Q5Ff2WZXFSlOtjoWCfzyAiz8ozeZJ4A5qOophPZie2mK/VT
VVRXKc6gtRWJr471RW3rhGqSCttkBi4rKh9DUjbA3qw8FYQXwUSw4kMjCcBII+gXEuN/PhF12J0W
UnUAfWJddI6G2NcFeRVn24WlWuO1abLJOtRxE56Qi8HvcKOHIK70dWqmmKQvbaZFkCASSONZtCvd
wAuH0tkLF78uv429PY+olHToM1Sj/OnIUlwvGZpxpzBxnKpKtW5Rwq6VauwPOawzo9W2iAYhP5ld
smsDihg6vOfjwLgDIbPI1wViPkUS/SFnnEuooPS3imeOp0IStOI4WVALmKsbNmGZDnvE+rsGfMgx
dvmJZnPkHDCS8SjKrdPGxtZwByhe9YncucgTsnmqoubFmlLlOLTY6BFU+M6wzrHKnto+xDIWlfeB
HLuTqXuyw1yg9PkjDjjHk1KdlU8GmGzbAJzhbMygd+EhMYztQ0LEYCrbpVkz+xhW61DREX7xFXEV
uzuh463n8+VPEMez7ZCk06ELXovRso/lvEjdO24c4wFBrVwz+1GvqbkQP+iopLVl3QaVMUkDQ3Zb
263t4WVjppbC6ibLEWrW5apG6g0dBUN8MrulGsD6a1MDw6rL9EZBsnEsGG0d3OCR6Wn9OCT5yWqS
Hy6EzPUI4DzxlU0iure4IDJsCsCyi5iZnj7EpeR+Dm0sq0xHbdUgfdKLvjiEPbic0S89gGc6Qdqh
f3QitMOAal+aGvJPK/XuGJZkHcQlFAXsRU6pP+YiPU6jozCZWqI/B5OUgfUb7XsjyL8yq1ZuZOAt
l/mY5sc0AghgOdnXHOHIpgTCj9sNpWuV271nBzVWzcr6rFgT71J0m9g24P2OLWjFmVTQhqIAtbQS
wqrxbYgnH8jjnvvEna0/1VoVeB0GsK1bgIbmgrjrEoe2NtZfgSGDN7ORuUqUi2C6nGz4g1u1+5gA
Pc/1VdsjwsC8Bmi2NmDueTER4h6U2oF/nJ6sgn0kS/LhTGqdim6tcxd8STWKfWlXSG9aLq9cv0sH
Y0Bjop7JVP1i7Nw4plQUyTdrDDG5K5oX1LHlVUN5cLWceT5TrsesBcPTEPEHog7OD0foVEERMSjh
RoeSDPUIebmoCPst1Hqjo9DYEsZrr3ymXXcUDb4NMdVrJfFvp4ChlhqoPjm33Y20g5M+I6RE4m5j
Cy/N5OOGwwKyB8G4r8Zt38hxH2dZwYQKXmU/BSkdlc9CC3FOuNA9dOJEqojuS9hV32zgHbACdMCi
A/6TTInBncAIOSC638eB3EOzGTcO1LhVHrbavvCn81D1MM1wpngmslud+pgu0dtNisv9aEp3fhPB
mXUlYFa37NdzgbubMt7GqDzaUQHcMVeUW6ue98fWdZGJo2AmD4iJp1ivPuoKjzuLua6F4WGqh1/Y
SPAjZBTs7VJu2gT3S2qKem0zRGmRW8zO8S+RSs+svxv4MZNIpBO855BcYony3pLp2bAZ4WMkX1eO
gRdGV7bzrWyrN8XNIKzsEV5tLZJnixEosJsezBMTGpuuqi5TgdGgSI6Ih1Vwr8F5krjpbG2277S3
KmhStEeyOLXdV7Mxn8gImXigoN43Iy5LDXyzpzboWSRIoiKoVnXUMuXf8M8/TxeQD2WhncrpFKou
xi4Saa5KemwIgBD0wdpp+ps+cL6UeQ0OcMrA9VarpOi3mmt/Tl3MykauVAQQIBMTowP42rE/x4KR
vd/2GsIgS7swRBSXLIR7XfifwwhBq5T9AyZNjEed8SO16ZmMENwToC2xO7OE2xJCc4FlIdVM4kPt
3DrEMmMy+IeSNMaphdIZN/6ucUwNAKq+yfOshCJlFC9FraNAwJzDM2Ye6hcQHJg0I8c5rUENKHSB
W18S7xs0V7Zb8gh5MAQUFktmV9pQnh3BFxPFpbue6oPTa3ttgFtWw9EgL/Rs9A6ovyI7OENrUENT
UI3VXKfm5HWWtE+2LI6Ahr/XjlxTtsg/G2aHgTYBd2AUVLU0YwWUeA5OdMjKSfQRwllovQARw0Zj
TwFiUuOYi5pQqqSEKVxAB4YkDmJXDKuWCL3MZKFI4Oc2oqWm/Uzh4pvjOuHaoe8e1+gc1PsC1XFi
huEcJXIxwIemaQZYVUCdwbKTraX2SOmJfl4Q7/GQgLOCQp6647epm+CaJ+EuN/VtOWNFA+PWnsTN
RJQfLmFMZIiAoTEN7k3g5/tiYh6gRYKb+ljE7bxzwF7nb4PcaGVg3U6DY3ltLs4Kc1mOlVTboqmc
dRO6yLHar0Pq0JdKPo+pxCoYY/6qSQIAdNApzbbhLXuJhfYzyOqLVoCcEH1gein4fbSKarvzEXm1
frkqIhHRcQghX6VUlUVVPDfj9zFHkBDgzxpLt9p1Od7muC0fhRiehgH9vfTvcaCLldt03xpLsbf2
lFV7d3iSub2zB8PZ66O/i7CwkoIerhMwJHZ1aFp+wZFOfp/AgK7XKIP0BI1pb0CJpqMf8XNqtsyN
xZsexrc31A2e5WAf8K9MEF6ab7HkETXpblrfgCZq1id9Sp/KUl7bugGlTABQ0EhhNgi3NNDbrYES
4KUzpjXK1reifemhevO82eku3BHLbH/ImRY2EVtJGCfG/WmqDvQ5f9ht2uMZyE96j4dbsdwz+p+T
ktxOdLPvarpj6GYsL48myKnRXUxaFEgOKEyh+TrlX2TbIJfz6QZ1AqYtHdPAlHchTGHQAo/ArYHQ
O/lBFaikKZk8l9g9C+ggJI840yGfkSQjetawQRbXqpOgWAbSFs5Mp00nnvvy1oeTaR6A38VXltS/
9VpyV1k69v0UDZs0o7M/YpIxE+siGtLz+r7kPlzqglsKOSmg01ZlcKD6Vu4nipvb3gbKjHt9wOHZ
DmS/Fkxha/FMoOqxgEcHkZQuapJSW/sOhn5d1QovCroNpflyJQJonINKRxIP42OJoUQ3+/5QaZc+
oT9e8ZnNSkejltvX4BsgVBXmSZHiO6od7B7zqMrs2uMAmsC3onBn1xCFUWkDN6RGPRGmJ8P6s10E
N0PMtQ/4vcQ7vqlCPvSQAd0puBc26pTimHS/GjrYpDpYT1MvVlnhAiNMb/KhfBJZEKw6UwGpFuCb
ZnyT8sR8g5Q06m7iMQPm7lrA/rlsNIj0qEtzV4FfSQzqgMJhp7hVtp1shHJVZTwk5fyVci+0iMuo
fTmu3KHx7Lx2cSSTS6vkFr4X8OZM1EVeW1fXTpsyJ9dWSFkiAf+uQ+SuiRswnXTbEu1UKuZjapHj
VDmvftDf2jFaUyvlLmGkIt0kySslOtPrIvMLziiunDBL6FiNREMSTIKSJlGrNVaBfN8inwh0kIwS
hWkKEGrL2GylBEZ3zc0RYFFCRoUD07u5JquIruAo18rwox2jL32E7y0QGtBp5kDG+tiG/StVb3lQ
xj3TitHO7U0fC2+w3jRxBJ8Gd9kKa4mxogb52tbhlZu5r4WPupwUKUJXyaYpmA3sAeG6CmZdl9uf
IAkJzdNBK370aT0+YLIrIPehR64PetDQ486salelxavpkxCTWONFsVSdGQC8HzXY4dDUy602QeIY
Jijx3N/Hlow26U94EVpy3CoiMIh4jcC4Rqg01I4aDNHxKyatwCEldOHtDACtbibRJpmSHWaZZtcN
eDst0qYVK3jMdVxqsVts6iS5k7l8A6HyJhiLGFklNuDY7fFrN9Tqqo5tfvT917R1QHRrqw5omoDl
y4VPArNOru961tDTg0eTzSNsAJ3k+srnlNo94PQbJQUXZlTlPSem20RRelM7yWe17uHh1hBGh2oA
gkEnrymScNs0eL6L5kuU9jn1rfFIyIjY8DOGnci9ChywlTDtmvujTacoAJxlDYC6wYXjAfYkgSKY
3mFrqnqIiBnmq8HdXekYXFrpiDA5ABar0sM2KT6thAUooBhaHFOTfFCDPAagLSAD4x9rw5Y+oD9d
z/9nh9SNXPgmMDnDXCbbxvzCDCKXK9l2zYgWraVDMrbTgTrQ50JJeb4qxSl1SljMPGNlCgN1KBJ6
DPwc6BYQkJ1GrSczm5///EUCkH92rjo58WWg7IDewwhc+PVaTag6mwRuNEw9AvMVX42JwBo/SSPM
H/Lo9mrJKdwfEILvZbSVYfqmMBdQDiZhtES4eaFhXkzVxdXeQXKw8DesRKYe6Ns/xYW9I1ju0dWt
EUGh85DTiVzrFST2sPBvlZIH2UBagcmwaM0v/KacnO8IKtQ1ZqSO2JEYL/NY0N3owZGo+JXphdY+
aXj5tCbV2l01e1V0BVKQHsSC/hppke8VYiYE2GXL+F8wlp8RTcMw7H2L783vVX5sAA4h8fnrfiQi
fhAlI3I59KuhJPBtavVoa8S6ve7NMCDwzd1IPSM0w5LfEJb5mDEiVNX8IoOuBt4h41Pot/puBA+w
QkD9XMZPMjCeINolO0wLV7JXXqE38YxtvhIX4UXS3hdNd4ZgtU7GM/eQrlXuTQ1hoBoBFQpupIX+
MkPO7Hcuzfq9aP3ravCZsOu3fuLoXwHEgo6akrH/QdciVMo7M25xDZkkbFFehphBzEeZOCAgFJic
7qnqp+2o8wXSy38ctPxYGxOyeR6UPPWgpVj821UBxemGm+jkc6eLGAmkJVUTpxg1r/d/0K/qrgmM
uSsbP9iniZ8cM9f1kPIf2wqCvltcoYWddfrdsHe16ZG0gXu/jm4ax1A9EjjeJO4pq4DphAPoDsvk
kxEat3G91s32qTCNm3qG3s/eevoU9pCeDDu5RyeGwolef5iJu6zyEjzBmxwesueDhHQHRq1A5eGC
YLr2v/iMbhD1MlU1nMwcCEfYvGlVz6hFzbnTZhiV2j2F/xt1/q3pxVuJ9RHmYUPaGCMuAMZToUBd
0ASMImFdmraWSHabhyoXj2RkK3PcllEoP+pmPBOIg75HIRCHq4fImizjyVsNr6hjQfBCQug0Qg4q
5QUbILggVGf8MvRvdNjWiBKhy9fB59KKDmMb2QyiESE3gI/q1rNiCwZScj3TZ3BKQQIlAc9nxBkV
8oaIjB/Ed90X82dW+ubRKlBLonZwHKzXGg5tdHsWt2hgsnwnxZEq7lm4iCRCinhG810jqjblWwTP
eB6CSBz0WB6oWiI3rxxghzlRLbY6wK1XrC1Mp35LGa2g93VkBJLOiSjjBFJrjJhCjB3yB+lJlj0h
ZtqI+428S1jiyiFQ3PuIsYJeqjyl4yfF16Y9aSUY+8FaVFiG11Y2EhpVTc5K1rNGJ1FvYDetOzuz
Vr5ReGZDhJgTjetBELWX0mV2EpgEQ1axvyUsI52oeo1QH1DIlbtE5kfU+eE+Eoh3BrU++TPNky42
U5hT/5rNvsCuBX1ZYDeQPWNzK3Mqpghieq8kZTXXvVE+JVtNYtWGlyTAqxtPaIzJS+tUaz1ISsqJ
C1FUmb6RaKlsiDFPVlFHppDGUGLrQHCOIqgg7pQ813HleEp9VyKtRNUapveDeuRGZG1SEl6W2ScU
5MXXoske3aooUDkV3w36umvlNrXCsyaxy495FXlh0w1XTlh9b0IsB0ZkaLtiRPhb6ol99unk09ea
XobMHQ5knYMfnLgQSme8ZJMxndw+8JRMxGcpcSxXAWK4kWcId9CscW7CMGGIQalpZeuqvcNfFm1S
HXSjP2njvtqn2dBcRxOkowk8PDY0gFONuld74yzaRO609IceFpkH49pYpyMTlUBjEj63zqRtgwRQ
DjH9aaab0bpAsSsehIpLEeOItdWUSK6yLr6MijtzkoeHPrSZcNBguTE7Tmy91UGHG/HV5Rwne7J6
cj9fT1YnvSF2B4/Y0ntXZOEpgsgSxvFRNvl4opfM7WtsjV1tkzudDd8l0zJHOzePtkwvaa7Fq27q
5BbVuLmzLQtkbQyXBrFjbTv+U+7o13bQfhuY+zmVxUSyiqXXWwSp4EVA3vuC3N0R8gae6Do+l/SR
LDFwFyzqlzgZqQWLoYVt7k9XeGLfYuCYG0iVBQ4GRgSG75hrRaa3Nf5CQCnMzzF9vU1iLd3xUfbN
kMq7HvfUarD0Q9SV/bWqhE9ECkVHRw4vTVyWV1Xu0O8NJMjjwcw8u/FXuoKFPexHauTzZCUEURXE
VUOyIo59eLMVvTh9TjiBKoIeDFw4Uj2XXy30jXbmZaCk3Bi9aNdxbIx30MRIEoeup8r2NsrVjVqJ
A4+J0jPVQ0iyyyGvflSB0l/xj/e9L2O5i4uJYoarULNTrmy1iwin+6xTE9nVCV18WyknPF3mYy/0
Aqzida7/P/bOY7lxZtvST4QbMAk3JUFPiRTlNUFIJRW8y4R/+v6gv889Hacnt+cdFcGQLVEUkJl7
77W+RTwkhfPWL3a6zjihiLIeeymjJi9W9XHsJXfopfHy9rjEtXPgdM60ZtXW8rqKW7b5drvpFk3p
rZ7iu3Z23iBPkp0CBV4b7V0z8Bd1qUH9dmx3TvLTtIV4qM3umXI5PIbe335mQIl4jPSfpOEADKEF
a/0xwh2/mRJMitrc3UQVXWkdDTuWwpVNIN1j2Wvh1p69J2hjMdbuanhQQ/KTZCW6d1tDDc8WP2TV
y5DENLy4JQ1ffZaZ5e2WaWGQDCNuGt1/S5zqCR1dewlHTKI58XedRV5TFFJx6Jl4mNGtMWSJ8Zja
pkDKk7zWTAm20fQazeTeRDRR59p97wzrRs5XECPK5WwHdfxXIMcJgugZCF+lO62Rxj6klj5QA0F7
Mdx+T7IjLsTh7Lb0MXM8K2uklYDgQnXEjBRvpDnF8CDjO+SMqHojb+PViImTas42uRt6gVHM+yoD
Lds2USDz4X4wSfn1mnv7qAnSGNKwgXnRUnOarnsmtI+xxE0J9FkuLXBnqSbjbAzmqBZrzwaVX8Tq
R2g8zzglWoq8A7jn4k7iVgyQbvwpVLXKOi/eWyEWTL95E4PlrVC3EdDhbMnFslkTVbwXnXO1ybpi
uIRQ2zRgqrqGgVQ041ROxhuhrOs5WmIoJBYpPfwbVliPXGZ2Ricm+nXZfTgXfyiuYnivES45/3Os
TYvpTGXSSuwCwlPSgyt/8qFPAy0BHqsT9MM9KNx7UqNlYQm42uUtyyjwsglYDLfehbyWD/Lc1r2C
XTQhb2+K/rOKh/icMe0O/JRppwk7w+LV6otGMveAQ6S1ek+/vLrAHiGvU4WoVgG6WSDee6slKNeu
qlW/MBcGMT659gcZu/dJAUqe8Vt3NGxBzlu8MiFHbV0sGWtLt519VDCWtpTaaiMyv3auyyCvq8dO
S17qbkBuMokVjcU86BfEZkF7Jl0o++ZMxmuuYrHFag+Wfiyz4B06dPUa94LvVt1G6lgOkKZG94Ve
D6e2hd4hYRjGg8NOTwJKmFXnwhhUMCcV9sqmMQIzGW4kPjmH7KnNAYekZFE6g1WcQi6SLSqkjoVK
M1GewjWd/OcsF2o/JtIMoGXBD5uqnWnqTG4IJefYQAiVl0Akc60HkokU/MDUWpGmN+8RBi7IXWRa
2sDh3vab9TB3krE+acHoQL/BLRqINrVbS5ALrwuhZ26WDxuvR0WD55bC9GEuhHOZk9okJsS92cRX
Tj754qTaxiza3boXrnskpeoPYtMsGEciOkPTjF6z9iK7vyFn84fZLP17/O6b0gpbnjbYG/wl687s
uNzgUoyPVj81+zakLTdElrp0uvFV4DzYJGTuqA5WMCf+s2awPfd5G981NQlxDXxCMTQvEhKhEeXm
biiNS5kDyTXBseOTTTr/J4s/AcIeCp27qRYNANda37iV2EcDZ8DOGMRuMksClTwoFF5auKTiwJwU
BCm1VeoFQqj8BIV+272mc/23lHB6+5b8MGm9+7Bbvy3otjbO50lWd2nspmjdu52LeWAHcJxACJmf
5sIIag1rzGy7FEUhR+9F0T56UGJZLrDAc+YCQx30FXhFmZALPQy3KmT5aUeAf/ao1pNCJ5FY0Rdu
ymzd9qCJ6nS+gy1JG34i7DSZQPQ45HakY3HuEH4DuabXSENbBqiMD3nd9Sdj4RZ1Nurt8U2Witxo
zkZQW5INwCr9nBUVIYQFfb0a43ZQCw9Jc68R9jKg5Hcn7YOWsTgOxfzgDKRH9MP8xWlDW0n5CVwp
XbfDMhUqnWOkkxJE3T0E5ih2mUjZ/CajeLCW840DpUHHd7qph9S9d2iXhxMbXtpb+WUMZ5cew5JA
uDEzZ89s7U8q22rjQnNfp+ESSEn5YYRzRH6JeXSVOAyCSTA/Xm3rMr8lar6CHekvnUaTQrj8OdNm
/mJceefaefozu/qBGo/NjGjdmN+CA466Idc+6zXhp7btfqUKEUDnZQdHr6J7W3TsffO4lIwGMQrW
VqdVdMeuAWVgBrtA6oo2G9zSWXMnE34mWEVH6V5AkwBfu9lBQ4hpnbiJZm3yxkv2fViTvMqEB3Xr
TJ8nJF2TO1czync/LS92VRDjSgAoHMFzPhrZo6sfZzzj598HKITFGXYwlUVvBnHNtaDQcHCIVUwl
M9L8fDoEZZJ2R1lRzCeFmTA58qrT7EIYzN1+CwvlI6lcZrfxbBFN3rBqMldENcAkggjWUzvabyR0
nXwAvzAWo0tJeOcrhJaVbBm+lw5hpFFroyNZJp0G8ypz0QNnLQrJi2REePQ9Dlxw7DNWZjXyP1fl
qXOclZ80T1aHn1bVvhbQqSs6/6gpml6ebe5Q3Fvroa/adTJoa9QnQL+wJ18zc15bYzut7Wq8OB62
uUwBrfeJgMcecuAQ9zOWM3NL+phDtzDffaYHTh2RVuBgB6kNOMfk222gnZewKoYTuhQAcmWxi8w+
Ja/Au2V6Qdd67nH2Oz6Nu1bQ/HJa1D2AprbJMjmEBqbqbNp0YEB8FTb3vw+6my4BT5veJitV1MTa
VRZM/3pkmaUnR9KXn8rXmBOVM/XlTg/p4jSxReadF953urKuY96Z53gcjplFy9XqISaVYTvAUoU6
YFv+2YLPMJelvEY9+IDROVYOZ6exZQIyRXuvLM2tgZ5giuZTm+YvUWPbZJsn0Y5JO7k0ev7p2YI8
rhx7Ve5FAFYn3wzMIX2tGGxOeaZvmt48jyMLU1U3B+0lFWg3sBMB7YZjtk8Um7tphdxkcx/vcmNk
8laH12jk5B0NvccYup9vVt5C7Jqtc9Rl7qNfzH88UIymeKktjrWgS/WyhjnudMU5bb0jRDbOJ5lP
elhRHEXiXomuX0vTaza+BfVVa3Jtb4/1XytLvt2GELBGB+JWu1JsbED3dFAEt8Bc1TssDnTD7C9S
1RDaFCldTORnuMvPSiJFKSP34GXOe5kkdJda/w5+ZvSYMnhMy2LNsZiVkcgoQw33iL/MtNqYdnRh
EkJFV3oHan92GRZ+xrAbDFDlmo2EZmE1beEqjWtVpPsaF8JOLTmQeb/AVCTf0kXe1hydbTtH144B
Ge07yNI71SAPLAsGHE15Lwei1+JOnaLZ3IY0C1cdSmzgePRQ6laCmDGIVvbIGJrcHIziyDOFVGsW
04ExIMNqjgcak92trG5REs5bP0nEXi87A9hj+e54T5bBaEjvszOWe+Y1Jd0N+up+erARvMNdMqm2
6QH57XSj5A8Pbco0BqTuepKhua5DKW+uB8Y/JQfT6aPAIMiQRoV9HCBEBwnjCGpkwjEyfbrMMcDp
NH+oVEmlNMbHGDnfzhcWHe5BESMzUfQ66P0IbpwdAwtXqk+BkbfvTuZpe93m/EAq56WxgeeFNuvu
XNA20z1nU4k6fuodWJRePT+IUSUbywpRYVY98Hcb3EEx+6eiS8L90vIe6zTZJa349idq+9wv9/0A
UqUUOLU9AoPS0njJjDTfUsBPR395+H1L6N10bJ1YonLUeyIPQgamxqiC31z034dfNQbShB5zlz4y
hI7RGEkrLehCoVI6UnEw8EkqDqwx9RTqsJKsEnJWGuZCfOr3878PaiQHpNW8Z546I9+Uv+jRH0ta
n4YiQpb3fj9E4uG26f1hny7StkQgHMrdaivymSEVawaN+Ax80OBs5soPWJQVWQo8oClEAJLaOnWY
RcVHZMmRDnf3z8ML/Irp6C1J3qWWPrmya7dp78z/fMj3iYz//1rq/5GW2tR1HAX/bbr5v7TU6MJl
lKDt/Uea/au//ud7/iWl1v+LzrHhC5fplvCEhYr3X2Jq+78c3Rem7rqO5bjGYhL5l5gayfW/xNP6
f1nMFhzftj3XsD3z/0U7bcKG+w/1NMJuh3+27jCyQyTDT/o/1dPIC9m9Ki/fq6L+qVJOEDP6pbn5
69vOcdQg/UEefU6K5qxbEHjjmPM1DI4jfcw71C9LLBShAR6KsIJ5JOOhJXXL1KP9oJGHWITuJpS+
uTKUH6/VYDx4HVk9g6LrXFk6xbv1V060Fyzh/sxOc9SROp5Sq4dxEWNjqVJxr2kkKivBoJYkUkaz
5CNtJcQ2K0uJDWAr3Aw2srKZyndjdd59Yb6R0kZmH/ghRV9omT5fa02r1l1mpwFtsTutmLyt1FBq
8p09VUlKmy+0DnlfaKs4M78BDpJJOKMpzvaxDkRaZuZ9WYkPQ4KGdaoZcdrsQKnXP0UeX+n09Cul
SoYLWAtnwgKytPPYVrxLv/CEaSIsIRWk2w8kjrs2QCjcqhzI4se+6OHBodfy/KqhavD++IUemPYY
b/Q+JONVEULWNzZhcal9SzMm6Hb93LX0QOimVOU8HwShb4VaBr0FqUZ5LYpNMg2kk0bdAHA+Zro5
/YhcO6eREyS2tcvApJvlvEtGUs5TgR40r7HTLqF06Eam/CFzsEHNkOgLg+bI5F31an7xYgj/4dQc
nW6WlGpVv5EtpxhImDVHPAOkfbxkUKFIKlBpkuo8rkbT+y56tuqMFNWepCcwGnq6s8x4Z8/2H99k
iS/L15KA1qhydlFn/8lcOrlaW18mfi28kVfiyF7DQpxrutgJY5wAvCvyFAgn62Z0aIV3D8DvkfMU
3m1oxbvWLe3Jakc7w2y775piDqPTaxem58mcmceSQOQoCxkfp0MYqoTjDgIrGQPjSbI5Jz8tUEfP
JdYnZhJsWvU3M62dEGDcYWQgyKODVBVHuscp5V+OtJJCGdMowjvPoODMY0lbXR36JgItk6tHDD5r
oU9/LPtn6rB3Ijv24d3R0YqEvslCXnW8WMnWNVoy7ER9mAS3TDjkd7VXoYDoQmMLuN3cKhvrI7Ot
G80mQrRVGN91enrAvNM95ooud9bsWViKh6E5tSZo3DYZn8Y+yvdaSkdYAYyfIjs82H74BoOC7I/J
NlcjU4mGVB8v1cSJ0fpdD2d+jaw/sCmhgtlNcyhTyCOw3BHvF5snXetCyMLasQljd6e6zt/oHZfv
FKonyMfxkuA1BWU3fBjrKUSen7XYAFMiWFD2VGTG6h/QsnEyTcZzOloEc7jOln332AzzfE5xhVcV
1+5oOPPO6Of3uCdSJu7luWzFtFUhqnWNaNtWiEuVeXRChgGMNtJjcKXaJmSV2naueugJR9ob36gd
/EOLIpwohpF2ZdL0YFrCjT9l8HHa5ZeuxyvbJzK9qe/XfAGtpibca463s/PY3w104gKd2mtNWxpg
PAYTlLvW/GTFvDR+/JVoCsfw2DyOk5ddsAZwEvTzo3Tt+oF02IbPWSpI0+w0wLBbpVVIKLtLy9c3
7u26C3InXVTi9lnaEfkVGTFRlfkyyMTZowtuOFaiCGqibok4YchsCYpFT8HMLFBOTgUEjI6mO6ZB
2jajWb/nnWtvhQYQJGfsICuTWeEfAS3qyR6zYDZkukE1ydTSYDAiRgfXoWcgHyjc86BJC+Wuxu8T
EcOtQWNzT/AjIQvM36Er5aYxmHHUjHlTmrB8t8nQN83lnjH1OutBQMnMeSGSEkU1C03fLIAiM9uO
bUxuZYQEERP/Rq9zpCGDkwfshSfVYEDQ6ri5OPjGgE4/0xMNt3AbdpYzwhCc1EHEyQcbaLERc3hL
kC+YjAEedNDwFL8+mpFRngehSDKeE2QBc1m8tGX5yVjwLh3FcDE8NhTPD/8UqcbPlxlZU5KZVfxF
cKiiwTmDY7VRZHiG8Wyq9KWQmrVVJXYFLv6NSoDc+PqAhkivLx6Xgen05WGQKMst29iDTJqCGOnc
RsGw25pTd/LGKN92uB23GljEVRK/a55pXqfUO8aTzsitZ+Dv+7BUIjW+xy5h8YYbvfRTe8RO5DKY
rUgVSZEr2oaXBK2pLYhldPqRfjH85hYPVLO+o4Y3YRJcIqR765kTHseWp2rES1yIO8RkW8v5YKlk
fq40/eo1xXgaMw8+BxSpHTrXoErnOGiTfnyjC3HHhqb2JtEYx6m+EnGVb6ZMGHuNpuTJ6XhFzBjF
GPP2ndeX6hJXBzMsM1ZS6r8yrO5pOH7SE0wOS5JYZ7Xy3WY0tI4xH0HO5+9XTsO5i1R8CaPp3ozq
edMiBwuUXdEt9JzX2RXPk/mUM0I85ZKA39L0H/uSubLpyVd8TH96KyT/MQndgGtpP3skM9GKps+L
yKSwd1J3v1W1NAgc5w3fDoPkOr0ffL0+Dkfy5vsdw2lC46FvnyNgKtgJ51PdbaxB62/lgvgjbefi
xXUfWP6Y7nyjKY4em3FedNm9h3E/LhpcOLUwOYlM93rpe0GnSe2JLDBWvKl9T10324pGL3c0aAGI
epPFCxtF7MdoZPzc1TfRjFzSzRDgdvXkbOy69ANUUPGxS2PFlgWjwDYX9Tb6Aw1Nh02W3cwe2BNe
f+/k+b7pYcPPSD0qthPTc53TmCD8dN6LKu7QYNbvup939+byMOnNp5fOZD9skd3VQW+SQW5z09bg
69aOkMyEpEYYXaiI3Pbqliq04JXxKYpB/pIrYqQfmdazkDjVsi/RQhq9zkEn7WYbK4vlMXWcjRbO
rJZ4Anf8DvFrJF+6GN3Bx+S3VaCTqbzAeZ8i1/RvaXvyY0tuRukWO0LuEUPERrSB06XQuJDvUjtR
dhHQIhzXO5RlxEFuJKMs5Cii6+q+61NQxtOoHXFQ3xkCSbp0W3nCJPYZRynDTHzcdKhzeKQpOq38
FNKUoFXnjAcz4tJ09drYMC344TjkH9uoEYGeeUjdJC8GIkQ2zdl8lSahWK1F7LelaR1iLG4VehVS
tua6re0DoUVHItz7v+hIAsPd96qM3yA3GTunQJZW9zNnrAqcVRj2pALbiAA5V4b7RHDONsOh3nbk
RAVZqf5QIUZ7OLs12hnSSIppnwyEq4HCvmNO5RnOdNLhGz8slwwGKPth7G9DoxWbZkbcrzktkA6a
PGSZUgZzsa0Fgryjb0o25j6/AdRp4SZlXLNRdDcC+SLWItwNNcnWneFqO/x1sCk9d1tPZXkFNYgd
Qj0Qh6OuxTLLaRmjzAZgs2K2njyre4IHFRFyWas1jfJmLWLGskaOksn2iVuocviHhovtqeW57Ryn
staqc1wugfqrhbR8GqGuA9bny2zLJLM4zjCHmCa43I8ibklCrs18j2yvXMdqfIuq+jwVBPdZrATt
EJdrdLM9N0pB8m5EOtzEJt13eCO9sBSbumYrGPXiaHjjpUKNHfST+9FP6Oug6+7mOb1EwH16ozdX
tiSr26fVwNFFK9JNmfh44vtPhD8HDWbCupuw3S+xWYXYN81LY/hYMUAClt2uM81DNnhf4VD9xC0A
0+Td97rLhP1hZtDmvBDb26+rT2ScBy1qdyOy3sT27zibXjRdHMLQWYOvu4zjsJexHkSo4ldtpt1Z
HCI63Am4OtdyUtsJS0CLRLHRFDHVkm5Du0Me8sJcgfxZWvMI/JbWrx8Y87wXln2zaG3Se3S/QEEF
XtSeR1U/8oVkOvbxtjbrBw+yJTstdv/kp+fgvcon9Roqays7OklxF56yZtiZrefyiuPUoBl1V9Nd
b16WLzLr7Blf7n6cqmObDjfy784AtcmFEcZjZcgTlhAaaIYPjrphp7VgHk7OQzV55IG6fzvb30RR
Yq8zZA2I9FY94sRe77Y1Qr5mhrMo60fYYq+DfMCfsuOKfSIQxU5hmxveZp6jEyFgP464qqXduvxA
Rql7A9HA6M+nkc/bPd15REUvjcj2y8+loF5lNNgHlz1em5Cqikf49ih4jJIAoNjceKPjItxE6+Qy
AtW8cFMMjAbKRl9uEFI0CpIhhgBH+8lNkgPoHQpiGolTneynlgGJrA4RPW5siZWxnoW/s5mRz4wa
CqHaPxXpYwBKEQX6L/1ogqoy3kel3gapzmB5R6P5VLJ/hh2kshvDARPyFHFo9viHnLHD7H0wp3sN
4zhc1cVT2SU31IUfCuIqlCpGBPM5lvVOjPG+VtWXNenX3jTvHMmBBS4HmFi6v+70WI6kfU6ltdMi
882NsjvY6/vU6A5F/1gs8VcccTjQL7Iji1EYqReGu7HL/Mnu8318qZfu+xxi4ysgB2mSjEStPFCR
5euIsQbnW3Q7SU1r0E7hPcmrBjdEhVwpNFfXUkf+07o2/jqkwczdOFO6FVIyKr2TwLa8RkZso1zR
bn293JDmtcGi6Bj6KmKJ6EC5xNPMLCAn6y+6AQLjxSBguPCmJ28uzq5Kjg6JYWkLgxY/GZnQRzHX
F71hpmG6xTqvtH3LyL8hENegDHOSJHA0+0xr4LW3GVw56OYHu+TKsY6FSt67TH9AzA/FFN2KQ2SE
LW6O1r2prD+xCEHPVz+6JU5Cg5vgJPCdxnt+0zOJNftFfKYbxcfkWsCXPOZQzU82PkmjuDaYYpUy
j9H83OpqJwcOerDJiGL9riNE95Zx9REma646kMUFTMs/Vh1XWk+rnoyDtCDCSWdPRcV3lcSZRZZA
bZQhFBXTex+nv0tmmYutytW70vSb48WfOlOtJXnY7v6QxrDRHeuxqNRpGqovnXT1SesCsoee6FPH
WX7xvWjxxK+EotwqcPKI5IFI8KVgfOa5/jXs8MEhLlVvVr43frht8xKxwM0Zbd7WwUUJ2z7WQfeb
3nNfiGfdUN/Yu7+idjqWJKVUoR5Uvn9O8Rc4w5/IRFaTthQMXCyRnQKIqD9bj8NbLO6LFrdnEb/Z
4VOplhgaHcl4Lw60Xu9EVZ/qnlkTAY0wVG1u+6lQD9UiHzWmv8QLoJxo9NdypD+V2csJGG20a7y1
LT3bDDu15t+PHCbK2n6jxUp/G6Np3d93mYWW+J08uM+Sv0noZ49dFW9SXz9PggRZ5DQLsg8dNjW6
3T2yYKDdxWZIyAtC2/KI1faKmYeBbLxTVrPXsfGmFBZWCh7WDx/TNGbuZTC/mu6Y6d7FWHPt7jrC
Bi1nnuK8chlvKFNblsW92zdEjDb0EDR10sSHe0+j8eKZnEZojvXsPgMKvOQlaVBh1DmwkqyLv6UZ
0XYWlyQLBWU7qlE0keCGWTDzfm94pbMSXYZINroWBfEttm+i9Ri/ixxdcCzTXeT5CBJT6FkEAiDw
Y3XLtCfJtgnpqL6bpHlsdGtbGe7LXHNVT8RllQmpmlN8YExA7uBDnTbYrCzF5K18V1a1dYFXQ/u8
zlgJSB9j/q3fCIQ4NCj9E0e++liWG0s2NL5KKlPGceS31isxMZvVhmEPc4uO3ExFzMJBd0JPaRGO
JLrgklYfRuU8GBnDNuO+TPJLQVKUo+k7ox0uSKEuxUIgMdSGUfqBgOnAzp7FUD2XTn2aXGKUrDSA
xwp4uXzzp/kpLYxHUY9MvSeQgiQ9EbKATKhB8VaklESVvZlGoDzLQa8JcQ5SBgrG3iwmDoog06l2
tHOCCCU5qoamaN9iazcy049GcbOt4Srd8i0uLlpSnlLBjkv1h8HwOA3ZXi62SevNyDuOyeKkuEYs
3dk2dnhMY/mm9+kT2nQpdhFrRD+6d7Qe7+dkue0r9dJyPJeJ+vCc6I4DMCctYGLKZqjtPNgybDfL
/1Xq0zmmS1FOWAdQAjyYZDe41beMuk1q/V747hDtOTjxV8klZlzxo1PRRmH3V5nusYRelJGFbPrT
a2YMD+ROMNzax0Z5GrEQY7f+iTJmhHDJypU9v8qmvMPrQ44rQzKrvzoO2TWNhuDOGQmdJHvEHcfz
8vdquuq9d/oX3yRYROX3bbPEUJDKUW1EUt/MOi0Ixqan5kxEu0/f+QKjBwnbMioNXQMbA3g6uI/d
LcwohcWcJkGozGE5I64NUPtxyVdPVFGO6DjRW+El0txHAqce0FMfvTR1V+nIdF+rqsdWPs6k5bSg
qHMNCYPbgWUc1T6DBb03ki0SqXoRMhOW2qFdL2vak+R1cgnQ3ZybLQ2VZA2X8y40Bn1D9IEdUKA/
puJD2cOFypUDU15xYpsecLK7fvmI8Jzlqp/fZG+R8s58VI+ije2UF11z3luEV6sR9fJkFaScTZjv
f6KmXBZwpPyOCKxcw0tGWt1ggbYcDfqmJLLh102b02KYWcNLQn5AVY/x2w+EY953eEqMtoc3pggi
5lo+YhLegA6GZpn03lHAKNCKZDF34rptCFcaGgfpON3tCjdHlXI+gn/1N0fViqHNRGM/95sOgPx5
Zv10EP8Q36e2wor9ayuW+DsionHiJcWqoYQHCxGFK98OzVU3YToajelABbDygr71IZswmGaYoB7H
ypQkNkTxxlbRnrSsGLd+9ERF8DWj+9k2aJkPXU/LPMqtNb5pUke8OLkzY3DbRiOeUgd9utGgNxLW
1RlQ8ktIHD70h8aHxa6i6GnWxqsIy5fQdnEfthmBMiMm1rhtxD6tMc/lmJ1WuWlwbi79VZISZe36
8cYx8G1mg3ohkHMhcLqvCISsbVKOeOSIIBLOGyBejj+UeglnuVWIKHUjMERoereWddoGZtdLvJyS
SBoduL6ingKMWZHiKvG0ef6OjA1eoWTa0mZv73HNun7gx81Bhr31XOV/GDJ8yuGefPd1J9xnWWPp
IdtoX6LysguimE34lGSgUiHjl0Wk6rs2J6FlhhP5FOOln6xpGhBjEi9IvSr9jGvYkFjlD7aBr7B1
a3HIMBwzrW0OFnqYICLjqA0x4aZTB4g3Ru/qK49I3DT8sJkhr6IEkzlSJ3sXu9ScI5eSlQlzsUIK
zlAYm+0RskDvFCe7yh7zLv9Je/RvuQ9QwOHpSadlU3OusRz/Fp7HdvdaVBUVAH7T3Homm+Wlik0d
U5z2qJYrGdyaWqGrY080BNHk4BoWWBU0cofmRongSLqktXCxyXmwVyHbU9ERgYYyeyw2MDavaWo9
Ec3wEk+bSFzlXONaLi916W0yg0vW7hGHqHB4nwzvGzKi4xV7PDv4bLVw4vR/mKv8pyMDL58RtiKp
heoQoQgdy5d6sKOVZk8HdBUn5KhfbHF3+jCNa0OnwhVyAHWi5F1lmBzB/xg73xTX2au/CO4JOg+c
LY1lLoso3WWhulFfg2ho85fOXVqHKGVWfkxoqWF95zXzMBjBhLQjXUo4JAAn92osKW4AaGUnQO61
/AkKbuDCNw8EptM81nbD6D71on8PVbGKMezNdUbCiX1wIuM5RAcMl9s4sGXbK66Y+8HrjBUDw73Z
4uscxm/KKkZXXf5JOCfRDXhQByL4EAmX74hMDt48YHFBcJUm3zpCBEg7j+R4fZlyukvDjLNWOf7R
R3tPMumLlVCU4HKjO7SIFH7AePzRqlcM8fEBjGGgWketBXcyLWlt1dKw23I1xm1EX9ZeGR7VRZOl
R5tdkbxgZ5Wa2pcb6UeV1jdblmuaIKu4H+8Zcr06dAvRNIw/qAEeErp+g3djhoJsEz6Uhp1zmuVj
NOZPJgx8Iww5ecQPVZefUHHW5wFOJx3mnioxadjEi3JjRu261pzjRGg6Rx55oDn9TUzsPhujI1VS
4IIhkj5Cicox75o+/4SGQz8ltB+GbNiNPXlm+sB/ZhxGZ/jJnewdaM+brtuXVpPdJi7yxyhZZ06K
kfsnSmlolJwbBQl1jmuf3MK403xnY1oIrS3sgMgH7qVBavg0T4u/5dMQpDqrydVXxmLB09N87fTe
o0owC7r1pzVSavk6smTa9cxjCFSRA7TMfloT+nvydWPcEb3yoyXyCNZtK2fzXlTxQ9K673jinnGx
ISLPM9y5uCf0gcOIVMALi6sHX25VyBalEyPFtN81z1ExXlIXbzwo/D0EEWwnY/WTlw3Jw+W1B2qe
GC1TWUxNbguugK4iJBzgfHR7VRxAEemPvw++RBb/73e15d3/+Nh/vPsf3/b7Hf/8B4naoYhm9FR4
HEWdxyQFH6XPS/B6gxA9NHBZ+xVgwZJZASPm+QYRuFgJXN9Hc3n4fevfD/+Dj40MT/Bt0BZx8ege
2j6qjlM842VxF4tWWdZHqGdwEZaH33d9120P7vws9a5vSe4A1JJDAslXoEqiwI4LxENhnQNsWPQo
2vJ0xVh48+b3TYyXQI9+35xb4xIKb9yGXsKi7Bdjcfx90JLwX29haayc0NlbuU/CN1Izz+54vr9P
85838fyVx9/364m8QDK7Vm4tUb0uWpZxYRSh2/3fD78f+3339xOuF/X83f/70yBz5NHNs3zNfjGs
K+FV+qL6lce6fBFj3zLRTOojE7T62AqTjU0fUBjAWTkyTm2Ov2/9++H3Y4XWaAe/+/Lq/hpqw3ee
6/XBkRWR2F529iLaca6VfM2Mb+7RLiJZRFy1SYYI2+2ewAdKUZpvuc4S5yl6Vebwk7XeQJXKg0fd
k6uqOdXGNAW+j+1qZpm07DIMilFKwBBGeIi88tIn9XSUYtobUmdxJZczkxAhXNtF+8n9M9r1/2Lv
PJYrR7Ys+y89R5o7lANt3T24WlMERQQnMDIiCK01vr4XEGmPWc+6zKrnNUgkriDjEhdwuJ+z99ob
EAcHQAtAvgbrVXRjcupYBESTRVJLOkZrBEzjLBiK96jRtST+FArK2eCYJ7ftx5szTI9O1Mcn3fSa
c5D7JzGWH1UUlIcuAyzAijGq++xG1lF7a8zSZUS1obcx4lOc3+ZWd1Rl55GmjFtuwjrC5caXmadw
03w6l8xJFbcqTC63fEzxjdUplQ9dHLVeEPAm61tnVSShohqZcvtY6FN+ZB6+era9JLkKHwlq1hi3
TjeM29j4XP3GcPI05OpG8alSDNv8SHtLrXiTZlgrIJHtObHvw2Zwjkoa3iXWPWZAYCy14U26lFGc
Qv9d6016zYgEiCaaL4SaN4r/R87gUS0YOaqxS/k3qBipcbr0Ayg5gq0yuE5ThlL+M28ta9VV+AaR
NiJrFvG2sflWrBqdryGaCYd+mt0CpVLcTk90l4arBf4HKW9CS4VyG0rWYdfJqiepTFfXhIo0KVd8
72H2qPulopRVjhf74DoCZWS1nmixISUEhpDpE1Cwqmg2IzcmpqrptIlLlhLUAdKtLFhuBul4kwMN
Yeytl3D+JPSeNLpzTG9ApGYrTzntfrB9vpV2aNZukVbcidzkRrj7d+534kCZ7okJyFbMXyIdJZQm
NFRSenK8K8g4s+LSNrbLc39eXl4h0JnA9DbnwJyn8JAVBqSVPn01XOdXa0+XHBsIIV35N7MiLMus
bl5gw1n0ngcEltrwbpfGb9FGT2PqX+N0RFFRnvtBPsHrg19oypfciKEFu8WbAmJChY6qbDk99lPX
nnH+bkyN5ISGmaK0e5Kf8vCgqXVZJqfCgK+eMc+Lyl0b4JwOjapaEQ66gu9NUp3qXs1cP3RxU28S
oRPF7BG6HQTG2vaYpyrNfSx9GKqk4ELmcjo6KLIjC7beQmN+6EOfflI/3qMuxVqog75DCzmQ8OUA
Euq9/uqM8Y8eu0Bls/BE4EpgC9IZCXnyQGubacngbrHEBqs+qvFvGcVdqq4NbVRifTqXFOcqDjGs
exvIAszyVYk7J4ubGc70sy+ZhKlUvLUFSZQqdTGdGR1ac1LjyD73JuPTYm23KqEO7ix/ePRCRv5x
IAvN8us1GM6jtO+9zldr1wohe+XDuY8nZz2k3ffWNh7N6XEKOG3IS7xvNT25RC6ajWRAaq4Dw+vy
M54hlKzaTaTNwEBIxOFUooDutFevoPOqB0TH0aU9VBbEWm/Ofe+qR0ea2z56tKwbI/4Tlkuqwyp7
HqsUVatxwUiD6wI+uyODY9FEP01533cBJDuHnkXuNG8Zio8YmfRuVCz92uF3VuTusaJDcq8Ngdpg
iKCbr+tnme+IjCgOk+/FG4t1HhqQiLRDYW7SnsOQjPvB0i8iYkZZE/9II2zIJI57IuV6gsXQhhLl
Y7DIMULJSZlPSDMEKJmwvwKDUcziwFVgeEnSGI/egI0bbfNv5ZsfSnk4DehVipYY9Cpyv40kKx0C
S0/BqlmgPvx3GHr6a0v4j2HVp1Qp/xi2pJqPsfYqNcKYbfq4KFDgQvwCu8Iw3Z3yIviUknFfiZwJ
YnLvMjnrdByqxDytSMqQhJsJLEAsoDWolSQQMIutJwgIpDMY4jxatOx0IF5bu2oJkh6oRIQjjk8H
CbRfgKz0SMfzXTrk/i+ntrOzyjKkaix+Vr6N43GgnLACVHUgNrM8sNrNHqu6eEYx9dGZ0e+o/WWY
lrXr9BHbG0Amxl3znnAslVoU9TIduR4rfvoBw7NThOMGbBLJ3GCydu/CyiBpUV5ubHPawh3K15Au
7mQwtNvSpvlYeugCCRizLtY73L9pZ7Gi5Ou+K3xp/fAs+bsMpjsbW8QxsytnS84rqfcpuPDAFdup
B9TmNtQKgdMeB4oewQgFL0Z/uEobz9wERuEiAzJbPg8siXTi7LL98iFh6bnV9Irbr0d/plJQp7T6
p47i39eS6UmboiMjUnDyZXaz8ibc+0J+CyBNrWEVQt7IsYmrtjwEDWZ2LwHwpMVwHaOR5TAjGyVd
+xpZSHRy7yIcrM9+gfJtxjJaNSrxbNZ+WYGzVXr11o7C3dtF9UBZ1j0YjrwLaUpVoMZgGYR492x9
6wr/kZ71gcqQc/MVoJi6KcQxAoaJja9ND27BxMWxMHADZyGDBH+CYbSfdjm9pH3W8bvtE9hfsuOJ
/UiI9TLrX/7QPZVoD5ioVZuuF8BhPbFvI48kHrTwpU9wr4mPg9GGdFnmxisyqD4qbehXqZxXC6X9
O6cCjG1S9aTgAasV7i/RoMmEHNEz/xE/vVLjT1DFwcxMZxU2aBzThPKEx5I6tEsBZ+0Y85etq4a4
itGR3lnzf2e1Ql4HDQwzVqGfQ+67u3ig3xQHmnMNHOFcScHayN5UazF55jZPwxg9uhppFRso0xW0
At8po1WTiR6HNbWagi9R1VcdYdIp8rsb1Zdkb7XodERfeduyjD8WDKlZAwKvTaRc3VSAp0rtqMLI
zKePtTBCegDmv89fh5lx+ueZ+empmlcBwZNh8Bdmom2JdXeTs12V3Kr8AhRqW5Wvfx6iOdlXpuwP
JO+aOxbZNBfnyd/o07GIg/OyZ1NEPnQWnpGZEBkmLhLOZXcicRE4Bn55A1E8Rr+GziFvWTaq8/Jd
lLXfeQSDpMcniqHkXPtII4J5L3RYujSpcRypp3IJAqwqpuxc1DXsJ61yV5k3sbRvbGAsurJBu7YY
LpVFX1gN09uYBhnDVknEXZWegww3DV/QpeCvP1fzptQ8kBiW9ro8FQP8W6MsyQCzWWZ87Os0PIJE
2tq17h4cv96hZq7Py6bryZ8cCvAtygV6a9faRlU2o9csee+T2apBGWSTDOCIfWB2GfhSn28cPaCG
DGv2ckRR2m+wbxTnpGvzM9qSctUyBHJepx/SrzRuXfGhDZ1bWw00F1NgJGYZmWSxxvUZuaPYtPi0
VmnI6WMJlHjhTKxd2LW6in6ybOV8QEV67lmekIJI4wKawgqHDQUTW9GeMsfiTG2hODeiRdFR6Htp
GDlTCTcuzx0+lA3VBZfKY1ue9aF39rjKL03E7AhjanXOrFpfy9qfRxefRsjyJKjYDacURfAQHlAh
VLV1MjhHagzOsWNS21n+wZCKW2md8sHIz918EPyBhkFbh9fSd9tjRY7I8tkjyk/nZa8JubfC0KOs
SkBT5qXhQwV+gHS9n7ovpqNLz5dIsWqfd1hOczGAnOrPgQngpizmmMKpvcO6ru1DMXzXacFvSqe6
FFntzG4Me75tv4GuYbAqrRhFCtO5UbffOdC7qW+TK23tAgzqLkcn5GsWSimHapI94FrxfCCFfT8g
leg3YSVA3zyYj17PXG90Syh09pvRQfJJEUJrot6lBZLLbso4a2sK5iqKPv/bDvFfsUPopj4HMPzn
doi7OHmHpPEf/BB//9DffgjX/Ms0mMNYugGJ27Bc7BV/+yGkMP4SgkvDUvofs8SXH0LNryipbFIe
HBPcxZc/wvjLlpZlOTb/0Pyzzv+XQULOnPp/hKZYPGEoJkCu5GNIY3Fl/NMgUQGwzZjElCctVOck
HynGjsUJeZ8LxzFAowsZlAieNf0AHRHgtxhP1jpv5QBTBlZ42vRn8hOh1Wpmsh5GrJUgHSgZmuYR
KJh2Eib4aROOZeVXxrbVj0E/S06NfSGseG10nrnuq+ZjKOcuep1zfw3xUDrT7MQ9UOFFZkiKFKGV
qANq6ia4Chi69Bz8cWFbL4WVxvQPXNoOtIxOXT2o07L3tdFMTGAhzUZiGy3laoflJd0n4uXPD5V9
rk6o5OqZV/DiJqN+IvLo741fF/rJYxTdxBbuz+VhTAjzOpkYr77evLywbML5J5a95bcseyM2Zro+
2VYODORp9RnU/bTWnBSun0jS87IRsk3PFdEYBytC64bsHruXhjJk2UNhmMYK5tgUw56Q1MI8mh/R
NOH8Tl3c6pRhHtoyVMDeL6aDhaOrMbIiusvOX5tIdkTc42Fbj7FHc9ELO5hmbtCsdEsvzgQ2XuAA
QWy7pbbVr+nCRHsWPYAjqvQemcFPG2keho2p39oi+Z5MgEaDsHijW0H486gevJ45gwhsh2UqN8U6
p/lewex3HO0HnAgWHl2CaFqL19IdcBrY6cVw6H30FYw2cyj1q9/o8grfgo54zAp25cKi30VVdBD0
to6aY6y4cfos1VoZXLTxk7lAdu1cyMJ8mmtfwwtU5rmKjPbikaSDTObDZ3G9DuflAVBoStAaD2XV
eBvDyo1rwYpuJsYxSUu6byPy0YEC2IUYcXdbWbWG3sEKrnpXcXaSwrXradgcaKsdaPWnNzNAkRGk
Vbc3eh9KnowJSyFvb9ybpbYfTJLVHCJbVnraXzLlmRd0iqu8H2r007l1EQnlHuVML8trJMBy9Cjt
pxBtKGzyBshTzlGvtL3kT7+CwTSucv7UTR28dJo+7qowgNvDa9O8YcFwN+qW2gRierbBsu8bUvVo
g2XTpcLEcentkONhJfRbtJ9qarghjaU89XKK9tbYkgxXcc3XZpyfaA6pXW3X/+G5vvoBTuhGNYOm
VBykZ013xWHUSNXOAOZXbt6cav5x2A3z7vLk1yYL1FZLmQEzAM5CDCqa8EyjPaKY8/JIH6riBHcB
h++knI2tU5WgLrstq4fJ8p+HkAI/54Z+znGnsOY+WQMXS2nY94kvAXliigyLRNvFzHOx7A6nFjg6
uJnZoFqGuIxt1HsQe+/jgAY46nN92wELD6hnn8gq7g65a6/dRmdlmfeScvCyWwBvp7eZH/5UmH8m
pOOczJalhj5v+uSdxnG1cVyjobg1NMiq0FFVXYPDCt788pRbMSmX0sRXZEgm/BnjD2sFAMcFPtre
lgBmmGFvqzKGI+KWdXWK9Yjqih39JPq62waGToLUvCFm7u+95bnB6faEL1v7WqLdqKEZ4YGwD9C1
wgNGBgCyBbR35bnvRuUmu9ovGrjCfEqyJd4ljMftnyPZgprJnUFbU4yvThmTGqBtzNVdVWLZghGG
56+isc8EbODExhUV6GsoQdStfTwYZHkzNtCgoFQ91+8bUdpHmySNkMwKKgsCFaWREmHR74TlH6Df
7JPWJTkWA9eui5pnYxrtU+lQmce292R7HHRgS80q1XqstagKEMGKbIuVkK+xMdxNj5CG9bsBm45I
Ieqsl7org50Var8yo3MRoq5lm1kHJlirrg6zk5323CqW3VYrQe7Nm2WvB9xoQKOnCq2JYL/0A5YT
YLSs9LTs1Xn+yNy2wPRKP2TpMtC15Xa1tEY8uLgsTjxSIT1gV6lqRoCdTX9a+iysAQkQTCBf+g1m
Vr3TfwLgEUihPHNnTPWDmnMzSpyDh7ZdjfUPq/5Nb7M+lSAxk9U0hzioNeGf8kQ+R7weJGW9wLE/
SQCvtss7k5yko6FAc7y8OwZ/ufG8vKZB3cJcioqD0+vhwTIQv4/HMhudIwgllaBMmbDujRqTWvNV
Tx7pZc/pE5z8X3/78rALBf2SePKxRhL3sRyGGpm6LrzpsDxaNkuTxRrsS6KPH+BOWuTmtnEyCUXF
BoCdJp9cgaydPi5QGazJnB3xfILC6d1M46RWlU6sBdDEaBVoHakht0EZ+QFq3K5ushbfL1YY6hj7
hOTkFUk4GDHcSG48qZUsrU2IEqzZQroEkSQoW4gdkAP8HnOUNp71b6zTtV2bFv7WjUivLQbVsoLu
NmU5ccDnzQQDj3pCBpkSHEewRbNJVMQx6ICWzp2qFMFCFM8Obpt7QVEhGtaB1tohyO+vzfJcPbUP
wq8AQc+D3Vcj5+uhmIe8NNTale8r6uu5z721LQ7L1U/1hdFg2V02jmu5s+/UWllmg+UxQgcnqNTa
g4f5Y940sq33eu39GYPSiSE9gIKTIXmgvt7dQbNH8WKKt+XfXcbb5bP828PJE9o+I3fCthwmhOjK
vcY5enFhcwGVrIxxp7/WFmvzrunFadlA0TM3dcoRIRLQvEhVlqirrU/QHuCPAy0466a2mVAOHfTs
SfNm1Bp8Abj+pr/N9Y5rabk2XdxRsG3tCu07SVNrMV+DPQUVyEq0KgK5o3L+AxTmNuIHQ6fsd7XS
af3B35vTV6B8jtPfrcmUxAmqhP/qUi6vfL0s0wMGP+O4NC+/nl72Ig+zoureDHpnJ9VTWe09xrr5
kTMflGgO3vl6+GfPsOOj0TO0l+gItstzeeyjvVmOYwGXCVFtmc/0aAtpCiUTPRtOZpSIS9Sp6WK1
7rErNIeSDfk6YZX9DtNOnqRmyFNZ5HhcXPdhrBu6n3MLdNlbmqFZWIU0U/715Nd7/l/PKepk61zz
CQOaf9fXJs1UdZAlqqt/Pf9vP7+8YM992WWvHUptrWkgS5dLryjSkMDJ+SosKWJgVxj0ecKeRuuB
AZ1u947SJ8JhIkH+cQv9erjsdRORTKg2ubkuj5fb7NdDfIEb0voAIAwIFrBewZ6ebzn6fPOpaCEm
tBZ43M/XkWWirkrrnuKxJB5l2TgC1DEnV+scOlIheqNoL8uG2AtCObgjrxM7hLQjZ+OsTqwDpT7u
+eMImsCbwB4dwi729qNfbymGmiNHA44LrNdld3DnW2Giyfz07y/9410hafQCrCwfdHkXSXMiL46T
YvTZZvMATM4sTfd5b9m0EKL+fqVAW0rRZH6JVUuZHpZd3Fc4QjChpodldzQGLtev36LXVrAu1NAl
Z58gqE1eshYgJLNiXP/zy//5zNev9ObO+PIbl+cG2nDHFmHA/PS/vSsYA2f888qf3eVf//NBlrcu
j6Ed8q7l8Z9/8etXCTDuUD5suD5KQWX7t9//9Sn+fOyvl79++3/huTw9R4oQw27HQug4eeOI8nQd
+uYacSjUycKYKCKOT0NmYhELeyTJsryZETKRpqezQMHlJQqdDnl38RKTW8NkdrIIRhfmXnrqvqZo
+52l8CdT9PdGBeWWqjpV/wl7Pzhk1h+5CcZKR6gb1sHzQDgp9ajYO9mEUphBCwXPI02oru1xm4Qu
GQh582QgMNkUTt0CPUekbHfd09Q7/aZF+m3PYuFGSlK51Rmw9RkoMuYQoGZrQOrdDhAJ7b0WM7TG
jc9Wu4ZMWNh1qA6GJqq4FmgbIgjGo1IVyb7Imt+ePeMQiIdcAxz/oTdDuLXt707UKKQOUUzmWYcV
vdohinkzNNq33a4Drs1EG4b8ZGvGUbX2KeVyoSVFZonGcUtq85znTcvQF/4InIYOc/CrHz8S19tH
xpzaiLiIwK7gtelIryLk/miWLEizfDj5hrE3sM7LAsVR6NNypJj4izY7lUHX2useFYnIznZ+xcqt
rZpXTdm/gD/CXqOAkY7cW/nRVRsDkBm8nRHvrIq2RV2kSCoSexskxkfsJQ8upYmXLv0QEJpaplx3
IyqvtGKuW2KrNUJxX47U2/MQoSB71RqOCysOsy3Wvv020e/emCR5HXNivFYCze4xMujesMreUzfl
m7Uxn/toBCuA2XvXad7FhLZnqPwXLCMU2rUYZrnZNsDN6MNnsttrZmyvhpRM1AqKYFhgD5OG8x5x
pp8i7tSIw7ppJ4LwaRpQrymg2IWuXSebCWjKbDWzbLkfGo8RkbiUAL/2offlN6enTmoQZIfj03wM
TeebA1G3dyWrdx90WCP9u7aO9k059JtJ17Yu5YyNxyGHheTutZ4EHKJYL2C8vF9aV1/4r8QgPefZ
91U+NxfFtjYlFjo83oeQudWqzDcRlty9ZSYnaxJ3LjXOY+w31Umo6IL+Y7xzRw0ankYsfWni3+d8
ldLL1yadpK5EGJgn9dbsR07OdjJ2g66adev299Rh12BWSwLkmg99nm45Qg3HvnjVTIdhFa4ReRLV
JqKCbaU4LrOssa7OlOuwkBA16m4cnU29M/aonh6BCkcjXqxEevvMir+XhvVh1daj6QjxHfvRa8EQ
hVsF16VTAmXoh6na61PfXYW4hsTaofJmFWnqOdTIDuZOQhfJq4ZbjsTGbpt1H8sHO2/r+zH7FFP4
DRe4jUTaWYmBVoN6QkkvXDIhipxkjMGkgKX9miSNj9ADHxLQ+HJBMkKKgNKKAzFO8H6MMUFGWVf/
QlllkXvqfrNUWR+osdOT35smXMrSJrWA5iwKUS0B9mV6XG7WaaKqxTTP2fYa+sC080i8hzHdey2K
PBde3GD0+EMwPqZdTXpRtA9byP807k6pEwy73IpupSebLb2HtxzG0toDB1wHhEQYOSMf7X40KtR9
9CKrdihsXlOvI17dhhRoIabvxbdCad4paeJdoPDOIUM+x0h9HrTBNOB/9/FOxfWvvnFJS2OMWgvU
ukSssMbF4k+Drb7BOAA9Zti71t73ufPUtzFVKTtrNjBbfoW2frZGQ1/rffg+9VCyHKK4PN2nCcD5
tcvcjvTk6sWoUO6OYsx2Y8eB1l+6Lvks8McDMakAxROpYWmcvsU7ZQr+pg6amynjH643ED8CPnbW
GVCK/9XmEMdzUFP7yEQXHphG+i21nR2S8A0u/PY+AftlpPa+zpPHbpTZxjfhzPcYN7dNEeY7d6QN
GBX4WiXu/XB4b0keGpySGNz+ufGTE/WrhAsk+eaGmOpG7uKpTu5fHZzxt9xluv3RZbsmYajBYXVy
O+QuJbDVXPUOOO7PPijEppfdpyOzQxx0gqIc3L2MtpgKC7WilDnd5HyAMifAFYWAJRiAqjqx6W01
mZIHAOJ7UxiZjgpMzVFm4UcBmTPBXBe13b6HY81MuEI/xdLT4VaF1dqlPWQIB7KEj2Q3NMu1yCTS
TuLeovA75JhsY+UmmTR199HWoL6FW3BdxAheAllvatBe+hvyEX1NmJI6UIcq8m5NxIJ584FtecLP
OTdgOJIYYYPXXrupjZhDC36Y1nVKvdswi1KDPg/3ptf+MI34lLMa3lW9dYb9Z99kFlyrWZMwB8ft
4sS5UW92MKThf/V9GlEIFHSUBsUDXJgDd2E4cA3KWxUaWz2aXvMgKlZl1BDZZesZnfmRLnxHKyzs
4wc7hHJbU2M3guHdJCiVHLh5ipa8QDkcmDPqv/X83rcoQ6HjghJi4hDQXqDCnOv3IoiezUl7b+AT
ngYPSqqEInlkuXobvUxnWhDcGR2QA8Q7ewsBTibvnalqNhkk210HGGLCqr4mkkRCYWEwDiB1tEjq
mzLIV23AfZkCwqOpGc/KY4CMw0I8FD4+YPzSBmUeDfaynLbQEOHbFv6aZKBwHeQm9osIrgDShP3U
1PeI/GZhxnxCTJdQpPdDjtQk4itDGnIc/ZHRgbQI/NPqrJFshM+0sA5mlexwI7ukxN0x82vWvlLP
RVwR8RXcIzeuz3lnfsyBBrKoTrkZhhBzRn07wOUcgsjZ2m0aE/QjsgMknZ9oLZ7aieOIH6QE3VTR
3C0HEtrdGjp6yQy20x/J/j1ZfnSbUBTrmtFsBaCKbUFsyUaCbza77COBUbKzSvK9g4gABmz+KB2d
dy/qIGboTAENt74TdIWxZxnrjmSgyAEaZeX+b9YcVPFNv3VfKy17dAvUgNKEn++I4l6Epz7LAcKq
5KRHqKk7Aekg1o1d0faPrHK5UXPVVVJjhCNSqh+RPA2mL9a6HJ9Y7BFaRUBbH0qk/Di1NPxrtule
g3kZMqWPKPET+rvdRjrxdB2N4kGGQp61piPtUzsT4Ak5AufEWigkUNNUFg9uV1Frdkg69cmooJMK
t62ET1JsgtKLmd0q1nzad01RgatZe61jEyMhkJod1abs3g9dhTUcFkruvjEclSuDyTwwauluk3aQ
t66Kz5UQJyIvaoTOPgFNXTZs2ySkA9Nv1WgZx1wfH2kmD/fg79Ot0GQ1py+EcGsKk2ZAXh1MO4p2
kk65T+krS/MzpK5PZWF1bbknbUSb/YSs9SvUmGslqtV2tIOpGsPAu+sH4nf6p4wp4V4Hrb+1k/ZY
9FBd8gwWscHQwIDoioe+GS6zE/FucmhwExPuJL2LFJ21LiGksJlo2adWfYvNoGLthTAk7yhQurO9
na5suO+acBOFZnXswdGAecE83BDdQJzYxibfY93oIYBsOjfcOz5aOy2IRWFUDvXa2aDBvERAs5ho
BZ9hfYUBuCPs7cY00jtYafFo2N/g8conryIHxO/xjzh4eFDfWGX5o+4onLeN/mLqTO5dZTykvvVa
zLKOUDxIx05Z92XNdpCoMIfa9Tbwrx5zHVE/We4aOnxgvAEwJVrRYhUV7SEZzqQ0AHxWgmLy8Nja
vVhreY9deDipNojWJi7mhkYnkUbDTytzwO46PXE6LU9pnoaJoAKxpeZ1gadveyNDz+7h2Oi1+q2F
w7uRxUTcVEFMwkhfLESJ0A7gRSFrEOCXIKZEsaTC9JdB+NwmTQk9GKRTb2SoiVVe4s8sf+tB2sy+
QZJz4vYUju4hr2xrUylKvnGQFwfpQTeMVFFsQZ1uWeWQstJGO3qL18TmX05yC9pNHXFvMO5Ey01r
MGE2hBOoiFkzF4XtW8vYvyYKasI/bP+omqhlwHO2Xg5DXVbtuz00T3HrPpglVfVyosYg4W1407aq
UU0a4/A+ZijVU9197VJUwgJXwlSUcJumguVaMKac2f2WQtpZOUbAlQo/v6YAlDougcfa/Ffq0Jaj
Ow9kQCf2CEuQ0p27MPyw4Ewh6Z0JFdCVov6zgjIQWYO1s/3utzkSaxTPX6BdHPnOWLaZs9pvTul0
82en5P4xpi4EGrkvVPe7TYdnPfCPuW/umda/e3EwHn2XyXLm2o+izq6gP5/iiKi4RGtOjdXus5yA
xgwpG5DaleVwQeaDGW46Y0Bi2J9yj/SQQb3rE+aBovfd7VQgCw19Gs0+ErAVdTJ5aZGu0qIsh3Nj
3mgNQUSbkIAGU/osYgyVE1Z1vjK0hcl4x9qFSpClnRvmpIzCLuUa0bQvU2bkN1Ypejyj6yYOWYHk
aJVVJqCJ5id928+gneaXKDz6Oqe2bT4zSvwqaZ7titTYyw4/H/4CvGAuo7ZnkY0+Df6l00jAcH1n
E9FZX0EXJoLC6hDRlS+2L7rdJtJ855Grp7eKmFWKN2O7aegl2IAmUk/RDv4g5KweJ0S4cY3nL/xQ
lUXRj3OyVnitB9rVq7AjICCbQiSwFBMx730GBNqtg2A8BOH4ITMs0WUXwdeYP4DosoMMKsSBGaJm
7XvrDy1mPXVjjvBqNMa3Su/ujUxDhxreuRHfUhr5lFLT/qdBEmjZcH9iIV+2pImFYfDsz9xmhKg7
w49nmhOxBUSXs0IO/HuYinIfoIYifAsHY5sQjN3hA2IGblJhZlQbJXbtzKFSCqJG6sze24FQSQ4F
JT0M+j3p7ms8avRNxxLXxkg8H+oseYmpMGBuA2ev+nejrH8gZ1wTNj3QI6uJMeqjl1G+B7r84ae4
ERschoihuDs35jrsUOJLh9xH5NKA0K66gTmowMQ2mC1xB6aOG06cqT5hiMUDeUhIqwDUPsCRaZ/D
0fKu6AETB/UXTImPvMW6EwN132ks49nrH8dC7QCKiW0XE4KMqWEF9+rkqczf1Qac7kABpYH1PPIX
IR9KG0z/46g2CebaXWs9Drn23PafbkDV25bPPYLmdeI4b4BpYWZylzO6lDmfOnhgHzmzaHS3jADw
K+ilJtFsWMyOQaFm3W65nmCNXbKx403MVJFyMXPAfwsXOURGxQgiGrVOHfCsGk3BMjYZHqJ7Nyg2
fiuQhHnVfuQjgL5g5OMzB4aTb0t65pLpaOXigGWNivDaW0l8pFyQ/EmDGF7bttIIh5S7SNP1te8j
+iuQvK8KB8eCCLcaRvDW9Un9nAgFqKvPJiUVj/mulYZ3XZYTKPfMHYEpbxm+BD1oKR3qSxwmzM61
70YYkLpWW+NVhT9NEkutdCIYEpszwstp203ExumlcRW19lyPki4xQr5Nh0xYvqQe6eMsBRiMJ2BF
TfBT63yAtPFhYHUP36F44qZ5NaDyKp/TM90a8/ck48hd9x2kOTvhAAJ0g7Dgc7YsMQYq1Ld+UDA3
cx8xe0BsSNydi/yFNJ0igiYfGOpbQAF65ZjX2EJikHg0B/3gnnoc4SR9fA8KZKMjsyjr/skeo6ew
mx6HIXzww/EYNsWtqdNdVd2sWP+R8ycgYif74GcBhszvtfvamji9tMsQFuhtJrWbF6YT5lMuXCa0
vrwzYv9d94znSW9Bok0we6LyE8o/4HZWCR2OnZ2lPTvueCgsce1aF090CEwg9/hzrdJ+M6fuQefb
MpCTEpMjAvMbIOmn0hyigySYj8YlE0RWpSRYdemuSTljKjPLSQipEB0SLSGqt0mpNzstKSHIK0CQ
z7Z234y2/ciyj772FGl94kKwxzNtpIdSK9epnX3ie9knU/EJ9+QbwuSnrDPIs8hcUs8zRbRbHJJT
0/7ImGAT6MuQFJUjYIwmf0+wP1cVTvaQFpGZUCgYjuZIYIZefLOs6FzV4lXJ+luv0l0w0CrOHe8B
pxCV5a76BA/34Pov0KDv9Fq7BE10bEXysxB0lSqlnRNQWEhGUNj6xGpUcDGxxbjFRpflqxbeF1P4
A5PFb/I0jLpCylQUIEsa55rrUCRbyG8SwYJmXFVnfVoyrdc+WIc1Weq3rtNzgEA2VSRm2kGxbVR4
8ppXAzp24H+vBkIQ0mZ80DyWgkqgQAsfp3D/34K+/4qgT9kGSrr/XM83p3dW77/yf/KN//zM33I+
KfS/BFBj17UMGxu4I/8h53P/ErYQCrWSDute8C9ledUE//t/mPIvIQ2bXBxDuIJKE6JCNArzS4b9
F9I73XWQ8lmGmuV5/+d//Rz+p/8bAkEy/l/2zmNJbiTN1q8yNutBG7RY9OKGFqmYmWSKDYxMFqG1
cABPP597VDFYvN3X5u5nAwMQCA043H8/5ztRVXa/bf9HORQPVVL23T//k4/xdzWfTg/a9ygfeZxL
jh3YEof88fUxKSMON/5LLyjohNrCGdzGxZrErOYkOiYpnZ9rl331RN0onVHKrIRaV0f9X49NYb9s
2nluVr88Ll9PbaoF9u3mZPoR+cIC4kE24HZgqu1TPKLOLuWsa6YmcwH4wuKPGAConYmcn1WLepbz
s5eDKDJk+DflY+qoXD7/eugvL3c95vqwWsN2W63aQbyNdHGp0fz1Nr+9q7BTbkHXh9Xab8dcPlmn
0UMnyC3ZXI8pje4FHktAN70/gvkf911YophZsGzqtpzVFlnItL3aqxae2/1tO6twiapHlph7l+ZE
R/VstYucSmbxntX69UC1qRbXIy+Hy7f95Q3+1cO/7YvKyt91mXsr4UWDizX0+kpqzQq8Ww/9zg5x
X8UULLnWFPNZVYv055rahLPHw/aAMEJtDxapkUvQeZe/8vov/vanqs1S/f8+N1zMgB6mNRd9wrq1
mV8nKh4JB1VahhFesgWcwlmrTtKqqAFtGTUpDPJAtU+tXZ6nTmkTCAX9NeNOnaez2qcexsEBSS0m
gkc+NxeuT20BiNkvz1WrprAf3METO7V1uTjkJ1KblxeVm3TRJixOwm4HsiHwkK/UqlokFFePTB6p
mJM5atGfKWVYJuVhV6GY7fmgizWw0onU/HhVTlFBrfZ4i6uIcGuDpOtNj1Z3pYzHajF09PJ1/n1E
4wPwJH/eqv1KmqTWGDDtTeYk962Up4S1i6iPSQ76kz+3rbaCqu2Wb0oJohZKqaDWlHzBkIIHtZkv
88sy16SOSfkDnoQ11GobBpi8mEJNZwmMYtzLMrnSbCg1R4Sz7U/R1WXVSj5NDqqmbgZNlFU5jyr9
XaFWfamuUhokp3hwo8BhTK/fqq9TqvQBtXoxYYMGQ8WA4AoVhWcCGKLgjgDePaQ2quTt9eN7Ruox
L6kjw5DnrlLmKCWP2lQLgDt/ineyorn1pcJJ6WJAgSAnMBdbitsmKdUp7B7RZPfpKgJRa+rd9EGb
DxPmHCU9UpKjdJFTbuXcbCegCX+qGqKkYdVxehxTWYnDIzM9zO6Nh1un1lZz2iEcvXwuGG5IFygn
ryoz8P4UTcr/xNZAJ4H7OajPqf6h638V7pYaCzxhxjTyWV58qTsGKpdN0COICNNKW7cULojtk8aP
MDoqHRnaoi+BzHsQ9nJEqTLulZ5MPabWoDNvTcl+4x9vTxqsCuzMrAVTja1dk8LFJtaAT1nDd78X
xDP22DNOVkZOCu41VtU2EaRPVCbrnSOzKDTUYfDq5WqIdfuk1nxMM5xM0Y2SuigKQNbL6qZSnyg0
APPg1coVnNJOEL0Sy9idZrlQa9dNfwlqyMrxD7VrGKI3fyT3M4bLR5MCgu5EKh9TwtFyOxiI2NWu
GCky85zVAZ7wS23ntPc/vyyuG2qg1+1Jxz1KzlBNIspf3/DyNa2446zrIMtTBzWPenGjrPrXb6k2
1fdVzn2iAHaT34b7JDdmpoERbF9xCBeNpaOUlur7V7C6XU+YByXSGUAhrAaTuflfzld1dlREbzNm
kd3nTt78L1ewvIyDQdsXsWXsr7tsu7hrYq48dMd/Ck2V7lQtoiVP1tB0kP9KrVEl1VeNPj6kDpJh
IUVDSkulNlMFaFDbjgHSooIZur2ou5TqUi10v6g5bRom25hkA81Bd702+3rjyXNeadoKL5ORdyNJ
BTVqKbUvLOd3r+olQJ4Ov1owgEMDUekUReMCPtTiMPskOQpK36rWLuyFkgmKI8MHQzBN5JU+REYp
+6uLYuJ00JvuRNpUdyJAnXhmHVbOLzI8dYJftm1yl9dlgLo7RnyMkZFLTf39rcQyqMUCbRiJ5Yy6
3GwCZx0tnsEY5yqS1XQG+4iZmZdBoih/vqu06rrZY7reVroYtlRwVt68GCe1iCLjxRmTkXIAFzvj
rj8XnhLs/NynNhkVUwlVq+pA9ZTrptpnpVG8N2f3rLYAf9E2q+Muq2rvL69zWfUpfLs97R58B23X
ds2NWRbdaZppGcwOg5gOqtB0x82AMn/DVCl+cA1YXOVQ/RZlkW3MmvMsl13JXnakOqOk1bDlzsuq
epxG5T4sEIXqOXHDpZRGCal3gi7Fp1Sraqda1Eo5JRcavWY6mFLpe32O2hw/WQO60Osz1V61OZO+
zZNMSoR159Z0TeQ2Mwr0Z3++EuhcRAOJU1L8lxeeerhS/Rm1Gqvepzw8lWtqM1MK5Ou2OvC6eXm4
UP1mdaR6EumO9JGvr6mOv25eHv7t3dLrc+AVV/t+qC+fQD3vl095OfDyGl5DfGkU+kR4Z9xgqN5y
00PJgahOboemPW6iED+B2qcWg3z0urn4yC7UwWrt+ly1OSxNDHEN7ShH2UhgkDbLVd1xiaFSB2u2
vN2q1cve6+tc34o7IiCvPIdk/fP91FP+1cG/vOL14d8+onryL68vX1XtmxJaCsLwTCknVFlIaoGY
5F9vWpTQYX8JqEzyEJWz1MjO1nUBoKwFlDB/V7v0IeH2Hsiu2fWQ3zbVA/92XyWVfAkQV9K2eCNi
tHjB317r8i7/8nEocuEaUQjWFfWJf35R9dnVPuCqNFJq9XqMerhVaVKXnfLefT3GMSKHjBBUKgKt
UULhRb6wWqgfT2g9f7lnCFBWmftU451cjfmAoE518opxZCKzwH8i9daO7Jt5CsGjtq+Ly862NKDq
Ncwv/36QJZ95eUn1ImpbPf2yU23rcz5tjXJZCR+8Vuzj4GZOUGMg2wYn4lKqla6BNmjIylr5bRpt
baeF79jUnre2LQ2OirrtTVT8nmQElzejuRltPd0McG9or2RnTeqRBtWXZLqeXyKO+f5+K4Fbhl5t
wyEAaLPo9kmtxU3hXNZspgJIJvMP6AdpGmXvIlC9qhScJ/VmE3lRHiXMs50NLPpSb8cdZ5IWkbjM
6XIl0jISyYXa6WodDg+zw+vhGY9M2be7XCcgb53E/kmf4LeOg+8AW2Qx2OhRmUvHwoVnJJWjFrWG
BOiIO8jYt8rWIRfCA6ZINczYEuP7zR704TTKIdF1ofa59BA2lkEZV/goarSlEduK+iY3igXNreZi
2WjSV0zl/rZQt2PwmvTO5KJbYPVU1YtOE0wTIX8JR/ar1A+j1tRCPZAz1U4CKRjMpHDF6bIw8/jQ
LTgXVNvYq5ZZycOFbJ8B6dDKqr16mdzNdhrsZhGPp8A1AuRbCd83aufD7wcbsrVWT1OPqDWoyDVp
iCcqRP0vC1hgv26qR9W+pEFypwUT5FJo+6cwmMeTS3YR/28s1mrf9QG1NsmfKphgdGWyN6/+X7V2
XYzyHFD/udqnNntDFn2u25c1PArxMg8kCKvRgnxB9YB6snpeEnl3oCwM4mG55WKtLk/0DcuLKFht
QsHnFhmrwZ7S+DaGvPFeD42TksBsHUT9LwflFul3CQonqaamoo2wGn7bePKl2jpQwutKarCB8Xe4
W9BlC6nQHqVgWy0G5Nue1HGThIKkO5ISb7UYlOTbluJvqQJXLU+jpOHXNqyQyvF6HFAOMGd9ypGV
A0kCICGF54ZcXDcHJUm/bqs1dYw6Wm0SX58f/rdY+z8p1oLNp7r674u1/6fNvpbd1+7XYu3lOX9l
0QX/cG0HXrwZwBThXKNY+qf3Glu2a7iBi4naw0utbNl/FmupyDo61B6irKRfmznCa7EWw7ZhcDQ2
PoSQPmFzvxVn/1/FWtMw+T5/814bvJxOtLdnYOm2mWH+e7W2SRrTrs3BPjpMA0LbseFZFt05Tpwv
ue0lkDOTaCtc+wM6DNHgrmW4Rzdo3zzc0tuB2sohcucn9BxvHQm4TJP77YqoEYt6YvQ5MKzbqhDJ
kRmhCTgiWRkxgiw/IlNrJqXDLPBShwGR4oP3Es3ptA+0lExpPA9yzrcHmjk73nK7if10goSv+cAe
ZoaEppVtk9DCEW5886d1mOrdDe3luI4LZsF6j0DuwrBGdL7ejwwx5lNHwJww8V+S/HKfO5imOqy3
5ZDXlI8wEqWT7uwL01zxtxB9RZUdIVD8gITaPOY6kSnF+7Gt4891vbhnv0FbwjVPZ2GBme5Xy0Oa
4P3KukXfdJ9iV/Q3GlEwCCsKxpsVATpVjmEyS49JlSYPC6yFRAT1Gk3qRIbxfWD4zB+jA4E0Q7Ku
id18ZRdkcEVD9UfpeH+EnpXvm7aClA3vCKRMeRbLeV4WB+Fbqa91nHurO2PsxLEisTIIzXPcdrfd
CBnZTK29l85fRGE+YXO0NmURvwRLk26nPkOKgGaLv7VvgUL8CPPpvm/DhxwXADDOTN/bY6whBKjd
dVsUh2xI7LMrlpWDLPjeC2xE1ZC6xADpa7SNl7ACJQf0pV2HWbgLmflsUVHsQmfcoVoihTNALVIJ
59Yx/J3fRPsUX/1YgSMnnIJZ8hwlh8UE1N7IfBz8ZeNu4PzNa6SIz7VDiapBIrBPRLWJ3Do9LKJ8
r/Tsserao9fV761PK9oUwXIXah583B6nxBK0yXEOOpBrdFrSzGYaOc43i16+N9ohaOroM+JyDxC8
GZUfaYOMO54eezy0/pweBkaGK+Qr77HkIeausRYFCoNCN+7FEB1ntzYOveu/6q0z7HJIBts+IA6t
ST4H3TYMavD8Pr1G6jory/C+Mpv5ZvvMwwH0n9aNU331xhx0tQDfGvpIlBJN8w5FZN4W1ZzJElN4
pgeX1SHVFOK35F0GHnVjv+l18sdigvgiaRktYG3v0Eyv0CAUOXlk6YLALp21lI8LF8ukG5yFD1oa
Acwv5ldqKAcTze9M/rZocL73XRQ8esV4sLQ/HGYDHhkxf4wAzvdZGR3SUmq5Y7HJ8jnmBzU/dcJ/
Ij3S2n4h+r3elXxqYsBdYhhysZ4G96HNCKeuEAEEqEc84mVAw55HW/QI2itya+OPzMBCwp2R9qPG
xmta73YKb2cEykM11d0hr6RnToRA64BhaqiwifKxcsW4d5cRDf7AzP2Qkq8tIwK5oGMz/1Lr9luV
e+u4hWhCcE5Q98S1gHETTDI8ViK7NRL/MeWK633/xknMu7Alu9B0xpISCkWNiZAsKxdo6KkPaL52
HHPvk60FW5vExLkZUsqqBIqBaaQYS6851osPcxQpoiWyJuh2bOc8eY40osAjE34rg94V+lcT9Esw
4XHKhrUoxQ9QW8QZ5M2bM6D6W7DoaW16gtT63iGqJ2WsPYZvjTuBjZwA+9lELVl9MhwS4Bagw50f
4ZBRy4Ecd44e/TqkM4Ux8ck2T57pfc/LlNQ6Yjm3CYyIiPzNNfqpeKtHiHeQ6RwJtWAQ1KK+o1yp
KtncAzjNbd9HQUg8W7J4b6KcUQhYurwoxRH97SolvxO4o1bybVpA3Zyg1jjdRrgriWYJkjXUyfDg
xcgrigVxnTvCRDZtapJFMr0L/BQb3aGmonnf7OS2ddrvmSOitfR4LBCfN1WXI0JAWbPnX5sCKAfF
kKIsaHL8UQiu4Cy2myJMtYMPD8no9OCYUqiJuVRWJOegB5iINeyXGdZgBvk3B6yWf6cqkq0jgac6
8h/QO2JNhii6CTKTnB8S3tdgcrYafI/zIKJHwMoafnnsP2mI1wYuRa3dosNfsNwkKNinBKib4Z68
ou4J5+7yPYjtNdThmyLsQGNF5nbR0bf4pKrtJivV9v08bwmrtTmhCSMz4gpFoohhsjUF1PNS52ZG
IEAsE5pDYa2nEWAGADST1E3eIUaObBam9hU+sHmYyopbrI6UC8rf/TjVb0ni+Tew6O6mBrn71E2v
2pDrpCy9aj2Je7mvEwBSapinSjQycYzpxMDFk2T3JFTZZxoDGuXSstaJKfZOCAmsc2nxwLa1U7ZP
5zbYju3Uk6rtfPGr6Evjat62GVttk+Je2RhOiS0irOpdQqwcXfq73DWtvcizCJqAxpRFlH2tE/E5
rdBeLv6hs2WOm5UQ7ZdtR0scSnLEDqbP79OXoIrc8eDPA/TjqSFEgmA8J2BY0TWYmbxbQtq4I7qI
FXzr0JYsMhKBRCIShJjBl9GNPyeBv4scCxtosGcu3Fr59XjTpgkfdYj4ZwG6rpi2RvVFs+uF3FWp
PPCupsOvQ8yuaL40PrcXN0SSWi8cSBaFtx6zwsCCeSqz+SkrzXu35zNqNCTMhCUaNkybamLf3rqQ
AsDGzZ/mwn2PQPtzTorjQj7T2YnQ0QOQRQCG8LzlQq70fG/UQ3wbpu5NMhf9TUeMVa9XwMjCBLBA
8xXWa5Ga55KchWhV2z8CC++YQZJ6HHef46Y91ZDO9ZwK8YR+cjOAagOQE99TM8xvjTOzLVx8zmTd
Aq8kPmFwjz69Jr/iB02G4AC87Y+gfykI21m3ToWdhTCMuLfW4ZQXRyMTOCy8+cG5H2ZOvMxoSIeU
3FDBDVpoM9jkUmzSFgpeXzA8GtDKmJxw+HUInQvsby0XIhjQ4XXUqo4KQb13h9zdLK+eTmBdZRc3
eug/VPTeznlB/paY7OjsZMG7kTb1rjFBwXJrfE41DbqCvGsPUQgGGYk61UzKyCEgCy/qYKgU3eui
Wfo+tutbz5goekTPTUYEl178YTZZx83QgaPVHckI+WpnRbXpau6kZYa6WPNorMieTBm+LcTvBJ9M
MwBCm9MTTOz5ZU4YknlIzZE+MeanCqDBcJkmOjrdjObGPKbk+q3CwQjBzpH6aCKbXwfNdFyEw5Rx
H/sruwqPvrckWHEI34M9EBzpBQ6AjY+Txb+ezRqnKPEJqxFVacBw96YmsGHTI91hNiczKXkGhwHZ
xbqwagT8VvwV8gmUv4rSyeLfcV+aiHgiKyry3J4zkhM0L8MXk0y/ZXgeJzJNSWfXb3PiouPU241l
Wm1ssqkwZ8Gpd52V73cIV2WfC7DehtkCfuq046wNYVSkmD6rleHkw6Hw3Zva8tKjcGXhSG/I4ELv
v23JRoMtMtBfshIU8JlNvNxWC+P7QKAns/qZj9Toj0teH/qwfYwTK1qD9PBhIy+bhj+h7frjYFgv
3dDPRyOta2B6Yb7VLZeuhPA22th4GzEE4yHvnb0TOISS8Geui8kNtrMV5ajkSftdXnP6LvsxlSkP
Uzveeov3bhTNN9BnzaYto2/JMmwJS+5WBoCg/ZRhCk0RmM9DFJAt6SBaNMcfgOAQ15ZdtfVQ1mBc
9VwSJGLZbbPpbtLVDO3pbayEdSd+CKv+OsdkxoDFKUwkeEnug44gVabxoQFlPZMOKbAXppdo3Pwd
XUT/1JBs1psoa9N614naO5pMFDEYGnBExcuj10wTgZgtwbUe9ccOpfNIku1UN8Q49DZgvcknFaZr
AgK/mPZ0vewRz5e7crT0iQKns0n7fmZWhy54YaZfE12/L+msyLthlIFTgGtIgB8cyHV59L77Hrkn
Ovq9kaQxWG+QPIV+dPPxXBXflzjQmBrFkOX6/pmRq/48iyPlTNioeOmSqvugr/ROT4/gs4ZBjz1s
AxcbQaZ723YekEZPo0TpGMwgEz/Su1WzjjXHXZlE45I/U+04rcNihF7PsAVe/3wTzTA2jcG9HcLK
XQsRfiwuQltC1VaDV1rbMi3cdYebuPehUYbkuliY+kZvBx+M7KEYO1GR9/e4uVbOMvo0cTKZqtLO
GRfgsbXM+xgA9TpK+xeoUMUqG9N3Cjbg67T61lpQTReNSwKGU46bbhBnYmyCT8Oc3moxRL/Jw4Mc
+eJNH3AZWO1yaGvrR27lT2NDU+oat35MAO+I4w1iKeaTTL+H76UnXo/nq7uhcsowprVwO5rucZzb
G/znRy3Tk73fWF8iPAJEyYhKYqN1bFufF0ZhK288u+b9GNGXiHQTyM3kriMAfdsZmVTkaB9Wtdcp
sDE3NdrbLivqbcWJvLPDcNMSa5gl2rdUGLgFHTci6ZM7nIOlm5jq1NgOHrHOJMufbMyV5NXOMVPS
cnKeidEVnVru50ZsMNHY4bqJSPftGmS9ZWYxWvXTNbfTH2jD7uLO26Vkg+6rDPNOPQdviW2+GHrY
PwWe9qiXcK0BbmA8ttdp9Nkr+ecAmSDfYshezoxNmke7ZjRPrg3leRj4m6hGc6vXX42MdDs3yYKd
K+GFyBpw0g42eXPZM7bBmyAJ2gO66WctwExb4yvAHUnR95lK8aqbJlTKQ1vtYiM+Mx2BVRE2yTrw
my/zDGKbWFm8xInzTeucz3Wa8rebr4FT4MZIifiU3SjL2DgY27aCTA0MI9WMttfdjLl7yrKo3Qwd
nNbYgadDSNN6rN76TguhXSPKN8W7SGKMTDQFSen7sEHNJx9gd67b9TNk41E3kZ67rkUX4UHvfA8E
KvGZQ7aZkGhI2zMOofQDq9pL6jfODXUeeFtMHnO/nIwfgda+R0N48nt9Z7dLs/epvMBjFFuzwHAa
GsNN4Lg4W2RiViyYauEzMlHvA72TljCfW1TUPZTZu+jn/MYUXb1eREr6mfg+oJMVOEYrgZ5Yl3hV
BwKcIwRmcHS0k0sy6xKSJr/03q50J2NbRPjUOuj5LjlPwP8pyk4SJkWwamOQOzj4t6gVtozetG2h
mVyhvv+IPy48UKxdoxeuqQ9Inf48QH8aCKHP+5vehpIWD9Sourjceb7+bIrGO/rW8sIsDQyKcI2n
AG5+aIA9Jxmpp8fjpgahXQK7exuRPdv69R2eJrKZQ8ZNVl6CMtPsfe/PBu2p/gVY1efW4kpz+y9u
Q+6x5ZofoorYgdRotpsbUlhkSbmPYZIRJGdGtwVBkSMAQpEgG9ZHDAN4A56muMHtEVOWWad59JRT
3mcsNt/2DaWhvp7x8kGCe8Rg8ZqZeveIvAp2QCm+Lg6OmhTsi2W9urghbvugf0qW+HmxIM+ZHQ1Y
YtfMLDArRQYPqDS1qhYpMVWDXx21pE8PkqpUy3K/WhhkrePNs/dqSwknGjwce98OH0ycjnPh6ccw
LgPyNBZtFw460QmStkQgEeFwxlGRlZzZR3ahVkXu73tqb/vYSGjJsoEcGQIp/NYO8OlOwKHcbvwU
C8JxG/GjtLrsGBsufjkzfoCV82Xo2giUBL4RLHqMjiXZiBb5Q2gPbuwM30ReH5s8wE/UOWD8WFvr
A0GhRS4mCOKhLw1aNExNzu8ZtR+uN5FAByOb5EVaNMPZ8kvDOyyYEzDMDGYDI0VwjvNWe9K92AYA
Jx6s0LuFgEYfcs6GTRLVR7w7FIGMhCGdfrC6fn4MtWqic7Id9bx/1Jzmg6YIZ67l3tp+gWkwf3eF
uKsiTWwgdzFvHd2Z3rlN7M/C8gnCTcjGqchzKPBFFLVfbGNiuNa6/p6gleJLYHpOcx82hm8+5oFv
btB7vXF7OBs6LMtUoryALCKOcW7CmgkMV8vsfVsbwcbDGJz17ltQm691UDw2dQ1cvR4/hilAMVud
k6rQ17ZrDPu0iWZcXDkpXTnNylJjgKKrx0mrPwwB6RHzCLGK+Tjqs3hVSqNe1U13hwnWOjh5+bRo
W7pkn0a8Mfuq72Hte+NrYcVrQlxxNhZFdhJiOOZJGq0a4m2heGSeg13Ub5ZwH+WEEU/WnW2ZN3C+
moviSkhYHZHAw0ZX874/F4qcY8nZXCVTgbDcrTVrKtdKcCQg6hPHrX0AN4ZNuUT3HafSXm2FTfGZ
DJlvyUjVpCGWc7Pk5XBBZl20bMijaWS6tZ9DBqmSzDr1zDkyHVoGBK9JAyRxha9KSSeWgElnpWob
ER5uOhtrjpJJadMi9snC2E+JadRH7dXMDnnw/j6JrH00AiGwl09tSpf/KmwqFInpuk3MPKxSN77k
z6iLeC4nfrfL9WwebMrpR0gt595iNrCJNko4edFQIiDzdm3Y3kYdru9L7AyjzebY+y/qYrQ8Klr4
DQ5KWqhe0oiiv15dvrdFsA92aL8Yzg1vkmtlsVff2CF8T7aQTByr7VJO03rm/OhYw7dgNM9DTPlE
QL3bO0O7D2OpJrzwkdQ0FeMxpDW0CAzGcN7ZQX8kZofsSCkJUvpQ1YqozYq5bDjcjJta2aqpj95a
+WvD3YpbDOS5wBzWgzvaB+Zb+kMZVlvfo/mNB0G30Rw+9R0Uu4sK9JLrM8n5VI3kOyDnwaNSgY6z
fYhx5+zpg9EmFEEA9itdKEsxnzgXk7a33A6PdZLqZz0J7TNuSkZkUyy2KsdIj+DK9i3GzwvRK5Zy
M/U+sHAYy+SLQcPxl3QP7S94C6SRrma7+pri4lwfZA9Dtb+K/RiU3V2P5Ji/EFQ+uTD0RmWkjhLm
XdN01BmnJ9qPRerA5jKWYlCoT6HPVN/lUpHCBrVmujMNplQFXMhYtY8SQwnzpIiMLDPsfnWSDpz5
FsKxDjZqisXr5CdbeJvHem6gwNQOxpLBPBW5c+dTKcDww3yoWlheW22J4aKtkNOjVt34yNWsCbVp
AFqbydOIejetTb+cko6uOoOrCodeuM+mNDlP3NjwRTHqURejWiglrFqLgaAfelIgCDxG9aNUg1GD
LEUtFnlqfAzuwF3WGCrrhDfcOg3uZ71M+6P6HxRj7fKPUM3xwYtqxMftR4CjjSSPMtRbbjob9RCG
+5ZcgeXzJEmljkSWSnapLhcNONNBg2vaATjVJel0ksxT9ZgBBtWRPFRvgoyaS0bqAizVl9RU8p3s
GxeQKvJEF5c1B2DLhrAOblU9ZgBg7dzwh5BIVgs2q90CadUzcK3Q5CC3kkcIxJULbYXIsLgbIbyO
EvXaUQ01FP1VC534tnGoQTgTiCEhMbGTNMfDjaW2QAVXomRN+aF1iZetJWi2kMjZWMJntZFNzV6+
BXBpmxRAbQ+pdoRYm0GuHSTClqa/vA3nHxCW4xtXcW4puK2WGPRtAgPXVzBcicUVipDLKY6jTWJz
xxbruylRumi2pHV9OQwSs2vC2+0leNeDwNtA4u2GlCon/CsyQqH0Dm3YbOAjfiJpDD7pVLzXcAZg
wOevg8T84mJF+gP5N4EAXEgU8NyN6X5o6GPrN4lfL9sYarDhgA8eFEh4rp2Na3TQhRvCFNbW3CZr
3bSK83XhTaa7gvJsbMrwxhw9fAZ+8InCLRzjcW7yc4H0tRqWnj4IOo4h4VbnQ0B2JArZl1BktWaD
ftUM0z3oEqJsQSS8LPCZUwRy6JwN3h/T7CWb2Cm2SQAMs5JkZ8MGpqfWGrmp1q4PxBLgPIHTWGfM
mK7VA3ji6P3VDtb5ny+gXkUdbBvJl476OjpYCaGG3H0yK1hazMuxGngQHGY7xgjqiFOrr9Xe66KV
/Gm1CZaA0qREWhujRRcNmHXZ9/CFFnknkRzsKNT906Sb2U4U+qENyRyhRzhLcLaQCO2xhXwkodrG
SDxwIfaBCIlVmLligtracivgf+nwA6G40blxEkpD2u9Ms1lIgHeDGwLbUCbOxowAM4VC3xV0Jo1Q
HG2Tdg2ADywMWoGV5RgfTqxzeXcvSZ//QXVlXbn9q4WSFoB3v4PD+JxkjHEzP3gRGXEIwJckBOdA
uXW4K8P4e17b4WrykPFZombqrd2aXeGqGiZy8fzdELcpCBSckUxTu62/IbjnY9KbZmvxk+Vt94ET
itz3fhtM1nMavNqELm0Sx07XvT1/5pZtEqmAU3oWVLqq9snzmfjyXfAsbc84u/CKVWXvG7BZsQ4+
kmKGs2Z4tJ2q4iXv0l1o4egrrYGbLC2eE0Nu6Wp+BYdyW5k+YBI4hTksriaLn8fiHVIj3Eb93po1
zJF6cQ9UQd/URfg57OXFXm11O9/SDtZHo5yoDjV0FpA9YU5AOOyV9Z1PWdtoMTyHIRoYM+/Psiwr
e/2WTAvTMBqa3sFt0gdrtp0N+hgmcPL+G3cGQUjbfa5NJ+bxH6Zq2os0fm1m5tiC/FlaszmxmM7C
5yLK59YjUTZMMvjjFWcALeU+CCZ3xdChWVshwUK82Eh1kaQHfiNiYLq6omJMYEK71WG4eTSKOMjx
wuHGr2fIAiYT+89dnxCoYpkPCw0gVzDBKgxw12aD+0lf9NsmDN8AlIJSaLZVUxwnSDwAI7/WzAR4
RbyryuYur5jNIf7IRHDKPIkb5J+acNMPuUGiVXmHGGtlJN4REtH30SuBTqVMKYzJV4Qb2Fe3Q22h
nUo+haSorLPO2gYVNvXasM4aUdPaHK2KuFqLYUM1YjOATjYo+VWptrKxCDi2eUMhEAuZr9+KcNwP
oj6NlvR8FzeUz21zusth+o2HpONfddqPqV5u/RLQioiAFEVfEGo/Ge4NLorvrXWXFcCSqf89TYLi
GhPIx0YS3mbNnTaOCzNzGS3jzNVunNWaWgxWZJ5nHyh7EafvNeHDoIwY3GUYGHaIEF5MJwTQ5uYl
lf44ZmY9xlZEE8CcQ8M1Puh7v0s/AVwLfHpvSoetS0W2Swon0kCpy+46b9kkFb1uYcKByaaBbB8q
jDCgG8ZwtLwiyqy3mL7HKgeyw1CIeTg5zqRWwZ/ZS1l9KxdmLChL1XPK1dm1WykUG7QUdDSCQyxh
7QmmFOJlt4SsIruFauF53qeuWFrYMJSOV4nszM0+1ux1N31zF51A14JBjCcpo4CGDn7ozfu4DqWc
gKBbO8TwoR6c7tOuyE9XPe6kemiFPvZrogSGddGQcmIm5TpNuVbK2JxXjQ3Mwyu5hsn7mE4a/jdu
c9wiUTmsx3LBl1NkwXqMHQHifyF7U0xwp5WGMJJqwoIhz0l/V7qvftGe/JJvUmrylqcOagsmDGK3
XF8lmwzWsIEoaeKU1uFxardGlodbMg1eTNHzdQrFb3XkN56knHTgp8FUhypDyz1rOE8RnT1zINRW
kwYZq0P5OAJ0Y1L353ZpILaHH7a/KESvb59K7SgTe8x007ZIF0uRQcFzGxJ/AmneUfvUmloQoHZT
cenTP4KhTlfFO0xevA3z5c2yu56Ra/nFGY3kzL2ApIGcIlNVekzSVQQ4lcPwCgKHkvAoJwsxibhS
Dqr0n5FnkWmfQHruXIO7kVxECxdspE17/F06LkoWDpx4P9TSQ6++YbcAzcvp8lAJSMkxjzTKWEaa
7JLa+kxYeW1spxwGD2li7aZuddrpYQQdIfvaCIAZbiRutO06WlRW2ZlLKSsouaf/Fev9T8R6jhMQ
LPLvxXrrr3nyo2rL5G9ZKZdn/eWtNux/MMlGVkrg2hZ6OO+nXM8wiVHRHT3wUNraDAmwNf/lrcaQ
bfgmJmqde531N2+1+Q/Hsny8k7rvW54fGP9fcr3fglJ0PhYKPhentqVbtmlL6/Uv1up+IcuoGYbp
rhRWsDUqoOL9ZN+Mej3tozoeP1f2VB4HO/E3TQIsRkNkgV4kqfdJODwRTlU8FzAGoqK6GWm16VqU
d4kbbxjypY5Z3hd6oJ1Ce35PNL/eoz0Yj0zjHsAOfBYg8e/LdJ7ug953d7/8EX+ayH81jTtSZXjx
lh+///M/HfnFbB0lrefZuu2brlQp/vLF7HKusyAexruIPvpeBOhGevtjsVuH6eiovKk88jAN5CD7
sqWePgydT5IEMK86tv/oYyLDg2m8r1zyQU0jp544aD1dkdG9bbN6qxPsAbuNxMnAZoKb/JORe2uY
34Z++H3MRHLQJ7RF3mA8e/9N2Hktt45s2faLMgLevNJ7SpREmReEtA28T9ivvwNQ3bOrqzpOvyDo
CYIwmWvNOWYKKVPVagAeUdGS10V91FKy3zIPumNlOeCJDLkWWTmlYAG41ZsOVqqsoX7Ytb0dhhiu
bU+MGpJpMm+Fs6qntHiqcZTpbSM4BmszExitB0c8WWOh7whfJEvFRy7y37epxb76r21q2ZZDsg5M
LCz//9imoQ2b3x3kxR8HucGKHm7clq6cL23/uYXgZhbAq+Hts7KhCLdZEX3IvPvpGH69Dd0S1p8s
MGvStmrbRt8B/23oExPQVUbbqq/MJ67+8Y1grwUbWntxaaMsKs988xPZHuiIdJQh2owcLGXtEwaT
kck5Lgis655pWmNXsxiRMHBlwId4Z5sEjCvxz+YXo1eDLQwteGcanBCRO8kVlQYd5VZCL1ZxOQ1a
pz7rNtvSHR+cwErvg49Wx54CyLiKnmM1vw6E4dpFCFB5GCXyMPMWh864iwKZ3jV5Kc2mPOl06+ar
5Z9FOxH6hwHUzX//P9R/H7w28AWbvZw4RPLj/qG0tenwI9FL6ktmfsX+mB+duGI+B2t4VwXQgRAc
hceWtty5b41wG1fB2vKydakFR1kiD9My89JIg/muzNY6mfKuhCBYKvf/vp4wIv7HbmOrtq06tu5q
nGNYTLvV3w5FU+l9ojr87KJooj5EsXkGwG+uzQCVTTNY7v/xdQiW//19rqIptuEwarYnnMXfv49y
9jCWVZBfVrVQg6sgc1LGYI2EZq7VSjXIK44Z9+ij+1RyQC0U1MGWS76cqxDb2hjKzb7pAyQVCaqP
gYfO6cz+ilDpwaIVd8K5qQ9SXtvm3pTbQT7QOR9TBn0atMVa8azz/7H9/qGoVth6hGmZmqEbFoCO
f/4g24YfBBEwvJiG/sG8MjjaATt/76gVpyu/hM8coy62AXbVqMuIHvISIpcabRNZ5S0MNR+zQLCW
Km/CyUUrqFAf5kVsuL9o2Nh7PeQQHNQxXnXKSGzhCNmqDki/obd5alV+HXrWbtMRoRd5ZUeeCSkG
M8IfkYx6UMLS2NSVnVwU2yvhK0X2q5vmAWSvw6B6dKyixmaikzjNKoWA6Y41p4Ci3vgFFlJafz0d
k2SpSuztiBt7HFdAJ0Xd/Ja1ElxERTPJ44KKHilUT44zcbyGeETpmdRHL8eqWBhAt//7djf/vSM5
9nR5pAaBpN42puPvbzuuYjUMnU0PuZ6zlOSKTkSL7hE80Fs3pT4ELYO2rgL/qgXDz1h1ol96qq60
KO8+y9gmujU2rGsgIkDQnWi3UrO9GxJauF/Ta9t62eti+Nk08cWI9T3Fo+gjyh1I2iiUr3DpSC0m
tpbkUKDHLbLUTwMGOxLUm1EShkOhAIlKO8IFK4eHqKAQOMYjOYeGK/Z+pj512iTG1koq1KODl7aE
ICpMpdwAfzcIqrHWQmTdrh+ZtRqAsC4IOxetV723UN6vE1P6btiPlVb3r05tSvhH6/++gfHx/2vX
1mnP6LaFzEg1uKoAkfn7Jqb6AWUJfdhZpl64LNVEPTK7U49KTUFk4YcqJCXL2c1PzIveIR4SliKv
qYQYys2f96ge7Rt4g3976G8vMe1ILRfzh//5tLYmwKG1CRb//tz5aQ/NuKCFz1d8vxLou1hmsNym
apVOt5m1FF2V7incYGqfVujPq7+/cl5BrAPeBqHm/fsxBE6swZ8vH9yYP8OzG2VfBxSo/7ff9OfV
f32u+hPczHD4Xof/rOKfr5+f+F6n+eb3lzZFesVOoFYtRR/pKMd8+g3zCzyjcsT3lp+fmRfDvPnn
mwaHbFxeAq7xW8pv45py/Eno3jGEALQzmW3XzblVOfW1lKvWCF28jURwtOwYx95bc/xNJSfeDPJl
EN3vNqfr28T6KTLG39jyEDoM4bOM0Z71yE2CuP8qUkSyYJZRmlMHWvY9BVilePEa+xLBS4a1b/nb
scpetZDham6O56xR1uQ9+Vu09UQ+47tv1AS9bSbWOggxcMC5tShkRYO1ZJgQe9pF09CSD/1jJ7ic
+8Reh3QxZWc1lOkA8I7SE4vYpnoOhmujTZBdR+mfuozTaNPyGaFjg2OOfjE6I59FjASuhwcUpbh9
NeuVGdnFCn+WUXtpYzs6hzr8K5/qYWxVD2qrXVGFQTWJOpvqCSHWqUWsEkjXbcphANXYQfWo57dA
b7ggWe2Gw/fDSD6ctJqKxah4QrRHpg77vDSCYhkZgEhyPHPUrSM+jGxcQa5mHBennDD4dT3h51xD
fRvJPFw4+iHW7YuP+OMoJEhL8hHX+IOaXUUnvc4q7WQSFczD8VvsKYugbqncJv3PyCyeNKNqVrml
3SK/OruldBDvp7cRwjeO8mJbQkHY0sMRmfeMV8FbEbe6xOC/zpr2B+nbqyrJ4q1UE5Ti9CCvuvER
y2KJ3FdH1lwgh9FBzqEFwgeYbWkLqMcc7bGmItYYQvwyO1FaxyqwLBIlmmPcCIpdQRJuIqeioKqy
HWz+vaj/EZbJLbUzcdYczpI59dnC7je+KpQ9BN96JXp2sMyhNefJU9rAasxac98H4LoNup6VL3dq
RLRhHZSn0hy2QAC8fUPnnLN6xpZGFE5bIdIQTwT+amwiRjcpp+LYflFL1Ecj3o8F4rA0gSdMCYmw
qjG32fgK8OFWA9MgwJMgeV2OWv/b7uJD0t8NM/oJO39DjaKlaBfdMipNJ8e0D3hSaB0Q57UpoSVE
Wvul28GJ0nuyFOFNcp1ftDHkxDJ+aqmsR0W9Cg2Qh6AgtIUxQU3Uo0zMe09R5doVBtrkBiVy3T5U
JZBGyUxvVPKnQC+0ZZNb1tqvioswtWaNvagFmU7R2vbdTUtD9+B6sDGj7Flvi61CU2JV51BeG8XI
VzIkMGPo8dVIg1NrNCY/R6PFWVBIEqXlciwUqpaEBDHqbi9NKokS6JSTT/mkqESyVQbrYmpKtbFs
6qFOoC3c2PHJ8Rs2WWR/AVi4csJK6JbE96FBN4DpaSCJTj8M3kAQV6wc8LqYSwNqJdU5/xGZbM+h
hQfM+yShApcugw3Qyc6G2Tpd+gFVkOUPl/bZjpKr3mFq4ISINDPzluNIba12ANcSx3dpagPQ9wTQ
jMz6uUSdvVFH9SRsSpS9zaHcZ+TYM75cWIBnGWxtosh96UgrhBiWn1SlTvdSK9/Zh2iRI9fa6dRR
KcohwC47+rxjab4Lh+3Xm7h+ioKseyMP0Xigv1/08cmx8mqN8UeFxmc8aYxQF1y2s92k8lpqokRB
7zq/uroEKmLW2WrKPmU69GUm2DWmLR3CI1gbjriLECjTYPmvrU0QOMLeJZxid2kQXxFG5x69+rL1
bYUTZEKqRcBEaRiMo5lxnkyYFY2RET0mtHeJkK8fauxEUWXsG0Tx/AF6tbWI01wVOEoWnnTdzdjW
i15GtGxl/BG3bUd6BKYA6PWJfA2Q8PToi2gUkPSCRaBauY28DOZDXgpt33tEjEaFVa87IkBWgfUo
Rw3I/sCkUabusRqKZgE5DopoAjYzUfStQSGeiC5xbK9d62jHtFjSLTGfQsTxPudDvDw0CAyYGwvc
Tk/IgRmBSgNphxYAKfWyrWp+oAg+ac2EcMv0Z1NzTrbHPzzKYO+0WB4Gz41XdTg+aaVNbKCkvaDl
ar9p9U8OsHabNOFLzIlzOVS1BnCj3AaMqseYgm3RGSpRnP42xS/Qu0q2GqqGzk3E3cou7mWs3IDU
ju8TMJICMrpLN1KRqlhvVdlfAk6dRTpuGxQKG9tG054bwbJJIamHQUIDDYk9hEwyOqkgQ6/qB7h7
TrZWQnff6SojaF1/UkUSUMDJOQNoIlgNhPA0AkY2Ojq4w6K0N650j9IrzC2FiQc76p+illjTPDgr
rferyeJfxLEBrG/7nTmO6VJV+zfiDpBcTei10ECgRZoLKN6+OZcIqVZGB9vTJ9pVmtmrVaFawvXO
2Zp8Oqti1hSYJWktpxo9CCcY6p/GD6RvO6gj6psGGAgbo9EdW98VF+TTuPqnV8yL+W4MjOqqWEF/
9NDlrue3Te9X2TA/HDyP+CpHcZP0A3bgnOytH/sgS6Xye/6MuhvOiEaa15Lr6cZIkcF26Erp35N0
Pk6fkTmPhJ3IL3I9wlVuqsEFGnx9ShodmZdbifcW+sX8WfaYYmPgGv6oiT7HHZGk2yZFNxUFGVBs
O/mk31X91FL1iPlbvgkD7SeygvxE2aU7E9PYr1ylST+E5W/ml7LpE+J9fMojQTswe+tQvY1j9Uho
Dpyf+dNaWop18kOzgTxgRlKuSubIg0PQIE3+Rn9BDPJmTq9ERH9uPTt4GxqlXvegQE9dI82zH3PJ
KAx3+Bj9ZN2pVvmzt+nyDE3ZPDHkOfbMmteD17q7tlXVR4WIx8X8MsWA81kYXyD0laUeZtV18Hv1
YNay3HRKFd5tzbnPrzTxtkZpoL02vtOvQ7s3jqmo/QtGEIHcU3Vb8QH4Ho47Ti7HJ+hJsfToya0Q
SGgDKl5bWgIGuaaiR+e3GLAQKyWrv3DBYDcZneDa2Ll7sCAebFpadczgned5A6lJ+cDlqnxNTHpn
HAfdsYxL8LR2F61yRas+8xwv5PSphRViI8xz81YQm7QjgardZU1Y3hL8Bt+b22W06wSO9ynM0EUW
KIyLS0LeUYhErEsnN++eGzzNn+Y3/g1hL2WDknCQqjDzY8p+d6l04plSqzE+ZeL+tSEhdGAIydqb
6o01oogAuHsnlZuXtwCRp3XrYCkXjQNM2OczzJq2cqMOxQnos4Hspx8QgKb5j854FWOifbZeoKzK
tlJOMELlRaM6+P0CghIq3Ui+olA2KyEqDwC4CC4D67j0Bj37gfUnqTr1K7WwnhlGl58Ho9PPba4G
q/krUnxl7HCKhRQ2ceR49iy7Pncg/1dlNNhfDvrceVWqhuqqtN2zI6vwjDupXqXEsWJ/0ZOT1+7m
VzHkM5eS77rkvdBP8wsUN3I+B3Gb18fyoCBkQ6hc4oSESLcmRaxDnPLZIjH8XqEAGUoONe8yFCqJ
S6XtrghCcj5s/qz5FdQhCARz0vLKydM8BoMWrWU+yI+aGKv5W0y3S5dMOtVrwnT6KMk9WAec8d5x
BH7/bESBEKt1kjt8x0yPMNpbkhdE+04ACi9l28PNdxea6xEX4utEfCeKth6MJHjPIFHM3+IBW52y
vndhJELmBuV4aMMMDJsZYqTtje38OVKY6qK0rfjRHCpIGFxzN5YlorfWx0sx/UdBTykBGXn/WGvC
p9E4ooFEAv7K8OAwv4L8KRjkHBKPxGAYew0r+ybC+NBodn7PkcaZ/dh/hg6x6KYyhEd8KNoNIzZ6
2bj/5OBRqAdY3tUJGO0TIUIM2/QGRUtO1CXNl0TTvZ1iMbHxAsToan2c36iZEVYm6hoHrufJWleC
emM52cv8ZJE7AQXUwrp0poPLEPXJ96cCSb11RBs+R1Vt7c2SIBW838On1TG4sfxPgjnSDe7WfO8m
SgnEP7/Mq6+QBoYcJ9XPme/1VzUJzcW8mm3bf0jTjp+aWtcPYe5E6/nxDPA1Zv3uvRhgwY8ovXZd
T7bAaBu7eRXxPGE29Af1FMlQfzB9etbzO0kYx9GLQvYxjIhdagfO1d9PeO5KS5rgzemlus1ENW4V
14rflNBYzR+J4m9YER1A4UCpvEc54E1yLSZpwqndhyJT5aKsS/UBwJd+GmUniB/ht/dFsKfMM97z
zGR+pvbYIPCxvhcKQ/tmGB9oczRT2BXxSEWlHcLISJ8aJFHfa4VwCjlE3l0V1CNnR9AXmJ+og/ES
+3b20o6kJkg3Zo7bN/Enopx5bRtsZuuyDs19kOTwBjSPGrGW3763Tt1kS3g5NedyD2x7gIlg/tRK
bV6g4XtP4I+SQ4/r+fsPTMQRUHj74fhls9FJw6M5klsvThUyPeVHClWQpzntYgRBedd5t6Nrbnxo
0VbRgh99y6XbV2M0IIZWYWpV36Tn2Iu8SFDhAlzYV5H1QeMUsY1uluc8INpJJSoZbXpun8mUNDeO
jeG2bFuuqs2NJLx8H9kIhTswB+im1G2nGFOETpMsGfk510iOt4F07XOO6V5xCnebMYPlEvMFa1Bg
+oUHrHegauAjGCskJsOK9suH7RC0QiIGduXOyV9ywi1C1EaEHpb6oW8dLKbMAZGKgqHVmVX7RkMr
PqTxNmrtE+kYH5QxdknkmPeGkIqlprXtrrGkRnYYxyjBAMhTkcQdRhmXR6+0i++FjxYDfJ47JR+C
sEEohjZhvtlPOtQGZW3Vl8HWmfh5fx7/5+vmF88LfULufd9tjGDrZ+Nxftv8AfPjYzula843/zzI
adxd5rZpLBpcGMydprz1uEUKYaAvagUhMKNTD2c+K8fiIZJ1G2dkxGO4J3FaXRLPMm5zR97D4A0h
vsuAOE0IOgQ5hiuhOJTTIm4UxroFHPMhi+HZ4EGk5x2ycRWxMp0R2yGbaJNYn7ZUhr1w1QlOlMjF
CPZp3TZJw0Wgj9ZOe7UN3BzzC9pJLBYjQj+k02K+FR8VilM7vdeeYiAEZg2AUyq/ciH4QcFE4JoX
A4rn0XSDBd0YbYNzGgXxlHFbtm9h7edkjjEBwBhS2xhnDLO8prZ+sv2q3s6bh6OshsSAiS6PwdTB
sdIAwrcv84+jOlpAZl2kSjGVHPPxII0vYKH5UTBT2WR2+KK2kI/qWj4rUdAv6wloB0eLbaUqUziV
VE+hmovN/Nj8bFYzRLd09J3NEK/QhQMuwoqUZfaKgQJELH05r1iA0GyVT57WPEn5xSMRIPxpkEur
Z/j1E3JTPATE3U0Zx2SIhqu0YWppuzrQMWQ5joNKpxgg/+Y+F16gIu3Sg1JxIHKFSB+9Rs4w7R/f
n25WiEPm+ylq82XUmw2qOrlXvWhX0zLcjWSer31OVbRYlITJctOsLJOSQxQmKFdHWyytNqqXrawe
G4NsLyWgkUqYcU9stH2yxIDkK4xtb0EXmoZI4YrNWHX30Ag3dl46u9x3Cf0rloaEnhgoKEuwJKIG
anuKkG1oLU2nh9U/KWWKSXyhRtqwVgPdOoje+9HV9c/I9uD2N6RByVK/ELJVbKvcuiYjCnut7+6z
YnxWhs8J7fOtis4ZJX7RkWgXYD6WJODuskq/j6Frnb0E8W9jP4i8DI6jRrBhFhVEfPHWc9217TKp
XWNTlYJ5OpbrdWSHaJSwZW89u9rVjdXhyNMs5LLxsDVV2N56qzYXQfjPHn3KnXib8Uh+fXLMaqO4
jUMJc2/wrTOBzvomIv50OTSBuaQJaW+83NMPLW7ag0funzuAaQ57j6kxl4Yl4Zb6FjVBdnUaAmNL
CsTY+XKlKEkDGp59ImMe4pwwGD1JUHujS7wRkQZMJtchKzbUbOMgCg/qQIcjMsuRWBRV3c3+i4D0
L0Tu9mZGiH47QJoyT7Y1udjRpLGaFyg6H9waSuqQaydnOoHN+OU/i1io2bLLkcsptvjhx+GLQkrp
kgGYdxB5c7cC2HhxT7OBgsiMS1Um5i5R2aYTqwQLaQ/BJP+ya5MpuBPtAp2Jzrpk5M9x3aKnCnB+
tJpabcFmnQg80A5/FjlpRYsRo8UClvuXF6TuIssHxFSW873+IOTQSLXkaTYAwb4V9bOsnpITeh/7
7uZtv68nZJ2U0TXMEnOTaL08zA/N2O35Fok76DBs8z5OJoek79G8+hOAe0Zva4Mu1ordv/kxPXGq
NQ8p+WkciX6xShoPrRfMTMA5835uY0LlbCgmbtvkPZD+qOw7Jx6OZtqfYjyoC0XzGBxNun18VYRj
T4v5roKG5a94aYXyuUXc3L6bfsm8IJGLIE+Qb1xCAg/eGgvYdsk6haC0UJVAJyYov+St8jz7JAKP
VZgXDr6e71vef27xYfoiK+nlxxHRsHKSX823jDk6/j935yeUwgaBYBW7PzYAfaIYEjf94htahJUT
Idm8SEvOYzMF+s9jTgxUB2i7sZyRuZ6OhzVAfbwICCsjb8Z6aXxrpAUKDNCZNGjxJFIL9DFfmmnZ
o5THUzZiTLPVojiqrpMUROD66YquG6VRh3O7htitQPVVaBCU8rvRjhRqDOXRk5gfUg8XV6ciWZUD
5wt/ilEXEikr4Qg0SrkizguL0To8iDD93iTNJP1TZ3P2tFfMPyeuOIY8puuK2GW602z6MP5UJuyw
SRhlOajdbiYZz6ctcgcofFAzpBHiPVBea2CK6AkpMl1/MA2DxLQ09+gGkOsEg1I5RFHq72NMUUyR
OGmnNoealilkjsz33QbXuNcke62LspVCVY20NR1dowtPssrWie5xLQ40dvZGw0ibEG6zCbzmeXYZ
/kEIz7f+8ZhvsSO6sqTjyn7RENu3LlAbnKMxjdZA6LGR5XF2oldIAgsuVYzIcGpGcJFbO1Uk3V0m
Y1puPMdZXG6UPnKuvaVtGqa5n/RgIGi4hklhWo78G2jIu1KcSnrS56YHqTNWPo/r/s6yx/iko+I5
eGW9CTFvfripdg5psT6nZtUfnVZHYfsUmG5/y+rRvWRoDHJdtIcIy8GK9CXyB2iJw6lR6+0Q+sOV
aGJgNBJijudYgLuQQRHrrXW0aQj7pRarmZgW8m0aW8FD2sUpAnEtlasg9SkpR9N0xTYvKF66R40K
7xpnvYLQseseQcoxjcJSjcRz2Ggkej+k5G4NuIcfPGLUlppL66YK0ZhSfHkDQIOQt5zO1lGvLTHv
xicVnRgsET3fWFoSn+zCH+nOYD5sU999TtroZ6V4xXm+Ry2eIWDOSSXBd7asXdN47TODvABb/WgM
Ya11Q0V9oaXhKySK9fy4XbR0EYBh7C09ru5VWm3zPDJvbpe/VzgYYPDo1JRKae20YYrHGs3nAgfD
q0Gff1/gjcQ4ltWvhH2aq97PaApNzzpEW5RmggMU8P+mTn3wbYkaiL2Sc222MdK/YhmHCe66X6hs
+T/ApEL8iLeKIgNKOZsw7SB8XWIrqq/zQq+LEPFED1CoBCfBYFH9lKJCPJCaz3iqGyYGDDxqMxke
GtrtzD3upRTOXR8A4GVwpWikNGtBUtuDP90awhGTZ9jnOzKKOHTwbx9qciofg6QSS83Ehj2MA/yN
oZVs6hoLdRIN5I4ryNyK0TvYI2egpBmqvRKY2q7Okl9p1SggIovi7rYxvY2wpthGEOsKGJ6/dhxi
Yhk3yIXCtfKr9Z/cuN35ha7ceyc81H0cLCPLL59trU/2Wd9WSxRc1JOVS10Lk5XAhxCpIMaAuo3I
/np5xmaGQxuF8AIeHJdCV9aPVYlPsFdz75cey3SSs9qMIOtm31Vlca9ocKC3Tq7GGCH6wu9puRmO
WU17DgNdPlsEHNp4fUPS3PZV39TXjF9h2UO6k7rMTvORHlqOfgzxdxOWLgfew7/GpS67JVnSnGHN
Aszhnmoj2hNKSefGxpuv+zg4vDG47kSfGK92n2yrMU+/Opc6GynP/pSz9l72xXCiLUrt29Ttve2Y
2iNwRu0R0sDJjKijp4oBW4tZ31Ir2cncKJEPaJ+WDdIKbBFVtwo9a3jUzbHYtwHdNo/ISy9HLJKR
qnjUPMaeXpvpbxrFykUA09Yu1ODLga0iIErQ127e0V2RHVnX0HUJE312XcoWeM0//KmUQKmyONEg
apZ2CgetiE2F1scw/HCIh3eI73t33RZFVBIQ4O7ozapQ8nojjEE+yRTwIo6p8EfvhyunsK1f5M72
8Ua0IHsYnjmHnCRnTmTBOwJIf0NqdnpAqz9jLZgX9a+q6+svpamENBC5EGiBor2YXvnX3flZOpw0
SU2GinntlU9Wz8m5H4w3Q6+J8QOxssFXYryVVf/WVgSaRlr3uzaV8dICqfdbN7kOiAGOTuQywDWo
AJsgp65ULdOlVfn0SsOBugnlXcX64aa075F4BM+GRyOALsmw84Gp30ZVmdowebkw9JEw1a1p+sZv
RbZfOc3k14xUuhXinfSa+JMi3s3EIq1C+jigxN66sNqgTYxejLB/V2LI9xwfziexp4+lo5W/Oiun
NeNhTxnzHcUfAHR1TKJlYXJazhNKpCYpkPHg14fBtqxnb+z8dcSIYCvsEVSPLUC69W13JT7hPQn9
cU/OsTwbo71SMf7cC87saWS8tJbVPaUc85luyGso/AxviKPu2YlwZZiE4VVKnAKVaORhMCyiBFv5
lJfJs1qSEhzp4wfx6AGQK415DbaXWy1qdVUhOyeRumhfec9bXBkQMUsOjIpW8bLEsbAcJPWtwS2Y
okHgex3zHkJRvcSoYr3pdPjTbN+XIA6JP9wmfqBsSkKqKZgGO51S0o4yE6FtVmfssjZTputrvhYy
NteBRl1G95L6SleYCWML2swghWidE43yVA2GCxIisw5JDPnHMPFPEdbkw2+gl6kn5jmKleA98OGs
jIn4ClRBjy7qmbv6g1gNnJF/1P1PAxsLfnMdRIsw8mVWteqljpp7LzRv4eSpeYqa+qOq1Oop8Qv8
O1N903Iq89N5xyjpb2ugSs+dqiVHV6Yq/AWRIcivk4NSZSTYjfZnVKgrEeRyYYFvXZMWS/aNhpWi
jqJoW48U5py8lPvW1GEXVS6zM+kkW9oiXMQUfzghlaGuEOY2qepKfjYaIutNQ5wjRNpr+sXFraj0
aoObUFv+9Q9KLVlhuXm20rpfOW4MdTaMNqiRcZt2QbJ38mmrKPpTGYf6XomT4lh49HFV0sj11uxv
wdiLiypxj073TAsgKNcUGKAkz+fWSGA1za2VST74z3jMf1amamxS/v01eeVwmWr7s0MSOy5ihmJL
jCnlRUoaGWU5vtQ9wgvVCY13t33Jgmg4WZ0zIKisxVlXjPQ4DPUkJSLZMh3//6LKt7ZoftHJeOgi
D2Gh0BlahGN/FPlwSgI1egmJZz4K5HMk00TuFf6Ce+WoHBB/q9gk0Wz96k0g+1FgjDvaVNETVLKq
qp1DhWf64CviqdZ99sK6pkJqaeMlz+JzZuKtqLHgEPMrgw0M6XGjBWR8zpPpOm3k0Uu0fdfV7lOi
CgQwYfjQ4JqDhAQmlFOUnTuXpGNaVUy/EP2TwDPGAAtMeNS9pNigzxQvnEst7ZR5RWveqyDYpu4w
LnpPLfY0jYvVWAKOCjPeK83SPfBxL7HSvZLG3Ny1HrKt12Gd8srifeo8foYBkfOYHa31UA+M0FIa
CPya5GwUGNwl9YWD6Aa5NQuCpTXqrkmoPUI9dDYx5bFVUYPhaBwIemaHy1da9SEzyvpuKdTS/TRY
4ism+rrOwN+FZf8YD+aXUqTWNIXvHpHYp0eDoT38sgnlkddb2VLgjXXvxcfZy0U7CX5404hS9DsL
Aew6D8F0Oo+6XtqLqm3bL4cLC57MYE29KEEepMK5baf+vSdWijY2BG5GaxxiIZc66Csm2aFLsFrd
Jsji6GTW+pNh02WxQjFeNQEluEOEvfPd3tsk9D5o4defaUcTqKnS39Ro6KqpdgqMhdGSZoW30inC
VWJE+c50yGjJdE7Yo2UmR2PiQ2Jns/dCSfJd7aiw2roGudgounERar2+MwJjVRB59QqQkRIL9fpM
EkxJMdf9UrhYKMQAPBV2dK3sWlkZreVeQ02XZBQH7XHIQx+zsG9tVVBYV62hl2W172le+jRv0+TY
2+q2diXXsNB/M327Y4U9VN9iBVa8PocR4VcKjhOwGW32oEEvgQIY038isrzgZ7NS+osvR4m+wX8s
ophsdAS4awpY6g1vmXLjAK4A8Ek6o4bBxM+oTrNUHP9atRZhHQNmbgF7uIGHg01pt1w/kEU1WnXU
S1kRUctVPq/IVkaAv2XEQeKqq0FeyxJITzxzrJy+OjJXvuBU2w+e7F76KjmXcaPvGZtkq8zQKPNF
gX5kmMXVrX4PJA7RvjHLoxKLcxJo8cWJE8kVzghIVuWqHCdKcIqTZGuksj6q0K9UJRUPnj+qwBI4
lHHXW69VTI8ya+7S34RJmF6koycXUY7qHgvsw/xQGqvIaVNtqRXJcCm0+JksAvu5BYSFvNR9bcPK
egzL17bfYmUtblFIsLmwSm3b9nm9LkjYdnLqJDYw3yDngClGDKRVtvUFQ53U3Gq0Kz50i45vlJsf
+M3KWzT5hus0tb4mAJ6e+/5TPNgamDtsNH74ETUtsA7TyiaeQf8q0SVFWQ++LzWSvRBG/RSb7LC0
P3YOaCeCtUyf0l+ql6hdsie2BkUpsh2PKGEW/vAlm2m6q3/0PijIqPe8HXCS/hCG8WloGefklUNW
KM6KT4msuFUgCpuxrQHp6EeMH2yJCLDmK8aTcRGhp6DBZPevjFkQUgLjawydBBw/fmQOka26DPCn
lVvVzqSAMdUO/PO8CHtwHmamtivXl8vKkPbzvIgp7Q6E1nZh2r92GHE3ZeRH28kz7/vA+ZROKAcv
aJJz7XE5NjIUMCr8aUB+gXKIvQ5EbgrBmUrVg9S9N2EKzH51y9CKU0HUMH11Gie5ZB/awOkuasC9
GhbU7HpyDFMDE8i22mRL8gmMA9o+z5JM2P/H3pk0yYm0W/qvXLt7qp0ZzPrrRYzElEPkpNQGS6VU
zODMw6/vB1JVWaWu+/XtfW+wICYpA3Dc3/ec5xCZYLx0pbLiLqXe+JIQYlgcrNWjDEBYUsAAs+/i
AOl2w4LGTZTxGLV1v3ZIUTppConfUSDQkPeGfmgQ7eWNql7GmmUmlOGSuYkS7xHZmpyTrNuGPr1v
LaO5xJ17DqwBlFpL4vuU0XBWELXYNtrsRpbZUVD4dmsutKTTjwb8lYvt0KOCLOlenbpZu2nwtdZt
97ktbNIBmY6gES3852kw890zi/wcd0ua3yIw2Xa21p/DPfEdwW0QlsmTGZJ2ror+UmpzNzCrVViv
hn2AQ/iFHHj1Fh3LCcNdedBbK4e+ph5zTJk0ZMpgG42DpFgRR9+G8djE+97R/MeyH/tHbUpYhiTf
6WM1F7Ii63tWwMQXz6DUwVcoL2RFgdknLi92T+NV1D0B5mZLC0I0NqARO/KSYiSJHOuu1zRuxQSD
jVUnFMf04YQzKDubCYAJ5kAqsKCB8llh0h7uhfkYNs1tkBvZm6s5OuIvBClV8CD1KV13bVK85jKg
gWObP3Ta7FbuSiaiJrN4092XuRMfM7NQL5SpxIW8BXFBjof3slLOTV5uc8pSr3aHsLZswuhUBP5L
Q03Yo4NHuY/lOzXnu6jCxlTq2aPfaO29DorezHK69MxDM1GJtxbi+ypV6Bm3qkDcRtf0YDo2JaMy
05+Fo2MUHRXK/wnNa81CLgAUIn3oM5VSvVN/j6b0yZbIdCBbTyxfa7mjqQ02uKeTrPnnWu2ch8yW
lzDJthStSEcBaw2hd/Qik5FuRdGD2ZsI9J1GVed26OD41U39YtWFcbs8BTTW2QLfk54pC2qG3DXT
SPhbbqvJupE9VU1klmfS598NSlrrolVesnIayIAp+7vICIY71ZTBzsUCSOemRURENzk2HXT/g0if
WfHdYFUCsUkSkEc/xl41CC89uu86lY/AOsdaeWsjgWgcqGk9dq1rQz0DR6PyZLcEGtaQ87CmAbxU
dHi/bXRC4CyvlsnFlCvFRlMMk9JWSlNkpDiZU1T1nJk0iLdR2yhp8aRNKRffBI0bZ8rWIPEGwYv6
ZEVR6QUBBvpeLdAyQOKhK4YYsYr8beFPwQUa4c8NCEH3CCcmyxin5FsGNP+0bBSYb7CBZEfJxU03
yLEpIxTlA2J/9d5ui8QTEWQeGaRWBhYzKhFAwBicBse4H0nptqrmPp43MzVRMVAg2cBWG7qqG+JA
w14kryqRfhBI1W5rjZN6bJitUOrWY1ScwNwbqw1WehbnHr1odZs6pbmuBqndRrCS1rj9Gq9TKBuO
vdLv63GAvEklFQNP7hxzsFQ7NSofWst2MPqPzskNwnhTx1MJ/7rIVlNSF+dIyaeHOn405nE3AJe+
77K+ekQawkK+BmOhNPX3zEJmYozhtJH9QKo6qFNWWHXmoVI/khGFCiZ/q/0suIygORCDju1tH3Fh
+uJJ79rm4idIr5JSUw6KGlzHSbFvhqK1HseG6z3CKPaxru7CcVrTkaZGjQauqb66ZTe9DhZrUNPX
492yi0DkbBUTGnFKBCtR5CG4KtW4lfpYIi+djHVuyi9w3PS7vv/e92p7N9UBVoYCNVBLCfbCWnKX
YNvGTjUCckzdcuOgLjGN0H+JjaHbJb0QBy1q77jQ6ORrotv4LXpRq/LtvTqfqmEhwYSBPOq7Ei5T
NzewZ4DUsGyGG6o+5MrRWi1WIXIeD73t0Uo0cQOjsdlAw3jOQBmuERrrrxbYnGzSrXvgow4iKeKG
dOu7EQToitt4uPZ2eWZ24HqQ25DbFkn8RDvQvYlmObmjV0ezYm7tQPq75r6LUpuaXqKHx4xyVIWV
3/ZjtJC6bPf5ONDj1/LvURmw5InqG1jvxorzojuoFFSONuQF3dDcK7rpeK0moeEtu4i9uo2NNfdu
ctTzIHM0a12lrxOHa0VXxAU1c7GlUmqtYaKJSyE6yMO9xogec0tU9aB+GNpXwI/RVbPr+gHs3F4J
tNfcEuIpsvgpAiX/+Wh5TumArEyZvrcbBfkkpqsHPXUvlFG612mkxCXHDmGTWs20EJCBQcGQoaJB
woxKnLwdjF8pjD7ofTU8RCVU4y5NMABYCJbbPqtuzVqLYABPOoEWnflkOIg1x5klw59EYyyKi7e2
cZ6gpt9HXOr70JyoL4rmrp2wn9BmYdne+KQGm+HgfJtdslpso9AOgRKnAs2TgPd6oBrnPxo12mkN
rr8dpsONLjCbhVE9OweK9IDJFpyFUP1jskt1oz/HaZdvnKb13xozRhsvrS9dbEK7bKzvvU3lV21T
lC8aAqwyFcqVEjIc7ylPXhEuvgQ0J0/5xFf0rMYPVoM8oXCV4J7xE7k96EIEqJFJjZJWQVoO4cOy
UcYC+83k2ketz8rNZLvTBj5xdF42UUuDowz1t6WCG6KzVIlS3Mi2/aExRB7K4K5h9PISZWi9mPor
/fTO2foWbWZdUbYFnTbk1SouyKgEqjmp2R4lFm4rP6Op2zUd/axEYYFnUNhu7GYvYoX6k6GYe4ve
l2dS9l0nFW08EkJZAtGZ9JxveNDc+4YC17pOHagRhV1vGdKAsJkUlGGvmHN5uDR6bbU44/7HP4Sg
vxcSVBQSso+YnT93/9cj3vki+5/zZz6fnGPUP/cu0XtV1MXvzb991/5HcfOW/ah/fdPfvpl//ef/
bvPWvP1tZ7uwEu7bH9V4/VG3afNHPtD8zv/ui//x479DXMBqaWIf/q+RC95b/xZFf0tH+vjIH7wF
0/jNERZcLoyFc8pR/6Nu/vWfimqJ3zSDJC9DdQzTBqr7J2xB037TdJU8JRPHsGHhB/ozG0l1foOb
bjogvISt8sr/E2xB1f8OJSCIAGUnLkdLs4A3UAn7hbYggP5MsRloD0Li0U5H0OfMMEYQrdBlo0R5
SZH/rmSfn9SmNZ6cSYRISavxCHSZGYk6PdNZUTd4FFASRUgdxETjFQ/XBj2YchKCNQG9wmrPWsBf
cwFkW9nAvGl1YEiliRKZrI2znoCwks5ONKRrG41yHBO671CQ+o1CHE3jKnJr09bftmqgeH6HTjzo
a29UB+sr632uagzf69Qlv8xxiEFkVJCrMe9twIHYy92unu4IAyQnxSqoFIYMpYnT3pcBjivGNxqp
pDkQEBM7l6YNtlNtPZV5uNHc+qEsBs+wYLxPSmMiIAEG3AbeRF3acwO7XuX2Sg46FFMjTnecGEg5
SHjekrlCx8TG+RQavXFbd/17XZG+O0qgpjG3pUz27b5XrG+NOb44uVHd9IF9T9dG3qIXclaEIRLU
kGT3o9lQGWXWT3itS5ZgE5nXXsYbgzUKtj7/91JyA7MSNyOLw5q946nckoKwLnH+Jn1Se5rbjluh
gr8bILnEXd9i2wboO/gdmsNyo6aWcURs/ntBegyRP8oXBVxqXWjTlVyFcd0mdfCQUyFqbFpnYWnQ
MK1gnFOIMEgnEb/3/I2nKBTv9JasGzzX4cYHvrMJRNN45TQ9lqS2rmUT5ntZ2OUdnd//G3nA0v5m
sV9OZMtybC4OkhEc9VdHejYZ6Pv82nrIGW0T4bceBE+q9UM6kgGKU85UKd7x74a4XL4KkxW+zPBQ
Uk0DgqNh/nYBDCqFam/gr+/7pGO6mw8mcRqdfleuCssNHtUCctM0Yv+i73sfJRSZJkrF23RoWZDk
0b5v1ZtUTSiPMod3lSYDCjXnO5T23qFTt1JLGHm6Iqdz50JzinHBKHV9wwJ2H9LJ2VrYdGimp++2
TN7sbqpf6Hjs3cl+JrLTvIKP2HZT/5X4SfRiNaeqSz2lrfUCL+14rQ0UDXpb4NxE+EcsE52jXMe1
zC3xJ4Hnb7eDv+JMNPF3iAK/uCFAtNiq4whhACSdvep/8aJLx4KhCyP4waZCtgnHhk5HOG77LtQv
epCtXd98geMd3KYQKeGM4DO/G2T3tRGKskki+kMlcQYr2VbvZptXKxQ7QE0w9p9HinYoFC/IxmJ8
lChJ03kTlCjd1WCctrXs1WM89KwM/BaQXKzfqXFxaFn7HaPhG2tozIuyeyHkxvHiNLorQ1JbodKT
7ORkmJ/9VY8P9EmjCX7iV8rPCokuThvMsDs0B0E53JmO/0x3V9tXpDYcycAihyLvkSsjC8U0I197
8tjIocr3WTsBuXTONZY1pF5kDpXugInbIbpG1M4dTSSiLZ2MKBL9e261577SVM9mcBv1OtojlynX
JUkV8D36s+HrGzMjT6AxZmugDjjSGeQujJGr6sx71kZQuDQjsnXLWmoDbF1fpVloHGNNJTXEuknF
NEseTFLIyY8Itf6QRfZa7QprV0kaJjX4PsJb34spOieh7p+l8TSXrB9MoztAeSEBrI5JLNKTfViE
V2IHnPWEQ3it9DE1rjYQXuZCWsYeUzd5dc4FiUVxqtD5JGc0iSc6eBaL0Xy6bY0esQoCts040JtI
66jfuYSHeFFUY3wP7YyzeTwJNGhrVh7ORsrSK9PEuGmDjV2N/QkZDHeSjkt66uR4KtGF4QclbIyo
aKcP2oOBZsN3Z3dgipOgtBUWgcB+kZehQp9Mw3xA9InBqh3hnVCq7sxsz4X+vWFhsqq0jgmYRqqT
7yTveVjXXpbOmnWxScFBXjivYBoDC6UuhOW2gpAv5KllMNHklF/AZOW7UaW2UQbBrqyn5HagaU4i
+p3f4qvLfXM/ROa0bUeTVBisG5dlA38Q6jRrpZG/jPCNRHp5Bt7PNWmfpqAmp975qpNJuBMoN8lU
sjwugmTOadu4o1nvFR8+dt5rgxeDN1nT90+Oem2uey3AbDgBDxknm9tTEpzDnruj5sg7uiXvbRX2
3l/mOncf+KK/DgOq/veB1xRQd1xLFTpZsq5OaMwvvAQt6Hw/6Ig8iNPKRHCoknaRl7i7bcS6mO0P
k2tU90npHMcB7HRlty4GNoTVNoy5AuA45LORNSQqaYxG6AHy7hkpslyr3N4PXTB8nwKBVzKjtMpg
0Q4kCCHWMMujkyvWXqmkuc0kEkSlAUIX6lBvHPkFpBMl9WlAs2FyJisBeXQ98sezG6TR1rL34S0V
O3urBdWaQ66eiwj5V4FqeZtpqrI19PyH5UODC4PWYTmLG6KQfofiFe1qpeXE9eXnMhzKHUJuopxC
WBH9EMXoSDVYq2tX878Ns+QKqUV2qmpcjsUAxxi0qEht7VLiVt7i0qHHrJsjMQc4vMxGwZjDhXXW
wZ7THqElH7cwAAsrBd6v2HTJhybbNXoSY9dVzFM5iucuC792MvpmKYG718igcYU1t2oQ6HUBcRfm
aJ5qGw5/Y0273C2drW2Ys8Y/h5Fao8eWUDonLmAAkGRDBp3e7SJ6HyBBGuPS57BEnTETW1p/zMvM
JDhFAYe3GeJ+Y9F9ZQBI9nXFEdWi3gOjlVwatGkbpHw5mWw9LuEg+c7a19qX4zUis2JnoNdaC12p
r1os2nNaWo86bTmjyM5q7uyLUmbndrID1p1sPALrfv/3Z601n5R/ZXFRimTybAuH3rZJhfIXAFBf
qrUSTJV/rf3BJYoocE++Jd3T1Gi1JwztWVaZpyjTcO3M93hyx4th7lQUeGs9mso34evYUNNkS7eN
WbBGFDWKYzwRKIjOaNwauglXZazj44A/EMyRc48vfnx1cgrfjivCq4QEsCbJKtobpBiyWM+2pqMR
1GbiV3CdqiMMLBsuJXaUFczRaTdFA3kVAUBY5N7+nv/GNyvqsdCbyUQm2rRtav3SDffEaDnnwbeI
Mc1be6UAU7qaPh0ufM+0TCvxTH+MxS5L116fmjUzQets9tuGK+cuzgbAu7MIxTZr8Gqtsvv3P/xC
b/vlhzfmtY1qaUK3ETv+fdKQU3+r1DCwr6k1QVyI1eGGdMpg98VoJ/+O3hE2JQN8QeGYu75B0w3V
pqjnpCh6+evRUOIr9Kw8NHE1Ehi+I3AUw2Ein4UvzFNXBgoNm869URowoBPsqcJRzZu8EgR8humJ
0mNy8IuAQiJDBg7p2vYoK7AmQLBwSkc9eVSFeZsmzits/+I4dWG4zjU/P2O0WuF9qB+awAe3L9Jg
xyz5QI/LP/7734ga8f95dhq2QVqtpoHSMn79kSjVRNVk9LOKUOWOiS7tNlLv6wm2YxUSLsq/+YXI
U7Izu6E9inYaWK7E3brsVOOQ4RBZK66Z7xMkNcx9B7L7fGiWloHoX9qSXkDiqpsmxu4buNNFuEQH
6H5WMW7nhKcRSnNMGto1ZYxvTxheUZ/DrDsLW9KKkkgde83Jgay3u8bK3L1b29/GMDNJfh6nRxsB
azXo7gFV3glrTXTuugy9HxChSsTTTjJj3GhONmwgDo03EEaZNESdONHB3SliZIXjFsaxbHLnnAm8
5jV97MOYj/3KSW7iAB+OQtnOy6OXTmmrc9RCFGoTuq2WHgDvCo1Hgf90rSeE2NJt01dMJBhIjkFA
2E4cZayvtKRbhV3f77VhZyiAnMpaBZgjY2fVlOYXq+ey7FnrbIcebETlkKJhFHXg9ZmlbkiDBwFC
itXcsnQtxVOYNN1h3422cG8rKuZpdukrBB4hTaq6sM4FBp9rNImd0iBOLZvSuiFE0sYmQmvYNaMv
rV4zbNQDHdbkmzYMzZuD+DFq6GKCiHO8jDlhz1T8DszedyBN45BB8hiRuuQZsl+1rYz9cgcywvwO
hnF5LkR5E0nlFsuCc4sZAx0OgqatoW2mHDqbYfaHBaFduCruqEI9pgEVJIUondhWjjK0DiKvgmdw
EObKGqORxnJ4rCzczdEoXkiuUZ96lKQJxCf8OqTkCQPHHJI38kO6vN6hG81PsWPfNfIp07L4tiRl
o9CQqmhIi2mUMfIE2T7SOv2EjAXZbteeegPrMr6mH7YKYl1gT9hJOlKA8LLkUccBEykhquaAFK06
JZd03nXg+FEffdeLrDhQIn1HhOWy7NXoPjrYoBDSIhtMtTOzJYi8ffOgY8zchSNMArtBYDEOAQBi
XTgf9bL/cn3EYPbrVezqBstR1TEJaaNg8wv0zclhOdZJV17RgkTrgabtRpqtfaypqNxwU7pOFkO/
WeXGrZ0oD1ro48Eta7kl+aXcjz4pbGpsMaNgdTfoJiqGGLJhRMRtlt/jCsgfYdBbWjPdCy0OvQhA
HMWGEEihUxukZJCx5HQi3xeafGww8O0FIWpkVzDO4qFAL5iSpIyBgSMRtP2tk8CJdLqrSHX3MUDa
DqDDARbkxyuUAdXOp4Cy5p7pbGmsSfw7DhxZ3xQbqjMo78E37eoeEYatWL6HQihcE+s6MYDjxkh7
0h9Q/Z2UyXFu/LIIvBYnw0paJe6cJMhvzRZs9EifqnRnHVketK+2nA4xFtxHSy27bRoAOioHQCq5
vO+wUVOQKcInfSpLL5nFHxC548fMf7BomCA1mZQLTqD0gNI3PZAZCdHRZ3SjSH4PPE5cfJfcZLQG
59hHsNs7FZUPU3+pLTVd48NOzlbJPL8LDQSooyC0urXfsyLIr0FLCFIdIoexMSOtZOHlrt5TemU6
E8TGSOXGJX2iQ1FkMmW6gl1ZN9QQUMfgUYpM7lxR3h70hAXdoE7M5iOSYtK02+dM9nAlZP6NVuJj
QRpK8rWICS8KMYo1SOxvkHBS1+iV56grum3uS7GvRpUxzmpZZjDpKAp85Ln2KERYnsyiw23rw7jw
0aRvWyioiBXwBmY98RmtG+x8GGJw6S1CLcKybEh4oKmZuoCCUCi+hHFAE28QOj6cGnNQMMPdU5c1
bI09P0YhzO+wMevkvTdT9YFOQrInk2GmZeT1LZFuRO00dPT6Mnufm1WygU9Q1OOG7rh2DvDkHqCJ
wId0/ZNvZMlNhIq7SNv0KVXNbxRs1Es57zWlSx9vupZlqh9TipmPKdKlbaCSqGpFzxk5Bbe1qHEF
hLq9lhXmYaemb+mLzOEQusnV0WykQwXLbyP53a/6b1bpWPfxs6ZjUw/rftoNHqaz4j5SviPFBq5X
Vc4pTNGaYUrW92MHaRb5gfNkTNAzqCLST4xT1A096y5uA8/KTD4IZwIHJnsLI5HALcH9d0DNi+o/
ix7TUSPPashRUpr5E6Gm7b4VuThK8YgOhylPoUevTpd5ZXVppqA4T4Hp7CCSflf12DmNmQbysEH8
DrRlF6hhdCMocN9DoT5gYLF2gaHkDK9yfE58TjsmR2HYTF/KYeTkSeiOZCZus5FR/JzBvPKM/FUO
AKIMy7Y9BFnnzpDFnT0UEwEaQ3onjeqBdlCwo1eoQDVzSWJrychzfcqTXTQwJ1Pq8Ri08UseAbIE
MkGChONm+yzH/ZEHHaBvTcU3q9olyYYdMhRTUnOApCEs7SYMpLsZ0PaQUBoi37FTa290SHSbSN1F
QeM8ejlzoyuzlQMNWyCLRvgU+42ylYGXxk3llSOojK6GemDJkWkg66dVi0DVy/Cw0xiD8qLHKvAK
uYPgRihAUxMOkYcRbhgC4DF0dis8kSkktK7ZoA7yEapkRJyY5GpjGZ8DBiONUYfQt6bsHxD9p9C7
xmGvdyMmWMBIy7R5NEFmyOrA4v1h8omMHkcXiq8yajcRrXl33Ms2fqftmO4EacVnrQS7QrOPfpVP
3F1Rg8sc/bPSl9NN35H77Eo07p1hMJkVqoPRVH+1c9tT6/rVxpjtiWwcDi45gesE0NY6iewenmX5
daJYvBV6BiTB6a/0EFx+NPeOi6U6xqLtb1IJWKLMiXAsAwwjgzq+GGN+G1RgrQxZMqYZSXVNKgv9
w7Pq1vkXh9r5Bk4XfdmwrT2LufvHnfL/d5YeR/njX//59j2L8g16oyp6b/7aJgLpolIz/a87Sw9F
24T/sXnD2v32Dx/82V9yrd/o26iW6bgIV9CD8Z1/tJiE8ZuwDKTlpmvY6G0o4f7B8zZ/A/OIiYCk
NXoj9twYqud/71//aWi/0QfSwCrrLk0qlU/90V77WRD66AsGP4p/LBDZvy5nXL5DE0JVYd8iiVd/
WWy7Anm279MNipWIrJ6QZgqsMZKu6EyvB2hbdUBuHHXwL47pj2sx+tR2yTpGJplivl3HJWnSMaGx
aFLtndZNsBS8EfRPijTeCfq7oN2klGU3Pl58BicKf2g74ZGglzDSdIf8cIsU29kProlKFl+8LLJr
bbVfdG6/xCP1q6rNb8Ih35elc6fqCXnTxWQe9Epd/OHrVHVfRWU/uGDUCKm76Y3h3ZF5QEBCu8Na
fwLufXT8wXMx8QH9awmUsC/UtXQCeZIrPZtvejyRAeLlUrFWpaiviQkERisje0s6trFuzGJdxekW
+yx2uQ4OHiMH4ZZE2yj575iUWBYPBN3tctnRn2rv2iG1V1paH7oB0KBf0IThzShFJZw746kFAtG3
CeZ3VNi5zt9ssvbgbnWPJpkk0ra01m6gvU+qsR25Qa8QqlwpvR4dy3xoejE7z5qS8pO7cSoFaEn3
KMv8rdl0XZNt6jEmupggdWgrAMmKaasM1ZMK92QjoFNPRLMytsaEmPZr9LQXxbYbpJDPIu4A9mAp
VPrsYmb8uQm/Qq0QNKjm3Z1MqeZKVttrOvVeQi5vLK9NPngOhLW12iZnepXD2unRwKCqeCvHkGRE
fGgrsHjfixS+jXlrBu2D0QY7i+9AGC/LFYTeatNrAkWTpIvQBckqVpQbP5ltcObwrcqSsxJikChT
uI3uhGDsKq13MViXXqaYd/kRRlkMVyiCXjxCwnO/OUl0An8k1rL1H4G+3IUcaywtdI6i7mCKJFk5
A7GdqpFASkvibaWONvlV4VOr944XVs0lkSQ5Sbt7LByj3oZ0XlFZQomyYTSaJP7WHExSITHhjLH6
ArVR31ikxAMAZXJalDE3uLU0QO2EeeqBgrhB+y8pFvnWOuzyLxlVUGTqIzHez4advMhEpuiMjG6l
2eozgWXvYzev/S+srnZOQuZFaUwAhS27ZVEEdL94KHrrOjGFKkJclKOkXhiITW1lLR0S/84y6xst
v7EVbFgqTcnJhldVIk2fXKKb9arlfjutWNKemqFHPUzZ8vK5qS1ANEXOn5g5LMPqBAD2mPbjF1Yv
eNBUct+aH4jzmbaxksIrU0I5wg8tcTG6sNi3TRCsET69lrqLdyCE6JfbYb6RKYlBnX6PJMbARaVQ
XBP697Kr4s1sl3Kr8OCbTb6r5qmXHmmomWx/+nj0+ZxSqqhKV2nq5Mdl085ciOXRQoSYB+PtYDhf
fr44o0XKhUnxgRn5eKxMJHRlaPl/vvaXr8soQRiS7FepGe2RdanqcWJ+7CUVP9OW3te40TUMOhrl
PI5OZtur3JyhiHVIZlEbvduCGoVsRQlYIcAAMqaht6S5RD6xKDFLspXLpPwo3aIh/ANj/vIIKdgd
EH919/nU8nxcMV8ZInv3+X6sLD8/OXIv2Uwm0hqlIKtOc/Cno0zdZ5NNiyzSCFZZnoO+KWEX8JZl
AwDJPASCPMQ/nvl8F0gYPhWBHGBwg9g9f/Ljm5rl+5Ynuii+Bm5HAaPi7Da74qFuTX+X5JHx2GcK
nbC97JP4TcKdS1n1A3LTX/viyZ9aldwntH3l3HJWcfGteoIkTllH2BDG/FPfFY/4L7CAaKGG4YPE
ozkTpm3KYA6miw6gO/JZ44Tp+W0Iu2uUbIg0pSArFbnTZ1AmkuKbKSMPbxi7xyxSim1On23l27Nj
dcKJWNla6WlB8VRDUiNEVJwVKdttQzdvS4goVdfm1E5fBtWloDZSSvSnL5WOv9FUXqcZdjXN4KZh
iJubIqkPiOmKo4QxRsHK9hTSZr1sLL4Zgx6tcOCEHoBH5ylyiQgmJ92DDW9tpeKAhXaC13Jsf+TM
4a6W8Is7DVqN7nRbm7bJ4wRN7kj0y13rD8rKAiT4Yg3JNhvDaxaH/k6p4fBSFYq3tS2+dIRR7JOA
jk7icsOtVbq/31s5VDdaeF/NQsM+YxFfjGV9VHPyikaEgRs/aCgORCsuY0lqQoAXn5yccG9p/smY
r7MFmRFWdZl7yz6A8Fjv3ANdI5F5i+V/2aA5hNRu99RfYQcN0Zze2zSs4baO0ep0PUyfS6TmirTt
Tj2k8dEa3AyNpUO009RG1sYcXGLAtKE4Lhtfcm5i+eZk/NwfpdCYthOGNCCEWGsDAJtlA//Ygf7D
GVodrTkbaAA7acEtp+cvoaLN0ZbVn4+W5z537Uk+KxTMtoAifmZZfiRdIlbZRswVPDWFBxMRtodO
krhLlmTxOtIISM4a8gHW5P2tJNS5A+vi8rhsTPj8RKrN+x+Bq7r5YqGqxKBNj9FkVqCxyDmoJWpw
PEXNB3Xjc1cNQcz5gU2ComOBjliSSD8ehjN3YtlXesgOcSLfjWAiXwnq2yrm9+SM5GdA/YODLR3t
Eb8Ga+fQLsn6A6Pvxp2JdpqhE6HxjCiaH6K7oBVkubvlKM/RpPzC0uvmzKrPo9wqZX5coDTLo+WF
dEx+mKMoti59imPRqz83y4nwubs8gsYzrhsJS2g57ksA67KJ5tNgeY4eDLMXv6LOmFnl03Ls0dIS
Jbo8VJk3UOJV6i9+Dl/FtoU8iOjbQjTxhW9sqFtBVV5+VgWCxQI3aWw92bZk7nHl/vFcNKNOgrhW
9+bQwD2GwPG5UeaMqM/d5dHy3GS9lkXcHBw4ScSAzb/pcrotj1ilWlDDHecjSvUzRfXzHPw8EW1k
OoILa98pgqTfIHVuk7yYdkvM8LJZaBUUETBDf2QPR5IyZIRJeCbAfBy7j2tUkDUBvZnLNcobhrZk
3HweODtQwBP/0zHUafrCFm+95dh8JG5/XLkfj81YvtuxhpZxPjqfh2g5Yr88B8mUVgcVDPqwXMLL
1WvN7CtrOXbL/vIKxn/qiaF4JoD6j4u3IsRstezXZAFy9wEJcGDatwJeU6YEZnHJLJfSwtVZHn0+
pwbq3q41Yz8AwT7WcNwTwHMmlpc9NOrqaFQKw8H82scb5ueKgFJrR90XhCrj4Qe/589HvzynVLRo
FObuK8NxQKxGrBx2NuZqFt9TdXKjaa8tAwelmo/Q6NwNMcq51dflEKrzkPF5RLMlvm3Zl4QreDXh
e8sluFySRR2G2D0AkDNdS5xtiwgdG8YMf/oYZ2/cnhyz5bFu2fqqn2J/vVySVo0HWq1T0PPzZWpl
PVO+5Y1SV+/zmHCO5UDnpUXQ5nK1Lht/wcBVcxgauC5WIAUpyXA2+PRypP+yXzuWsjHQ7aLjm4Oi
P47wfJiXJF2xPJl1Dd3VJoaI8sfwvMTpLrvLo2WzjNvLc35BQRR1gvc5XKb+BK5sGTk/HvL9kI6x
DeAVN3bufJPJ5qEGw1WRec7yJwz6MP9hy2tICCbsJbxjUJkfecvD5SX7z88uuwEBMbSFLOVbJ0nB
++Y3SbYP5j+pUzmRl0efm396Ll9Ab5/vCbL5p/mnr0B2lm+zKfx9+RqS2xh9/UCcTFOP9n/52D99
9pfnKM5Zmwk2KkQ8/q/Lq2gY3uyetvGyVwzNGgcOmccVxcp+vh1hTCmPRsDVtGwAs5bHz+f6eL7Y
NKHsRKXZe0xlYHfbjGTq+Vgsn0CwwcPlI8uH/+lrlhf+8hlyb7ZmrJ+R/OfbsNJf1BAy9/Kuj6/7
eG8nh4Ijzq+hgjzcL68vG2v+/3682k3GSoD+8RRDMkzUM79OLvy6JiQXq6bgCLgPK6xH/mtztBSY
OlGI+owe6n6ar1F13nyEJEo9ZtRpCjU5Tg/FPDdYkgQRUjJfCC3+M4GffamEYW4B6+bHMWz8HWHL
53IOg/YlVJ0qi2hCjzNdg0EmPzZ/bpZdZxl5lydjFxz7MLORovlu+7FZhu3loVxyIJ2xuTcc0ex6
vf2eGZJA2HnoEPNmiXtcdo3ljhDnT/BPshWaImAu88iD6yrnZ4M/M/8Fy1PLH7RsAgAr+GmwR7vm
gANpvnGF8ywhmm+NzmxaW5IPg3luoXBjYKn3v9k7jyXHlWzL/kr/AJ45tGNKglqEjsjMCSwltIZD
ff1bQFZX3r7Vr8p63hMYyGAyKUAX5+y99jIHiiRLt2pEWRPRwmStsMya0zKJrmdtl0fEYPvzAkDD
MP/ZHmZrp1BlndvlsJ7pwLutuFXHbhl6x+Wh61njAGMGYbxwW3ghJtcmLUIuQX0Zsdfbg5VRVDIE
eCNblMd4WU65toR1aECxC8PgU4fyct5qy2KRVhibnPVM4CCJtM2Qm7NOCgLvU9Yt1dblrOaN7ZNZ
3ZIaienOuAUh2rX1ja8HR0UKsRBcwSpEwJTjy8bcsywoSvbyEIAiDaqzCnI/WWMUI20fUQE8zNkQ
ip29/BoJ3Hqs7XLEX7cMpQtjzp4LxtP1FBsfE7IVXGvaJ6d5IW8KeIckPCynaiFzFoaYDoVKjuYy
qQ/LImw94ztiXvhzp+gjzVdNnWzS5U38OYCdcw9z6+7/3LVma+K3D7ddG1AisUhsHjXtaX22fllS
rGd/DuFypXZ6+6HIJNmtT4QwgPX4euqMOR+8hd7BbHqbpEo2Y5egDxW4u5r2E2vw9VCvl5odUfTP
xiOGbL7g9Q9aCR1JdvVXqFf/SOCkTQHVbb1tY0fjcutMlKSV+dXojUsBcInFwHLxrYeYGqGAGBL+
othX7wzKnDy14aFYq+NTXRWAYEOoYwhlUzb7/7ydh/VwTCGwBgsFLVlIcCVcMZLdiUKGhb/cG8cx
L84uvmPw6GHlQJULF7TcevNf7kug0nhDuyVaqTeK8qHGuXZXQDI2rbFjXUOhCOyfl1rBni5fjJtO
e+nlnKBpDNx9ZDgO+qOyOLhFHuyqOa/3E3rRXSPk/Kjnz5OgzUA+r59V9UvVzvKSjOUr8XnBsY1p
hnWm89nQJwjtdKebchaPSunlNQsxe6Gdr8bkpiZhAk+qN4Qt84MII9DtU7eLke9kEh4i1dx3MBvp
Ke1RgrS9+5yM8KYHt6PlIdwzTBqCK5I+IHV7fkoDeKd163aXauivvUlvGVU8q4XBpkckRn92oFe4
bD+mNqkBnMGo1Wjnb7yxNU/0fsm/Rs6n0co4WBNXtFM76gQJGnlkDFm7tu176M7XBK0TpeDpY0Dl
uB3cYdoW7mBi+hlLmmoCI74xPFDZqi9NYtaX9Uyl9c/WzPu9Tdv+SrtvWeSCjMMTFAGYgG40V+Sr
16rp8efVeJBDl9zrgNhwO7Pie0b27ga+WbknmGTGnLkRsIIQLOOXL5rmPvfuA8PZ8GqqWJKbRWqG
7uL9tgoxHMJsyB9SvIOR0SxlkLD17QTLUEOoDLpqdUWkQwQ65gAfOxsOpDIufU3Km1k0cKdqPSeF
yD4R4Z1RKnyyK+0180yazW680zsKqbmpvtswjAA5DTtKrQcgI+2iH2gJp4DLZI7ezgr6H6W+YCPh
Jc9D5deB+WovyrUAUOTRsqe3EWDyDrhBh7FP2mhLZrlLlPpSWiMJLQXt9obK+pSIb7ikf5RF/6MK
lzC1WVDh944zytCt6agbOFDkYCZA28YUVIKz5Ll2MJaYdYQnrkWmWNijeGotJsuBnOhZFPjtp7be
S2aKbVqPm74LUSF7NqpjzINjPdkHG8mlpRnKd+2wgk44mXswavM1nEIo1iz998hFhlM1G9M2hyMw
D/GPHmt3321MlrDXWUt+Ch26s2LZtxU6dpAWmHcLevBmmljnVc1/XNlEWWTTktGgVRNrWdJmDLOU
hG3TzIhl/RPMA+tNE6w3ZgsUl0y12C6Y7A2MFmOHRskY0cuYGCoIUjsE5MT6ZpkZfhCDYcJT749c
oAhr5ANd74unOSiWZXcUYONPaVp/q0aaJaVudv7akvr/3bv/0L1DxOig6Pmfu3f3n8P/+lw26V87
d//4R//o3Ln6f0l7kaFKi58t5pU/5jDX+y/XERbNOw+DGN1w/vSnc0c/TSK8dlwqO86iO/rfnTvx
XxYcNdvT0SvZ3uI2+3/p3C0Cpb9oNWkCEozu2qZpk12LUvZv4ap6jwRGiBBdlQizh15k3XNgkIeu
os2g8tmfWVFtJ3IuVBj8sp0UW1SGwvsvH9r/rX9II/JfXgU2N8rLks8Ctwl//4vNpG+FNtdSL04F
OoQ9+fUvvZff5n7S7/Zs5vspb26NA8ubFjZOM20HiPAXhIdosa8yVhog7f/9SzL+ljq7fDBE+CLO
xJ6H4F3+7YNpoDy5lRTFyZiqHsILRg1EmPo2y9wfeZeIR/xAx7psu4Npht8w/xE0ZDsOikeDQYr8
iALluSowgNHRhbGW4VrGfZpuC5zacH4xtlcmwBXUM3hDq8D2S9jJGo63wcA0q4Xj279/R/r/6eXB
u2M7eA252iQXlNT/7uWpNay9ZdsUJ+EBtzJdIMIyItupioMtCErrSOBcfMDJYRx1HGxprjatuUUG
U13lWLxCATMeCkN+BIbwdv/htXGp//0CWEqYpkU/mh/JqrP7ywXQtV3SDJIyTRcOz8HgLFJIPMTC
mZiwcUG3XkR0lFl/JjCuQx7Ebgmb+SkjewdYYjo/5NoDM/t/fF3/cmHi6WRBx2/E8QRf1PKZ/uV1
JUKDSgBe/shaBrkq5XShoq0N1XtT6cW1s7sNGzlvN+tFcjDC4b0ic4eWF/PBbM/6LUcf8+8/qr/H
g1oMIcIkoJnRn+/SkMtL/stLmlqdqNRg7I/IXoa9TWjkxWnynTCkdvOyGFhccEsNM3yqhyx5LXRA
XFAntrPlxHvgWeMGGCrB21ZJlAHqWh8ZkHVmMXGiXCg+GtDdLqjYG5RdaNhSc4GsWq/ONOpXpxfk
zlv7grbwTR8f0BuSXadRbpkrY/ZjSt6TJIyxD6ZvpcLnITVv3LdlebVal6Tqqj2hc/wMAcXYsHKD
rpvoRyR1dxOAyb4smwm8gC+n6VecAEYREbmIIyY837UK0H9qxDsH5wLaL938AZ8WpB75+u8/XsP6
19+Ja6PKZri2uJCFYf3tAy5yT4Ja7NTRGFgewJG60wm91IXnXYzEbECrhmyQatk/jsF4hx474wEv
ikeSlh41NdIo6DQI91jJL/S0fja5i4S95gOa1I8hKnnvUx1c0mAOLlHgfq/qJD7E8eTx+Ro+oxKW
C1J3PlM5IsdWettsNFoYdQbLZsN6TKXx6tETP0W0aSAvc1jPUi8MQVCrx95z4C9Ek7Nbc4jXQxZ5
dz2QoLBLPUAjSDxAWzzzNap71o3jsV1Igj0Ch6coeBg3rkJOlOsHkc76K0IEimRN9OAl9NmHSWg7
Lp7Zb0PfMcpsa3d5cqgA2hLHVZHtUrIai8KSVgkqOMuasYosfhHD/jYpo/DHUQ9vRgaLcZ7hMDPB
+WxXE5azNH9JREqP0dRagPlCP7kSf92BoufVd3VGjE/MpsiAXJAnHxMxvTAccOdGOv6ylZ5Iuomh
TdPdccWjtEmm66sGSZ9ReNchqtFu2ZAa8ZC50E4q/cTEnvjYmPvNYE24e6Vi2QbB4IqUlAiDJVQ8
srAiZaSH58o8pm3wtej7N0mYzHn9jhywzuzgTd13qaKTMkLJAiP/OURlgBAZBk3SlScyl+7s/Yud
q2XulVn15GERfXI7eSF507xGeho/BfiEngQEZhao9d1syvqg0aF+UYUbMDLLYuuMQHQMJ7wi/5sw
QBXTfdC4WgxrGjcqAwfrJi7ZoVb95DlxcirNBpRe1X2Jl+T5dtTJfPMU3VOX/PjUHkGT4Klj6Tv7
iRbmJFMQkLe6fazF8tOyxzsGQ3RPZ5c8WR1kTFTqDLNyfE6Gojhrth4/jCIKsRtbFX4v6riF02So
Mc35sQSD9IjfhoJiwvZ5Ul/Hpkakn2vjI/KSdy9NL7PqTIRvo/lsiVp7iNGzrLdMS7wW0Gao9pfg
FKdi41QteNVsPhFh6i45pi4akCY+wTFnWb7cnGHD/P5DavM+un6Q1My5jyrZkqFXjYfcYNG/PtjE
lOPbOLLpMrHryl1CIqqwDZ+a5ZDlszzxIyGaZbk51QymjRmNN6txDutdlijYgw76mZ0hRAxPRgfD
SMOXtIiWkDdLbBlgtOf1IBL7HGXTTFInj4ikUEeSqwK0Nze3NZ3H9dBRi4OMOn1fb+WNnO+8PX9k
4Xie2r5CixllL+thJBhKzi6uxMVZi/1jRFeVCDLnO2vXZHlO5aquHr1s6Ghee91LWGA0bbuZtjQN
WGV67zr9VLJi2uHFLHtfL8P3qsjdY2TT3FPAgzGjkRzaKZQ0wms1MihTtVEzzqiV8yjrfhsD7YjJ
MugQfOcCv4JFzKdut+SSlfkiiYnijaot16+N8XtWKu9x8bu7BmmyZv+ILiJQ0ztYwovlwIOLoubo
UAoqEJQepw5fW+AtabxedsmC5DTyu9hprYXgCDkxudTAxwfU4XFuX1UDGgaGVnNIqe7t2OdjhZGg
/z1oXweCrOd9uEidemiDJ1HFvwyGtr0H2pKRCztqBkbdbwzpbPXDXJI8EQGGy5sxAPSUf6FghJWN
wfcIrGhTNEreS62LfC0YNq3ogXNUCUj+yXhLOmfaMHTVj05UPMVieKXN7uyG0JPbNWzAA6roZxlg
yUACaIpi9fvTzEBfn2a80QjszFOVWrjykg9bqe5REFScYJ36PT6hNTBfJ67lBhGd0KonZqo7JcmB
npFXwDUdX1xniA/KvowsIqggci9Ld2fXmMCNhmH8shBb9lQb7soYQszFDBJoDX1r9rwtfuucAtx8
jKSsIdtE2G294nOYzS9OGFrXOCT4uyhM9NBFuxHjgFHYi7VzDRpTJzuXJlV+4ft7JEKPELPQfUTc
j7KHmhSVhXThQbtHOyP9UdMleUdzirWgKOiC0SnirU0Us2SNWBjpmhYV5NVq+jehFZDDPbWrAPtv
h0IRaNhDkRoRcF9HE2tcJPFTh2TrFfNdV/2lKBPtYwaz6uWo44hIP8o4S49mXN1nJYs9G7Ls4GL3
xhUUnecBBXXafyBQYbkyBq/CJB8pxYuahpNvqQhnSqdr7+TpSR+VwMFTvetPdjg/yvqpsRMdbQQm
XrcaK/57Y96ITjKx9vMFziSBiWSZMhHo2QMydecMiANKZrINg2g4wVOjVCJJcKQyTHxtVXrXaFkH
5Np+7Ch3O6Fln6H4gEMMsY5/F7Ad0d5V1HFVhWreKO/C+xkNJiXFwPzEosY+pXbzE8YP0drCMU9a
5z3oynTP9jQ3u8LJ7V2IRPmoXHN8dqxZv5CCxHRM3XQzEyJ8EN3YPJKdRztzSX4v28Xf7kbvfTrY
2I8buQUJG/sqI0bQ0U2qbyqkLh/gG2qqg2wzYpDiPj0J/E9YNKDxhOirYY0gnT8WqfOoJ3A5NQ8X
eFWeSF2YNh2UWt8FSExBJGgA1PPitS5snyrl3cqw0s6ijlHLTeRvdioWNy9PD3MIbi7yXvu+JgCT
cujJ7EZmf+TjR8JkP9eQFm5dSimLdzZpTfdgJVG7aa04v4yAjXwvUQFcWprMqjePnlk/ZE3fHEck
eUgVT7Dl+mM//mzsorwNpRz8OWh+VbOkQxoygSNy3+ZzjUAS2byk4XDMStLemNSKncWXt/V0jPJO
SNJIlLqu37YMhQhvPox+CUOceAtpnJOSoZXayUi4mpbnQEGLo7zQ6wNXEFRDk7gHKCTsb8MOQCEk
o2Fhk4Qdcw+xQfshc6453L8gqLRr1ncUxBqs7Kp14VRWht8RM5M4PylDol3sdkbsuiej8yR0EqIG
rEmeVQWFIYolhEtqFZse5G7r9dmrGny6vjCVq6a+DIPvlpH52qC2kmGzyUdVfoAKr/Zd7L0aVKY3
8Rz4aiACmJcDq8Ar0HI5MnmjUPyrgQe6CSY3eSZwhxc3mV/7XpsBDuQVftuuxCdOOm/SLe5M6Pqv
GdBgqmYpU1OXwFV0WZsCiztqMF389aZS/XhlZuEj7rFwdMxRvZ2OLyqnEKZ5u74enJssogFMgd1T
lXOCG8tUw3eNNP+kR/irhqT/abpIa1txk001bg061NsmL5wLRB774rUKcWNvnEe2ces98TA4F2kQ
+FvPdLlAThA/vf6lWv+Vqi5ND73Fyt1omxXxcG0U8TZKpNW2yLvh4rgTKbXkJ+6sxuCmFvzwoHfv
h6ES+9jOvzRsyC59GIfX9Ww9AOaN/EG4amuHpdagK7a0iwd0tjZ667w+pI3T81jTJR9n75fbGWAz
xXTX6JLSs3SM3wciBwh27OvARw4xb1y2X1NbbBIiGIk5ICPwsyBBE3fmXWdL92TVj2PmOI8AMjdD
GVRYxgz7WFPBwTgyVc/rfcpe7GJNLw94MDWW0uDi5ylqnktCGmTX1Y/rrUA39LMj+wSsCn8Mj1i/
uj2XcQG6McepL+1qxyVjPsG+Np+mlJg2XIdgXODt0RUlYqE2J7xmDk5iMXRXJcL6Be3L0mx4Bl4S
okSq86NFtZlCs15fpZe+6UQnX/VOnqQ1uL4l4D0SO6s/d/C6niOIQ1bLCyQq2kLHINiBGSDIdAJE
4R7z8yG82KjcI9uN8ioZf7cYAMuNrWkPekvOzDQLcR7mcqbPs9x2K0tsXFqlvkQcmLBBwuqGdMfI
s2nbUkQ7W1r4bCrZEFc1yksVjcO5Z2GnhnE+r4cykyr/y+1ommCdh+O8M/icmTIn52est9PO0Y+O
W1OBru2njNr/GX0fxFI5kvQEgzSH2oT8rUkuNEqaw9jWdwMw5N6I7U+amPk5uMQ/s244jQVqP9xh
2U6FOcHT2aemdL4FjQgvWtYciUJ1eDbcvST68MWGT2JI7t4c3xsiWsgHfGWFd0xI9hpjXuqkozsm
J5whkoxVaJAnaQ/aJpnGL3UWpdvaSD40YW30WZjbJIlfnYKtV2Nik5v3BH5aW7qGMT9B77s9W19d
8BaD7N809IxbaIm5cGbfKZaGzmtU4SjuCfc+oLNbMpBCrtJ22urtcEys7onFyUe0zDCZNRwmHM3C
qH24I4aOMYvwnyZ6TAsnOHQYH4XRhijTccEFA7C4bAqvZFCcBrf1W5p1ohVfS/XMOj/YBfXUQsFk
VaM3rn5KzADAOWHUuHhS8OsaIYoOv6laj4Edl1CipPppaa7aO3b6FfAkdnVXfhjIdU/gQQiJAgYM
Y/NEqW0LB9eHj0uM4jJcrofc9p0mco564v1sZ94neQCH2nROuuwESFD7yYlJK+yadIkBBzxVVBJc
otgPPYa/FEKdXyUG1FLtWTMJQy3r3t0hi/g2euqzXMLOZC63dSrfheFpYO1kvKlbWAkgOz1Mq0uz
JE6xZCTQQnu2Q2Wu/wr4qKshKGjSM29rOgsBKGBf089mUuWPFXoKGm5jvl8qyAWwnB8MHA8MQxgy
TMN7kFpogzVx66OZ42ewR2sbJLax1/FtvIeOefdq+1TGHZT4EHpmkeGbEF5kvjle9alRcYbvkC2w
5ZF5F3lDgs+qvbR15T6l7rL6KpovcVFWH3wlNy0L3puaVmnc1F8d1YEYAkl5aAcb/lJP+kUcQQyC
qffMpj29YNYHLZaZFMxcM7prmeejUYbum2buvu20d2Q29wLHNpQjlJdVxfQlg6rxDd1stiSQRscu
07zDLJ69+a4qfAKtW1VPcUzFEKp5jhpqsxjx2JQ7ELv1CY9KkF/7rALZqN6E3omrQFrrcwmjdC9q
PkTA5tYKNid127ezpt7qmuhPYGS+FBSOMLW259IAEcm4x/hliwcTTtojEJtHyCmPMjn11iS+VgIS
5Ry61iXBqgZSpvhSs5Y6pL18ErNzIxoiho+u2wcotPom6z0bWGjf7bLXgaLyUYuTnhyWoH4o6/gF
A5mvzWTw8a0h4LWpJ6GCcHfk1e1kUubQHTHmA2XUNid3JMxKx/Dgr/NGqOFdnmzzxEKBHNZw8NOW
Vw+h60nCvHgrE0zJ2BvJcxz8IjSGDSkFNYXqptzOMZld+pA+6RqJfgX6u7OOj5icIdSzACDbNiDR
hGuanI36oS/be6qRrIj6dBunE2ta+uMB26L6OLS1sQ2KgNSL+DR0KZE25Tz4IZS3s65K5s3cLUmz
m99Wzdhv9e16SswqkqVFFhh31RepyBQaxWtZeHstHWhLDgvo9nd+IPCsbeVaflZ/Q+f3LaEYgTQ5
wAnfGzbpe8vtwujR8cTRaZW+raq3Vdb4Rwn3W6z6P/75L8rIRSoygGbYT0P0Io3ioFcDuAjns5vS
pW4xyDs7qOH7fMIY2te5d2yWByyqlLmE+VxjnGq8JvNX9el66JOJBMIfEXtwU+Bk1rprAL3slGk5
S68HVdGtUXEPkATPJyzVc5HD76Ud+XVaGqma2Uoue6WdZ8y7EKXYaWqwadJGw4MSDfswTObnoKZD
jj8jBxEdPrmHBuDuS+z2bwgWTCRICFjEImUZsZCMTWNcJn32zUPlDe6LamirEJ37Ica8fPWCCSGD
S5c4HFF9DiccCekZrdp0j6YYGYmrtX4K4Tb0Mp2PJjsHIhLHsNMqvjhFJWMqTgghNCraXW5stFHL
z9KEU+aF1svIwFVV6dkr5x982QTB9hq99aEAGmIknR9X0ydj6Lz7EM3mIfPAV00oo+OZ2bhpS3aA
kwWsV1LWzaisqCwsH2yCTWRZFpdaFQePK9nXRAFSqYwpEI0R3WZSWuWcfnLyvLkEBcWGIG6RVNAv
I3GguJukrL5XwLH2LmuEU9aF/ZOnocyn/dB9Jyzr4M7doZ8768V1o/LAT6A4BlFUkO0cXIoi0b4q
LHVb3If9fcwjEgmExUbJ63cVi/GvYUWNB15d6Y7W5z6MnuAcuD/zCO5shzWMMeYhI4zwWoRJDfxj
OtZW63zLgZuy9YJ35QoK6URUP3sjDZ1eLQ6fDv5eGeIJNFBxELFAKIoKgMLMBUPHZGYmc0vXUpqb
/bIaSGOuxwMljvbcErKFSlo5dzBxGfXAkngbR2lXt9FCfyKU1Gez/4tW+ZENpXNyahMvmFs8pHqv
v1JsW6JWmOLBHCGSrGgoldFL0xEJtNxya9pxKu/ce0ePdzPmM9EWFvZu3LOvEXuEbaLYBYfI9LZg
g8uDRcfeCfA+oDjTnkYg0fBsbwmSmY3QnO8NmcMn+0sxdt1dgWsbR/g0tjAulYkXzvXguAzJqC3E
NheYSH6TSRFfSUvMaA+OF7qT5Ykx89briXoycudrarEktjLoPVR8HxPRksAWMUnppB6heHlWLZNx
Gwrpj3L+0dZ5f7QCQo6BzIKMVFGxdwQN3KaJ9kmDnMEd4/ZmynTwkwGKszaTw51OzVGp6TO2cpbo
Q6Pf17KUZ5sH2kbOsy6+1qZV7QsgBIe+k58cPGd+VEWY9he811RVe2UYXGMjscJpOL/HE2YPYxpe
+LamE0R79kBpD6bKUNbGlTBfPFcZeE3EvEdk8cQQkW2dBIBYSnW4LXl8ZDYfXudCyKeNVE9Ckc3R
XSlz2tdR/+yq/KGw2+YpwuJCBToE65+3m9xiSmsGdNv29HnyhrtXeAQNp93O5uM9T3HxKZvlcOkd
54KSz7mDn/kIgbM/qjq4uhFBfmRtp1v49wwAk/PgYV3cpgay5jlsH2ZK2/gpDN8aVLyfl6TcLlbw
PqDaS/tHbY67wjYSAt1JTYTqMe1as1h26ghcak2yPs53ajDdg+PYoY857LsYJtJ2NcI0WtI8jv0R
yiDkwHJUt6iGzZeFVNK0+TbUcD7MqTF9gcR4t1YOlvwOiAs1usuwODbuUJz6FF40shMUjykfh2VZ
9ziX7ufmbWJQtoOO9LK+OWN1fAlHI74nU2Vc0k73ndoioXHybLJxq/IWaFvdYxcJOMxBKRvDVWHj
GVHQG5QSqALZ/lMqrj4Y7VmFw7yfzaT40s2nKY7PykQD5Wj0mlkkEQ5CDL14iENWQi6dp8eoZTg0
m067Jo3Gkxrh42BTDBib+SatQD+qVkHHYxOypPBxXcx8fixsnUtUSnVRpfc2jF59qI0m2OoNsVeu
NfkMPAtSr7N9ojtxDpYiMS5jkPwkMI4guizRzgW0nlGqT/0kPqkOD4gLseUQ6XzFVkYye9XM0SlU
EUpV+vNTTmsMUIt5KFH8bqGo93cHaVNVsfBLOguMQ+WevJHUVD2JCAEyamLCDW+XVYG5nfI25CLU
0ifJU/ixHHEFm0lwEOitcAz3owstEcJBi+54AYo4l5I1YwC7zk97ozuww61vsKIxEUZUTZcEiDhy
3kVuoYI1zHdaFVBKipK8T+Ap8qw3NHwNOPZ+anD1gQaE1DnhOBi7lWDE8ErTJKVwEuiHfrFGWotJ
srLS/mDF01VnuXE1l0NsMCI3oboEAyvCSkictrSlzjGKPI9kS+x5WXcIMH37Wn2hkppfQrPQt+2g
/cqCuqY/EVSvpkXquZYCDpGfBay611ZrnNeZon83gPcWfXdzM7252io4ugNJlzouBFTNTAAe+8Ru
quw7+V308yT+soDC2SXPQO7BJJfkphGKW+t1cSE4jQ0iujQtYckXCZJgAImo0TfC+KeT1NmeUGnr
7IhMnrzuPQeyCQAPvwM+upZEFSZ2yq0Gp0R1z+c4xSATULLYOC0DBi9wPBcktOQbr9X3Yx9S9HOT
ydoaWghkl7pQM9RBc6xUixOut0ei1UdjY8fML7OBLJgZsRruETETe2DotCSK7s0wAeoVQ0Bo5lDQ
YsoKc7iRCUOirTqnrQvYqWkfuuWwDjsZv2B0KOnRHQkuKFmr153EoLu0qa1Rb2/2+GCEdnSUCSN8
UiDqIYUhfYiWMzfWfuJv6DdFNzjHIdPpjXq93zcZ9wXFzSn79grj+CBZxl4aZyRxek6zE0HD7BQi
AOzERh1qz3wrmoxp0hJiB4ojYeYO8VGDCwSfJW4pflK0mCjUhhSIusj6I+PevFtQBBRj4eBm5fw1
csnOExJordLjW9E14nNgzoUfDQ7E3Fl/VC0b/zxXFRqUlIz5uEbe2ZSgq0T2hdi7CASUd6mKBfPr
WARVFzjGc7Ttwgxfm06/xMM4XUJbGTA9MTwj8vkOOqwBu1QOOy0yLhF9o8+jCBGYds6mYUl61xEm
3qwxCVkO9zsodc25Z6lHqIL+LYV0Osc53QMWoQXZOqxttYbepkFl59Cbhg3jqvVekwJgWtRtB9au
1zGjntDnxlnXm/qhFuUDJfpdmhrV17EXP3Gyf7fLojwGXju9VpSnKS3AyTbj49BRXFqvh/XKCER1
sFhy7KouI0Akz4MTSST8zsOYK75N36ymFltJOePQgpp+KtiZThFRgsIE/1RTKqMP9aWPOn1LBDRd
UwOwK0L+VxrgsFAL+jk9e7c9lS22fbQ7typun/s0t051SaUiGQnO6ZtyfC88+6cG3WuTZJk4sM40
3mbFqrWYjfmwDsLIHiXjHGs63HDfB2Qpt7xpBYidmnilgs5mkxjaQWmufUNW/h6VZfdaCM+6Ycl6
T+snh/7/i0Ow1KtHaAyxerF+iBIPmYCHs84aqkpQFuB0vW0ia/p9Nk+4DNab0QSd2Y1jWIp2x5QQ
J94JlhdQfYL0sAYsh6IYPnRIQj7M7IO1pHErd3GCiMVL9vs0pa19GiYyiHDvrIdVkk82CCbHZccl
Vgdh2VEA5yf/2zGJR5NiMuWSxXv4+7yIIVCFjZnA/9KyU7C4horFT7QevNVw5NQA2GtxavFrkElb
75J54glWvf5q+1jP9LR00Do7H4lrYwzqF6n979NxOY0X5X7tMhpFQHN8+sr/sKmshpX15p+D7Ubx
rk7p1a6+kfUJ1if8/VSLYn89ayzPB9NZHnM2YPhQidLd2ePwvv4xXe9bnyD97UFZXsLfnjCtEGch
ZnxfDTGlM/BF/DHIrB6TcHFCDIgyfLz97VZmBUGVizmG3l15Xs/+3AwijYVq2LFW4hF/7l8Mq39/
7J+H/HmcSZsH68M/nzkL7YzaQaFY2vMM0XL4/c2ttzWt4puI2/DMxS9oXMbWObAa65wNkUNCvZ0j
yPDSwzBIj9Lhy/oAzfrmGW11Gt2xai+rWWN9Xnc1b6ynfxwd65keSVi5Sff9t7NjsXus98t/nrWg
Ew6TW0IGwgby5zl+Pyf5pznIAfRzOSEuoBzY26+2kvVsPax/UDE78CxVIOSqF4/m56nDrLYh5Cbb
rcadrCaCnnXRBtpwdlq/5mi93P58rRkYi+VHtf6SSCDHFbkc+uVgOROshDmOdtpimVjNEgbleYp6
3PxzWO/Lo5mdIciUJO0CyCZZXu7WNxIm/EjWw+Q24S5MYU4eZ1m8YTlG6oReILNpIKNzaTaLrikC
aJLCz3IqggFiyn2emHYydw+mZ6PYkq+aVA3poc4hyYuRKdrZ53UN2id6w1T5bKaUYIcROi+TAaVz
bTPD1gV/dWCBZlykzRZfh/QxscPb0Dp8y2LjITcSCZQh/SE99js0wt+ckv8w75bOIi5LrSg/5GSe
ACaS3xNE4aE1zZvF5bZBBXbDYY/6yB7fjdp+6IwkvIZWuI/mpdgcB9cgdaKzywvcDBt3ar9Ri6NX
TmMUtOUprQK+GZ6Q7M0NUONp12FJxrtiUd0kthXnAaKW1DmRV3ILLKvZmOo2Lu1VhV21dZIH4XoX
CyLBlmpd39X0SNWE10Z9WFnzSMXsoAKAL6EO+F1+r+yPzsmdbdl5wHzS74zWPk1A3k8YHxLgA0gV
pu/EfW80Kx/PBo1ZOXlyE1b2mzG4XzUBnBAPxOh232VHnwWEngZ2kH5B0KbzNic7G7IhmwWm8dha
jOQYbwngssibFjtFDegWBvGXmlhkth6ZvtGNEWxJ8YQBZdfn7C0D0s3Iot2G0CaiglhDFxTqFhE9
CB8iFf+bvTPbbhvZtuwX4QwEEOheSbCR2EiyOtsvGLJloW8D/dfXBH1uZVp2WeO+1wuTopwiAQLR
7L3WXA4FGdc1tgMFVNmS4oQeBehuKVqkDu59ltkrzILtRrETuw6M/koL4UXTV4i2FXnnm8ITX0p7
Z3hss8ycJX7VBFvVB3dxe8YdYW7KPF1Lr0Paz7rGb811z542U27is/yiEWjTHDQR9iO2WY113dGx
oippGPHJa8z7qTU8UEQQrtFGwMPIyC2lFFNNMYrimH0VWZNrMoGIFLCAuFR28cTd+SZaYDzUSRNF
g5sF/hUBS/BChbEPZijhyox2cx/XG7vTv7GBUNyyhmh8rm3iB4uw9KnLr/CWtdXz1JrkgJTxt7ga
phWaaB+FZLCZLafmgMWnybFeAzvwreG6SrVi3bSc467RjU1gQMAT+I12zSj3EpHXWke5s9W1Ot22
UTs+GllnLAaxacMq2dgVEfC8pi77fRISJimjVj6MU4UqSS8w3gAhdXMy6+dCqDu66tt52TZcXgpT
D5TTID7pxaQxC1neRtXzFyMwrFM+t86Vk8D8SSTlgjk0HEB8o/OgdVFNBz3Qt/QVEXRawcOIuvjK
Y5O4IhuAG9SMQa/YlkDuA0I14AgIowLCCeT+Pooqv2ySEqVPwIqHGNith8YPXQt6JZM2GpUJ1T+M
45Sc+4pAYBX2D5eHdrweR6XfJySSBfylpAZU48JsE3YwPDiyodqvY2dK5h9ZHHfX8LXj23hJ5Rvy
rVkFBmNV5u0dZ15uEy3+FEbOdSTNIymboD+t/lDPFj2CtiMX3PkEVMb5NIp4O2Vzf6t3xn1dNN8j
Pff41UStGmLWjS1bAi51MVy5IjUZNQjWakoBrTdvKhjgza6UyjwLdnZ9WbQHhN8vrHdSbI4tFUyE
FiwXSXRykqccni6r/6HZBGrkKhgeEHpAs+mHYSWAYF9hFypmgrNq25Uny5jkqSD4cgUDOtna2mRz
JyfWmio2CC9gmSQWiaMU8q7uQedpdjhuKFepVak9k0NuwxZyjyO6q/081zFJm9Ho45So/CZuF7V6
HsHwbH9MmXGPsiK6bynPR0GbP9rDYZrJSbYim3Elfc7FNBzx4VWnRBOfLqqbuqEqGZc6EB0MvzZv
/3dlsXiHSMPNj+rKMS3cHMLWjfdWi7k3Eg9/bLVPBfEIQ0/Tu80DbYVm8NFFtHg/5qQsNPO0tRZx
x2i38Qcf4YKj/cXtwWdgQNWFJXQageY7ObsXRG2XIOgHnojcKeiMGydkBNAGEJ9MZF8yoKSLIKDa
4tKPziQJArnPgVtVZb9WhEaijAujwyI21XuR3/Ru+NDSXIb/P+jnRQV6qUb9/cQZi+D6/ad2dB33
BDp8ier9V8U7bobMTEp8xkR625vMEu4VgQRnYc7I3kuw+Vbvlv4IB6a3sbCxbUoB6+zBcn2Lh+kY
KOm9wFASbvTNNvSnkmIOxR/rBwIVSzJ+sQSmGnOrSli7OU7ND1jfi4/nt8+PW1TarmdzGBfB+S+K
/QTPjLAx/YUFS3fiLPy4VRwEltkUQfUVqoxijeSp386Z87m3Y4YHeUpaj8B5o5QbtP3kQ3+z0qTZ
z7b72VsqIHVSfeHOu03GqtqNVTmsVR5ZuzaRZ9lm3fryJfx/C9jD3wGOgtQLzFf/bwvYFsVi/PoL
u/G//89/HWCu/h9yv1wCymmfXkxe/yU3us5/bNOw8XGgf9EvTq7/8X+Z4j+6broYsgzd1rF7/xMO
Zsj/oAO1MfHgDSPSy/tf+b9+u7c827SkKQVMCJ7qgmP9t5uE5bg+o2cnSYlIa7+GSn+jJWVyUFV9
03JL+Ujco12caynzl05/hBFiXdYpWoVbWc3Rweg6QPwo7aiHQL8CdX20SNesM8pPXleoq1b0J2XV
7r7Ri5q6yIcDK+fi37cXs610DZfQEsRHnGDjnXmshnLq9TDMdqSiN2tFNZ62L827AMd3YZC3MJNL
03nOq4O894MR9f2g/vPNPdfSsYkBU7DfvTkb+l4IKgy7po62S1MIfPG8aqYIyqMYVl0Q3lR2peEX
IfzCRPP7r2vt9ucg+Es0y7tJ5fL+fG0ecBauMfl+REcuz85aynaXu+rWlENKg5wUI1Wg3AHVs0aD
WseDr8e5oi2BQeKD9383Nv98f46eyYTL0nrv3BtJz00zijw7y8IgkDT9p5BQhZU5WWKly4hWvNmS
8+MSKdi7rNsn4P+53Ln6hlaxQgTfaB+ckj9/Ipwfy80lvPeWrXaMEMNWbQuOTrKgT8ZoUwhZHz84
8HeDOgduGdwuDol6iNJc591UqkDQKcbtDtGdoKbllsmmGe3kqQrIkLLb8BrNWHCeFfRSo6ePMWjD
rdOw0iJw2zhWpozIGl5aT7F0d3//bMs196/58vLRlsQuupQGl+R7A5NFs8iMiPLbqfrVCWCD2lr0
XZpw8KfgIaZoS9eSPJi/v+nvp90yDKAI+Axh3jJq/TqQBFGaDK4J7zpho8ZOly5mpXvlB0bBP511
Az+mR66LBxh6+f2/plLdVUYi0pRDC5fEV5fDQLKmVplJvtbfD+hPZ/Hfb/XuC7YlIkOKQt3OnSgi
dlnvsxt8reCjwd9kXzaZkNaj6fT3dzXf+U4vXx42WNvC9utxAb8bkKcotd1h4IbGmdqtIq0t9l6u
01t08u1cGcRqe1hapu5UVcND68hkM9X9nqGBgFyNPMI+s8zNkGg7bbCNPdKlgM9tbC8LWrejtUaA
AjlXI2JfWmObQIvfmhDGoxaALplGIAZN+KaEjYI+vW3ckhCklOqJIPfhiIMjbO9Ep32VtRXvPzjy
5YS+u2xNXTr6gjkGZPz+snXJMjbKlhs3M1rad2N8Z7aFCaSeo9Ki/q7VUb8OvbZxeu9BZVQI6Kre
DgWC/HGkWG8X9xmSTnrvbJE7B7yAWw6+OSXKDwHQFz0Xi9GT1qiauV5nVnl2nXkPPW5V17oPcts8
WoZMTqP6HueFtg7dQd8Hnycb0YGRdMTHJc9/P2Qhfp+7LFNn7loGK5zYl+n5X9dz4mV2OltstMqa
oLSumw/guH6M5VSCI3qcyURez51Lq9Wyxn0xcTo0623y1JkUzW1FlvYxLF+LlP/q+hcjtku/qcSX
KIBTE5uIKT32s3YHd9hsgcebmfPg0WPz9G8UbKLHfCScAmIbBZe6I56N0Yy29LSWgU6SXkuXzVN0
CjV+J5P8bkQsRq4aepCjIJ0KuyDZG2RGGy3ojMJaAy8GgOxhPnSMVTzU10PX34XV8Oj2h3T0mnWZ
dzHihXsWyQirsvsmIeSFeBU6PAV+o94N1iUsVlxU6wbd5BYpj+mXBnvJTsZPdPNdVI5uO25nN3w0
k/i2c/qbhkZ8FiMuRkrwnR52xW6lmDYirHPOHTWeFJDpLaYNO9f2oDIepG7Rm9Ham3CID+C/yNSs
HoE0z6tJZoQJIQvCjkZ3Y27T1WQ14CR6vFyl4xFb8z1qrO84tW8tTLGlWjo+1lf2e+SMy89OHiF6
8sarXNgLIdS0Vy0dy1XTd482REk/sXBYlzmBNYxXuOXwJWTR9MFV9fvAhe+WVStDMZul37zUlASt
zhq4jzrZbqt83Lk9zXoRjziSsEOGkb4OqK1/MP7/8V0tZl1AAs4yEfw6MnsNVwd1K6Zd/UmZw11X
Zm9dY5/HWXtsZPqcevbnD+6e39c+ruUwEwhPLF5o492Uo0DGFlrWsfaSoDoKqDzTmBBij3aoebFI
1tx4+kFvqSdW1nz79zf//cZ1yepalucexnDz/Z407Kw+GfqSw3XKz1VjbJOJEHjcrtq2ao1rvd07
2qs2OPkHp1mYv42SvDFbSda5JtSG9075XA80vAScZ9k5wPu6fmPmeY84ZBqvAOa+5OwZECUTq5VF
81kxeBIjl73Y/VNi4QD4+1kQv8/6fBpKCtjRHeGwJPr1W09jbRZkqinwtayC9GXYCCvY2SHuF6LN
uTMHJc44lXt8qbQ+gwALnJtsEJA9lDYaRShf/t8/k/Gnr4b1sKCPbplCyHeXRV2XcsbjoHaGCVE8
y8iSsKWgWdE/VeH01qsBnkBdBivyy0Lmvew5N0tqm4GO1Vd8ITAhXO0B0dBd0aZV2glkSjaCPb5X
LA4ExCbGqcVBeWYp0sO1g5QT5KcaDl8kg3FD0yz44DRfljW/To2gPgD4syOkSf4bhoDUD00j90Tt
HKx6u8Jvw+4snCAHRUxyIWG0JQGRcb3uTSSogLHS/axkTXtkufFzdmtKt1/AGlf4ZQqFndung9r6
toeljyx63Msg9MnL1eGdBuZVJ90H3SidDf1lyK2SZk7jHT0q93swZANf5VVoMq2OWbYPOUeoVfIP
Vl/yHZiEdRCH7FGsMsktYDhbfv+vmTEQjZdP6BB2fUpaSAT22EGkE2nTfq7FkW7FGpWDvIoG1GJd
AR+gjN6SWPOJrY+g9kltz/Ic31kwwpOrqY9zblBF9pOxHpLycz7W3SpZNrNtZG/b7JvmDo9NBM45
o+SMMmtZ/yDWySvy5QyrB59p4Nyye+j54RBuqkDNGKeml1kRn0WcKRGTAIoomKv7obRf/35NX1Z9
v10A/zob7+6zoc0GMmEnkgw6QfRINqG9nLHJlk4++FXqUggLmEYHmpS2AMpP39FYO4712Cftzd8/
y3sAxX+/GQKBLUYhAVDk12/GRf41TBZWBC93+t0gXaIRjPQZCefGrsV0jC0ci1WMfq4JQwaETNzk
Y5neOF5FUlNG6RapT1DqnNLKa9mqTgfHy81VM9P/RYFrIlup1yPVOwtvGbmJ5UsrOjTvoaygudmL
Z1c+8GcfiIFI6EsHmHYpVFNwxn2Xu/EbyUHTOgBXQqZJsLVy+3NO5uLK9Vq6GnMw7lIa55OpX0XA
XVjC0KyxdJeSq9ctIvFnUwYvKD4e4RIwt1fexmnr565VazhU8TGuzbVswldXJNkHpcLftzfUiXQi
jVgD2/rPHNZ/XfQWHCGyuBhOXZm+hEFLaXbW8V3MrOn//i3+YZCkBo0MgY0yf1VfpvN/vZPKUrug
5q92VVi8AXZY5061Z+i8dQfQdeg5V8TOEURcyIe/v/EflrwcI7Y4g2wSG7rOu31VHYRd5QQWw3NB
XFWfqCX8WC6pxN8NoDTEPAS+Y3TtysYvurJCrEcIp1lOsa7HFka/ynFfpdXFOzz99hpHWbIp421g
i49QK39Y0sBnIiTFBJ5GFe7dOWrDuDYCZLY0q5CeDzUhlckLiKTbUbPWFIrf1GJd/fvpuSxa3t3p
VPwMzwXlQK/g/Yzq9ZoiL4m7S/TdWTd1n7Hfd0gUn23nGLoBkDBbVVvNM/dUGT5BhrgyVNH70HkR
rJbydkRO6SPf7bdNwEJzjqeHWGDI1j5aAv2+X+OLRFnFvM+GV3+//Iq7treinjFpcEvgSJVDazp1
UMvpJLCDOnv7+5n54xXLFglOFOU2Kn2/XrE2EZlh3o1qZ5LK3BonKXlXo7DPDM5LPPbS6Z3HzNc+
umB/35G7WJlZTIMB4nDfA3cSJcJSyEoRg9A+D5O8Ew67wyByEPKPDTmieO9D9p/pGGGKDkE7JASr
Rr3GPjwgI93NlQ03qN/qLmxYdMMfTJXiT6OGcNg86tzMrrXUq/99Lw9TZ82RSrmjNPnCqNKzkYGX
nFbqxL7xRxSzOu6lu7UN9mvOdF/JkBidudo4DZYpRrE3c+IU/v3rkn/6vlgh802xu3WJG/71U2FE
CAyz0JHbdSGNYHIGSPiyrjI1Y9+fWLyqFupAAuBxGwKb9Vk4XlUGRcQucfPbKd8VhhXfm+P4o0ui
AZFgCJxGqXNYQL4z50PtRueZkQbuad35dkAYarwgcQrmBS8Rpxae2Cr2Iu80V0wTBX1ZxnawOJHt
9c+qPpGyM2/ikQrPlWrbl2y0PkOkQXNvJg56jPCVFuMm7UW0u+jvMkxMSJXn6ggEWdWsAf5+wv5w
vugP2dCvdIe19PsuUaS58WQVdr3rQ2tt4nXadHLuNzAPiA/rrIc46u5srXkjYeyDMUf8Ya1FfpN0
PN2hL4gx+9evKk4E5f7GqXfQXxzMYZ3cxxAsd0YADQE/K2mwDTrIPh+IAaC+aZo1TJPJ/N/vqdhL
WaDwlm7EbzNDtdgFK1fWWOOnm0aiSa1TFKbxUJRrJxIvIyEx56ksjok01AeX6x8K+bSjTaq5bGIc
avny13NgzEGYlB1v3jqThToaootbfkvILT5CeDU2hFoXRGNi/e9D5CCgUf/+9f9hlPGIqgbHIWxB
lte74Y2VUtF6kVXvsm5Gt4NYMUCKphQwkJygbWSdHxwxW6E/7CVZU+qe53iOazKO/3rMbirLLpzB
DWR97n0r4Qeth6q1b0eKNtu4BSVWIIkSY+09aKSfchkGryawloMDB2YXjoF3i3+oSEjthJmL+H+x
OqaDGd52RntUooZGVHYYRJEZkt5lao9uoNbVRIY862QCmdLReUK5BEolqAhHzZ7V1E9rRzXJSzt6
YDlVdqeyfKCLUFrMgDrb3mKMHwuE1Ju4yoleN0bzOZXyW29H1mYwxoI7vXNPoVj+kBTBS+poO3KT
Belln6jmaA8SkVkA2PwpJg4EsV4XnII4C1dlKbVbS++bO9Ta2Qpzxh2NjfqxfUPO2q3isbefXfMJ
CCBGAur6zWCscKQ+OOwg7mDVaph4AjhCecGe240C71PieNMqDKdD1MW38zyJJ1UIxFyT6X0OVFLs
TKekRIQK7qbwsidWMt1Vk4TzeTSguFeduG5b7yuboPRUiTE5YiPUV8yQxRNCkwcdXb4PNdlb4EyL
Yydn9dyOL7K0MHSzJEcXRNpvqmcQcaauvE9i57sRVfN3PQXg72ZfWuJs8OHI+DQ5XXzqxva1mhQx
8mB2gFLnZbfJK5K3Qpn113FZsANrs7nxMQVPq0Tko72J+3FNe55kjLJiVd9lz62WdDv4Ws3x8pID
C3Y9k/zpm7oTn5nZ43OL3PcaudP15SXhVtZ16xq7CzMBD9RAtLHsj5dnl9eCdETn2QQ7LBvbJDUt
6O+1fbw8++dhIOFxU5HVieS2QsccO0x7RhmfgmGKT9hHqHWGkJ3DIC0P0ahrMIIW43ztNF9Hu2T3
MgcEp4SLF2p5NhP+uMkyQ18RmjDfaGUz33TpyihxwV5eofM33cRZIvc49HDr2McW0PftPw81ctKY
tcrZyQmltEAr7sDWp3tF3AFr3Eo+juBg962T7wYosat2CBBU4SN1r72+fpr4BraR44QbolKDe+mW
WzEV4llDLn1QEXsZjWUyJiCSQCuhfRrL+q7PnPaEiVa7Rdi8nr0Yd8aomb4VInkKoxROu1JQ2pYf
c5b4p2nOYHKMV02v5dpqdNLhlmVCM0yZtmohJt8ucb96cjBUFNzVgHWJchvRa1Y1hpvaLreJbid3
suyTOwpMPcYhQvrmyab8bvfRwdRjON5zRUKs6XhP2YS7gGhhiFQkrj/ZCR62QrbEic5AJOxxfpok
0OIk7OdToQXzE7yOa00K7y7Xm+Yp/5otLxKOhSi1K7gZKmeHEKJ+DBHz3NttscKYXz/WU1P7iuwW
auRmsrHLjhYdW+IbW8UmvieesXQd2GvgQFMxxtOWNVIymc3RqWcHcnL6FXK5de24rX2NK9Lm+ka8
1wbluR/zEOJR2+wsEfk5x0IYM90GI4WNEVlhv00KU9zreYH6s7/tygor48xhe33gPfZRYfs6fKad
mfLGqGVRn4uhOsGQmg/ohLfKwAIwLAGhXXDX9n33NRzl574jfnguEG8NhnkuFddJabijr4HHOKmh
xFheRa+RjQzPkKFFDUKvt2Vo5ZteYWgBzZzfz3l3B6DR/pIn0C0UIQhXOFzVZ+SnluXkT2YsN2al
UTgmaH4X5LX7pYuua2Oyv9L/HbeYstq90sL0s2XTaF9et01WuVnVzpiYGFZNt0QAKzUSMBoDlhjC
coxUyRNhRl8ZSLKvhRnwz9P7xCibW9Rn9lOUbBGQ5k9jN3R3phufoumpkrV4cBuvvHHz8TEE8fVo
xTPJ8K32/fITRBssI4oYuDwoDX8oNL4Naq93TDIrJ7SDe295mFqJCj+a5SGjBbrAEJq9WXQtmBwv
31dAzh89uBM+mRcm/bZyesyklW7gY3wbhzEn6C5R9xAdxcmT8adG9eq+XR7Eksgxlq5Bqnbarklg
puxceMP1UBj0qJYfE3AD93FR+QTNf/Xgbu5qF5vXYHufR7MAbYO1sL42iBDUJKGvYUro0A++6GHf
a2Anu8GV0PMc9uOW32TKOtOWy1fFmLo7t25pUwxNvWHAs4+W5lYbq40jH3TWBJ6vnm4uz/qIhUyZ
QmgEYL2dRpN+Hkmct2NeRQQ3P3l1SChSb3mUxkLjoPfgtCqDio1TO5A2LuQYwdzr1d6896bcOZjU
19IqOjsI0A+hSKuDrHJ9o9CU7oYpWXepVZDKbKg7I9ZT4OHSOdS4zw45ksOTcuYIjTOTXSn5bZQM
bPQDfT5fHrC3PYnUW0TCTQjfAc9/KIwrqPQvc9we7KjNN0n9o9T673YANjejzsYBgNhUVx0Yxi07
ag+G7riJZRsekC2HvgWpFFtcfm1M875hG7GyZLzReg9mb/Uap+mnNMXJj5yNmLz4B1TXHSQgIC+D
3KDX5lOw7utHtSkdAnoN4kL6ADBipJ5bMhICo3lNevxSxY4NzHps5Zc+tj/p2pT5lL/uWM77xYgk
xUmNRVuPzbNmDanl8uh27bMxtbczDFPKITeZEy6zLp2lQKIkcVYWYY6uEezlbH03jGgnVbwbjeug
9xjWtLeij8+wT1/ndhxJ/kSXSgQfPU94jg3O9lFvqzWt0EW+T4Q4NAYSBUhQYDOUXItyfgIlc1vb
/eyLrLpKm/nKnDIC1wG/L/GiFWSYRMIGGsWWgNWdigG79otFl1i1jJajM/1gx3lXmfRXkebLdV5J
KpA5EuhCsWS1OKyqYK2sp+jK++FoV4/wyXtsvdanROrzulPgckQfsCoATrsJcjInY/e7K4hbjuOc
ZK2svSu84BMoktrXxknsVMLKhHCrpcjorAeqcXXp3mRJB+dxHtp14UEPVsV1btrgBQtwkuP4Es/2
1ipn4esNFMnEFF+LSj9TKkH+6O5AMfvOzN7TU/NrNMQazT/jqu25vpiTUPBrZHU0TQOXX6tPRqon
GOYAPdeVeatDiF4pK0vW+LPXmfHZgA04oRXf9BaXappn1cZIE0U4VX0eHGK79VE0W1pVWO3IXCE7
wDhbGvuIoiHuUvWGd5hshgTp/NBAYfmla76R/oelyyoJoZq9M67pOx0S8rrDk70KbHsjDcJU06IN
92mAWYPCv74OI7IN+1jrwJjQtLDnEwipxTkaxevZDHf1UB4Ngat/xsFlFdY1lcA38IPk3uMK6PIf
bpK8marEeETyxapjZQERGKVizncse/Vk9+bXWlQIDPBdWJ/kTazRjA4xEtowBv2RoJdVbMD7cysd
AYOlraukPXjulnTDCn5dl536INzOhv2CioO8iZpE1MZGz1x3PdOusH2RECxXT+3RTMCeJPr42RKa
tnOG4Qa3PBZaOp8rUQ8YgJmX8M9f5UbcIKzPQH/o85Wqu+8FE2CCeP6unZqbnrwFMmIjxy/qajyg
uhwPl2cqRoYeeh0cMKaesZG7AS/voRrN8hA7bHOpM0IYgUzmSg0pSHTwirqEwuU0G5gEhV/q1Ixx
7vt9HjYHtwsbVAbIv9clLuD15cUuIUyiasOjOQ7ujt4NPi+toaJY6bWvL3ETBvubRfteGbtO707O
8oa1nKqDYzuMnmIE7Ac/swShuh5Liel1OYooH4ut6STk9ZXxAR19fLDZu2MWUGCdG2ItOc9Y+/RU
Haw6kcj7FtlHA1GqjwFZpumeXCttA2/jWx9W8GnDtF7lRB6RV8lJSBOaCx757HRRtO4QLXjQkjyF
iGZ7PhrDFamu1HKYM7G5JPq129jFyrSV5rtet8e0i3liCPS16RgK3jgP9AW3hKtBHtHg2Kk8vmpa
a0FrE1a/ziL6/3XjFofY0p4bEJtbtfx0eYkt+DEunGQzNzkRybh95zwqgCzOX12LxZLZISyjEFVt
OtuuV2Uwt1Dsl7NcK1X6kDUKDK0FeI+Aex7q7lXiMvFHegaqsskO6fJMDHglrKjdp0VHKDqZHfwU
XF8eytlpt7IQT0UW5gwnFkzZ5ZfwdBgqL08HK9lQpnP2dTGFhylNI6jRPPOiGYCOzS5okFslxbCP
q37nNLUs+TZqSFVq3P78UYtAnnJJdWtpWmRiROzyiOzJ4O8cLg8TfIDDWD5nZZj/fNltpYtxISH+
eCYYd9tKk5QQFSAAXMgrTZ1+E2xM8X/AZzG7PmMc789m6o3XkaNOdbxzi4UuRt4IHU/mNeFw+WSt
qe0F3/iqymMSK9nBbYxBOkSYaDg7dReCqcbDWBG07OnVttbAB3huimBDOc02jH7MrgiwtHsNCdDE
SAOeT+xa31qBxebadEnd8eb1kLqQQug9aDV71SzVvw8dKaqiZWCddO91MsBQuNG4SSF+DUOL6cQT
0by+RNSRnY3N8vJ0jmWpDhdYjH151QsvOYX/N3ASnCGxSbVIsIFQqtAmUHW6Hu0vr5tRIbgpLqgZ
u3NNBCfLP788XP785RlsJrlOvNT9+duf7/Pz8fK/lpoo1osleP3zxcv/VF0+7j9/rmoc2zcIR1v9
k6k4Xj785d/8/CTWlD1bxuz8/Ej//MMoiOzNOMrn0uiJTLm8a6pZe0U6NZI43H7F4vu7PCNl/N8/
Xn5xee3dv0PKgTG+Kx4vr18ehrAxFu3s//wpJ1TWth4j8P+8RHjmvGny8ptqC7bKblCucg/O0eXH
fx7mBSpSzjXf9uUpY3p3Lb3R8mFsXZeCtXhUK0iZmOZ9cNfHXtfkCQ2l7VezpbZE/uW7MRekyY+O
C6aNXuC42O0Rx72NCaatMRTWOs7t70xEoNUYnHcp0c9mTii8E3bmbTsJtSW4dDzZLjtxrL3bPKc4
0yhP7CQ+auymsNPS4QdQcFAWUU771J2p3xPQSLc31r9B2Y5vINuCza/uc+cLK7bIbxjIVzWpyEju
IczokrHHTrMfamzPjWXcIVhB9jnGmR9EwXNJxX6l2TNBeLPz1XNuMWdsy7H+FoxAbIKp7jY4Rtj9
B+1jlrCl6xrcXLgAYH/EV1Ez2zvds+6LFnFRMQOxawy4iuY29vpppcIgAAJm7EzRHrMma9dup09r
kEi+aQcEV0hMkQNN4Lj0/KYvGpxKebPOgVLF90Nf38UywEtmmqyfwluzHG+NpHxrSanLcw3S2xT/
6HsR7KKWjYdLskyv5HUyY8GzEroIIwoLNnYUi6ixUBEjgRs/mtZo/UaUpXvMzerL2N10evEpSOth
14QYwylGerdOX37riyQiDbR+rcLuQWvrCZffUK3jYjyESfSSJ1stbxy+2UWW2Ekfbl+zyWuA0WXh
HYhkZMvD2kgUg7bvjB82MVD7qH+MkG99CnGjrYi2OGroUw6QZ6a+RI1EOrPntdUGWlWMubCMfR38
lI+JWzA9n5PqtZSYjhRb4K2wYN2lFoz7OYZc0Ou9s/PCBrQM2Dg4geVaqJrJvkkpa4n0rGlNuFfB
/AONY3oGBlmSFgpUqh8JuIRqcmciPItzSCkZfmBHdljsE+LuhKzLEzTRvdVL/Qr85Z7S05PGRzhY
lD5WVYBBXwbuuJlhk2xLJyGpC34Au1uyERqj3IWO0d/E0FU6lnyFRlu+6oDEFqPT+D3tTQTpNR3F
3GFDWLJ3pwSWbxqqA/wifmBDM+1i2kSrhL4sqWsweFKPlQlrA6QGB7uxH3twIlBwwDdkSFx02Nw5
1OqFlx2TgHCV20V1LGICuou8Yh2cUrIN0HfPC7BbztEXJ7GZ4Wcz9s2kaY4t9SHissmBzF0S7q0Q
dfrgfh5FlV2739Kya27qYJcEDZlZlnHG6M2QP2rxHof5Wcclv+4twdAfgSmAxpdvbUt5O7Svnh+l
8uuQAXRXEjpCFLPe72jgsq2AOBs/myPi0rjowIuXbJyikkVqExZQy+CDaFqmqH7EFcBbqLfzVEy7
supuLQP7Z8QfwRaVXHUdOB1dgciNMxKYCQjuMtc4ZwZt4ZR0OD+0bTxtJQNzpr8sGrAKcGuicXbY
11HRz+Y3SFYvWhl/0crqDfqnvO7EjBWsDe1dbiPXyudqG1pezm3E/+8R/LTRRPQ9ioPtSMzYhiV3
6Uex55yiAed2Zsb1qi6Qc1oNPWnqfkd0Tq5fIdhm6iQpTjbjtG/Kct4lLSHnWPVeY4zfd4yACGH6
DtBqPXZATxLi4oYeFO6c21cauzmB4vtAzOhNaNekJPQswEzdeJJaHmxzfC1Xpeggfc2at596gjK6
BJKel+C+G83XwDqV1VklCymkt8ylEpzcYrn1TlFpglC2WJs14H4vd9FgErtZjwJXWsMmzutzepQQ
kswJWSYL5VO9PAzrJAKM7RStc906ntxpdXNUS8bEzweDsbE1vbegjlhg0YSAUw5Tnf0mtdQd4NRj
WSBTARO9dmgHOrQAKQ7WBdvWtDsohPMHNpRQY1z6F3kY4PY2wY5y10O/YTVp7KwmvPLgRqyNOEeP
oEGAI7dmQ+LP3p4KiF5xfQVVrFmNxQtAILGG+BXTJo8M/0kB1t5miLAobUErjNxoC/o5RObKaK0B
E6NENOyl3r1MBQgiJ+j5WzmBcp7aMK8YG17duFVcbarOCNeu8ojNcNrsEJtpiZcw3tpxqL4Pef/d
0McFfMisoS9512NBiJs9/SjBzP8f9s5jSXIl266/Qus52gA4JI2PgxAIHakjs2oCy6rKhNYOh/h6
LmQ3aberL/sa55ykWckQANyPn7P32pMjdtMCtaKLAGxJq8+onHeKCvbeMKNVyllm1SPdBIYL0I89
6A08rhWkSfk6y/QShww1ooHgD2Y5GrcbRo+ir/YRXa8A5VU7PXcYird5DKWfcfM3mo2E4sU+2h2z
hKs3m0xz/PZUZju/xQ0MxYhZCk+mz/8pWB7vCNQjWueOMnUIaoC/K9xQ6brIDFic6Qstb8xHftCX
4s6fPR9lrZvTUk9gp9XDdYgqEPWILLbwaDhjefkEe11bu+SzwJw6yclfV6YkI5sKMMq1lnyH+meS
wYryLZVdxqx7y5ZclonmS1D1pP/RNdtSJ0ebpEIY1061FzSZcYktTiFVlKyHashOLsN0DIqWsYGY
PwdDq44qHs3tRKd+baN+vut8NhehHg0YYmBHcJIT5kFfCZbSdvqGpaN4VAyQNmlWWmu3BIFR0fIK
KlIBgB8F5xGN+EFF2a/BiOq1MLCU80ww4MnFD8IFzJ01QFcR9Lr2RjuHW+kugT5de6AvA42ub7NT
1xKkJYEHaMU8o4oaf2jkjJ0amfrn0fejIEdTiRoL8JQ1+hWYOFdeaQXoAAfBj/Zhet9YnGHDybwz
fEgNK62v0vsHPYFrlTFe3Ud2qkgcIqhoZTvESeHcau9F+KhaUTzVebTJ08i8R6NQPqGNzwKvlHJj
9N/aBRZlpymYgjj5xuPWPEuvp6y343Llh5+mSou3pFfNSa8Xh/nyS5RxWO0dMzsKVY2HOKfH0LhR
MEDd/9SS/OTVctv640Y1tvtGViD5fowGsVFzVp2q8c4jkw17g+RMQCvJDtN0b5oNyHNjmO8EX/PK
Ti3yw0tKyIn/aOdrOXk+8Xd7VIccEOBD7cTRlZnpVY518Zzk5NI4CjyBl39KGxCE6NsosAr9M5N3
KSL+czP8oCHRXbIUm5bMkVbGpX9MC3gcdi/MbZqMB93oep4uHfuG1qtTyjBrQAGzKxD1MNui7Jwg
K7FGDgxJOLyUsBH2onZY2ilTbG7co27+TLx+a09KoMKDZWElIQfcUH4nl/DqLMgo26BdGBZyPNjd
DI6wDMYEsxKRk4FWx869Su2dNYEcZmi7V3J4tC1bXiFg6OwghgrqajJXUcHuGtruAe1evBO67p/z
hhp2KN9aEyiHSfMSVaW/L2rzhyt1cfBTcRkFbQRBXJQz9O0Oyqs65sybVqKLOcR71hmC6AfWOhqi
rjtss3TG+1sOu1yvnIOMkzKIclgJc+/0a5ekhHUYTjn9BPgDogrIsCK9vB3SOzLjNkZi2HB4bZvw
K9gLuNatwASmudEYgSE0mbZOYom1PnT9fm5zuBox1U1M9GLuYSHHdX43tE4gaFVt7EqvD21mTyvY
j7e4MeyTwLGwKkykzPFY+EHptfl67ECrGHmx7RxayhXqll3tACtlUAUICL3jnU97fGU23bSBgzEa
egeb3yPObHYUjQ8VPxJmsNKRVXe2/2GQwnlQgs5wJ+yVnIALR0Nab0xO2evaSqgWPLZRvbC0rWn1
FyPTpqDoG0JSOS6DFWR/S82QIYGdfDdpsR4sz/8eDaG6tPbWiNP4Phoxi+S9R53k6AXFBWFCEAio
brS23euItcXYlGfYGAinOfilXYYg1yadM0l2iDBRnDvjIcxa3J8dmVcDEcWbIbtP08a9to2zRnwy
vugdxLxWezVGpjJu+5CCQQk0Mf6cqBXPZcXBk+ba2UvDeQtaBmKpJYiJtV6JdQ+3WhJq353hV+iW
zquR/qwnIm59e5zOIOa8Q1tC1kPCzKaexZe4xAFjWOULtJfuQp6W8aiG5zojADpElnCJUy+7FoBA
1rTyiY8p1EMRQwtz88S5qPxqe5zlIg/VtFdEAJmLTj7ASgk/p7x1r1oC8ULZiFcdgWrU07h/a9oL
ygaI6BYzbqLlR2fBum+Bma8oG/2rrz8w9joXE9jZtsr27Tw/17GEYz3N02NrQUWaQeGonriTxrbe
mm72Hr5+0Lbbp5n5UVdwJDvC2RGhugBBuwkzUDQ9z2E6XtgP1KNFTltsxjDSbJOutWJCA+lv5RKQ
ewFAXHAu0NoNaiC+VlE+VAKoDZTygdZwz4x9zsW6ytE+k07uHagYarpyYXtPgllvBz7axa1Vimnr
OnoJUa9IScXttjLzZtJEFHEcpi6AItPz1DXFOMdm3Ew29s6YwuEhQzcyMKRs0hEGZp+NhCoj3gY4
8pE0Q8PMiMTvL16QzYG1SpJuo+IGW20BhqaPzSgwQBUPxinLo/qphOTdoJbCtHSeAPNBt4CEbdfh
Ctj9ktkR+2uphdE58cr7LAaqFjNgoAM6rR1RvzF8ZxWxyIIZiZfZOImc7kQFLY35SBqYOeA+UrPb
NbE+1tmwf6BF1Q52XHs7EBtH9Abt6euH1g7+uh75YoCnFA/FVBFUZ5BawRN/TFXX4yLQFchR71sZ
Rh/k33j3uRBIJcv6gJiqWk2hGCgZy3o7Z8SCTIPoAY6YTI4bJzoUMoLQUTTRzp37Zm/XQ0L7n87d
NAEl1uJlxp8we7YDmYbdDshjvW0S723u5kveg6OdxdCeRjepGYqUbxhjgdzEfrKNNePHRCDOZpry
4Sg5E+9SgxCe1CkezLlvrySrjHdhWJE9bJibqRB2AJzL3ZVDpm+WtBDUQ/HrRMgci2TebQXhSOvQ
SymFUpKKajoSBHW9++Zn4yrx6lcDuj4n/1Zp+ENHOHvf6KvX8D/WzWA5Bw7WDqs3hr8hFg2SAdEG
cTE8F0viYEVJYRfkGy2wPo91lPAZl+7ALpMq2eOxfy4XTkvom1/hztQe0nOCJJP9Ic2ICZe+3lz7
k164H15vIt5sCN007enZcmDc9QBEPL1DrGAiQi7Kkisqiasmy5tuIII3pDawYhKYJIxr51+OhQq3
YjjO6bGu2OOmZkc01Jr5BMJ3zCAyAqNBvjnIhsZFss6pKJMZohxEePS1IPjQr4Cr0/blJkuM9ybc
doZJpa8x9pO1vwMLP5KDVe1rQI8IDeIenJOtdjkZ9woS9QboQ7mCvjt4EdPPeudArvkc9AP+kVVG
p98OE3GvGYY6ho22r/R8m+U0rkxSMgon7C9toX0bi/FnZNILKfqoX5czbJZ6tsjG06a7Wbn+pday
9kwMHxk9KDMYaDJEbQwjKIWZbNnvl0e3XGdj0QZifEth5Q6pe2wkpCjXajat0zRs9W60ssgP3AvK
qWQattVQjnspcMg7xM0eNFoy1BLo6yCSy4ppblGl3ipL47emX0JF6PFzSEXPU8MLRgV0zeGkAIIk
RodkGSCPgWF0aMc12NhuSfPLtH2513zQSbIqYRe3gJYUe9SxsuUv+uH6zgMTDYY1HrYDQ7Y8q94Z
kzm7KRK0tTSsNVRB28iMIb07+qmws3I1ij58bGguTSPz2h73wklTMuaYJx+h6EEZyCLkEL1mPcny
3TWt/IgMVq1kMRkbAjvsPeF/aLdprCmZiP2EvXetJbgWbFrheG5T2ugNlWPhvsYawWFdUZe7Rody
0wDiROwwku/OIZyLNeJrAOSMzEPcqdI4Yr+DS2/pcHcmROIt9poVRihrHcedOFuocg7FUNz7rqzO
YL/p/HSkj7suNacjxzOL8EwiRebf5Ql9kITeWpI2Njmd8pkKquVmBentxt1BADvfWHj5GX4CZZPt
knhQIKcgPKGp3I1WNO21d+dng0nZ0pFyj4TcFIRpVRNnar64ARbgJSb+hpan8dxkszyywh2tyckw
3QzvPQm4BIQAKusE7b2YBHI/3poN5VsEhjPOZc6Uo/zVcWjfjXUZrrXqo8y6+IzEzgtcO/012Eur
y4zyfYrl3vYIZTVxEQaEjf2ATn0Xpl99WxrZQJBN+kiYf3vuauB3xGuUsb0mjwImWZV360jW2qmz
UwpZrIVApUqLdbb4YM7LIaugfAlneLOaolnkaSmNhXoEVPSdHsY6pRB5dYfDJFv3mBkLe9NOuTpe
w1Q0BvGIgf/oz+K9dVMygPQ4O461A+K4MohrUv2hKdOeAzpLCXUknP1Pw22rB92yJ9QQHkwygtF2
RCKTueAT3GmxbvicNmof20gklo21ANGXD98k4KtTJKeHmhTbqG3qc46zYJ06FRNCsJl0EpBhDbbg
O6YeSIg3Pk6Z9TM0aNFYmeQqD/a+cge1cuwxX2XKF0fb037kGIl1PK0BLUf2A0Ug4Cj4eNZI/oFV
NnJTQErcRIwc7wgu3QsXSRcd2mhjESS/cxm2ZDFk9sKrQF0a1cHTnHyX0vYLlPVNnzTv1IzSx8A6
JAfXulY0WQQgblhiD5EBtXEwfe4As+NBzttX4YbDEWNftatnHVod46fRWtJ+RFOjIqlZ9y3pn75+
5IP9q6a3Ru8vaQKaF8mBedF96NXWOW7FD2pK/WfeWg92qMdECDReYMTJxVVDyv6qjC0tIRWUIecf
HGdc4C7MOWs6e/otyWvqV9d56MHM0QRL62U8JqNn8IYDBVOeHs2yODRZlwOlj9pDOdoPonTHndmw
aM1Zw3hvzZYRR4TqoPP4KSnX+pb45bylOB9EthszK1sXvjZSB4iX1C33Rd+9m1WXPde0hIBRShQe
SjTXom+fKaomkhQJhpnL/FZSI02xhHvmt3KFEXwbuhnHtDruWJEIR1QZDdPJw2DfhLBEpRkfW51d
tB9DzoaNjcG8yzgKzLgwjCg9NgANzkjmgkXIvoRzeA9dDDVKGwm3mib/u4twba07ZOdaI94Dj9b3
Oq/kvjErcRqniKwzzmIypf2WgUWg0TAYQSs408wVoW+zwT7o1rsiYhYzZRpp2hx0Lw7QTRjxHHXw
l3ONw8drHgL5Tv3e3FoL/7+rTTo0cRleCn3c66PlH3Nq6YPKcZk7dYfeycyvscq1/RgFvA/O5Vr6
OFUu8E01xVcfy2Cc4p8wIyPfFcwpGUGN3WGuLY7K2iWtiMm2dSvdCGOuDxK4cuBh8dp4erjCDqJo
aTpvOc/KPdixllIhPpQoqO6KWrsWU6vIGs26K/m9oA8ADV4GnstYjMbRLirEJkRRCokWLs6usQRk
2OV2cs7CmsujpLlry5zVqtTT9dfC7ylOk+QH56tKmuaBveMKgT8hRKG+r6L0Tpg0fWdLbXItVUDR
GWIV3JckvdX6vs76C135Zt02rfMUOgwn4tZ8qkpqlHBAfKQyJkMqMX6UaV3eJ263VVVjffNotKyx
AvGW8Hdsy6YQN13tpfqQtbSeG6FLomjkc9mhn+I8bK4zEeU3O48/KsdRH1VFf8+e/NVMzure1jgK
J/N0BgoqDp05ZhfPtHazP9bf2AZLNIhmus2gnoOXb+mO95N7jTM0JWFUFetR9ZvIaPKDxig9TMzn
LvEf42LmJtI5nU+VqNcYpCcki4W4ypb9A4a7fafqWa1jQAQVrby7Zvkx6UWOW7Yd761xMOkP6NbL
jGp8FQ83fHIk8JW0NL0hv59qQYzyWH8WddasvdRtHA79CIqWqIbBN6Jrq+tEFlWPZcjJl9aNe7Lp
c248zAy07+N0bRIquwU56W44WtuHpiPfFrlklcw1dX+LljYd8JxKWs4U8BzqzEHDxxtl3w3buMOd
rO3gpsSB2SJyY7n/7hqzTUVeyUNSEacskzYDRJ45OKjibm/hdXrKivmz5v5OPFU+g64U+4ZzNNlR
3nnWlX43jCw/qZuhWZ0H/I9JVi0kZ4QtltczWiXDGmYgU5Y5OWNozK6mcY5ahtuVFAUCEv9BLjEn
g1O1x0xx1+EY6k6eE+oX4qa7q9nlB72pnoSt0X7GmXPw2paCRtpr06XiMvxIvJBF8EizXx6VF28s
LAKrqYrCJzTCN2vwSAjKmuzUOGH+YHY88JXwk40rEjpkdPMuflrR/DMx6I6xWZCDLDlj1Wpf+MYU
9Kk0H6rxyxRsb5qeQMXRibprr+sXgzVj0/WVuc2XXYQ8KPLHowTlHdqmgQEWecQkjKEnfYy0Sn/w
42Pn7DBb5T8hKi95zXp336n7Sub5OcdcwMEzM94QJmLgNloG6YwZXjkvquES1pZHgpasmP6wKRq0
f6gOXaZLUbSmZ9m/lzCqt8wyrWNhdN85Eegns2VP8BOx1bGDuwMR1hI9OVeFxSnLVXw/jOKZZB+Q
wEZMh2T54TGgArnRP6Ts3/fYIB4MQZQPjJCjlXaoiFLCyxRo1rVs8Bt19rDiyDpw1/Ijkpy3tXkY
9nnf75QiUbcBrfsYIoxz9Gbrsi6uyfedTw4NjP3kRAMtmeI4aNgCa19Etzah7RoVXXjmqpc4GBsa
0FZWfs9DChFgHclDUZIG0jEdvTHbRqb3QGfPsbI7s0BwV0gSU936Rhw3p2foAq3aa9iGLlakv4QM
ND8r0bAFuva909PpU53O/xp64spU6CEbKIY8GU7bCUrUpuqLawUblfqJI3qV1fpFp9e/irL+SSJQ
5nstk9e4ob3TePjFhqkNLGMSnGiNtU0RqgpVX2qiCjcFqkzmUD6LcGqH9y1pLV7kVLvYUU/EA9y1
MYLbPivHXeiQEJeFvAyJXg82QNoTc/qKSfCQ0ifJw32ZA/4htUs9kCzyPOA7eHNaGp8ZKeEGbkMG
JYSQ8Ezi8ghhkxMv15nOrx6fghNus4re1NeP1DbcqxVZ+gUa0ybaaMyD3nKraU9Ozg1vZKX+JltF
uF4ReycxIO8Due/ucnD1l5rU7lVt2/0LIOSKZm92Q0yV7mgfcqQiSexQd5Gx8ge//kFkz3pKDP0c
p6APatIzj6aYew5yDvrOjlG9KMRPD6nQS0cLh2rAbtau67VoKobxcZrID9Nk+DHSDnpMwnQO6hKh
gv/VryrRmJbEyzC7oX3ltF1x9qZP19XGcSMEyk6gMsYawl2/a+TiOkhS8WLPA5F1phLHLlTipTH0
f/7SqdnvoMVNQZurfq9XyMLzciwO0zBhFiii71Mvkpe8fvRrv7opYhseBzGguUjTB3+IiT8XpN3H
4TNdnencCT9GnueTPgfb+WZ8zSJ6wpYVQEcf3+dznM9n6dsu7ZRses4qOm2YzE4kLrQUroY4DS6W
qMhvm7c5ZISFuaA+4s1Uu7al5+CjZgMs0PtB1nOEthFhl4u8HObruOuKwcNfQgqUPeGDLAWT3Amp
+VYBFgyY7i4hBl11Navik1aDt2tMHQWDOYgDFTmPBMXGaiwY8IeTxjJDpbsmAHgOep+zLLX1RCKE
O6xhSyrqO+INfcOSd4RJ8TRnkXmbmD3I3usfeWOfU9sCiUcesu2zmEwLZGirVmZE6cyx3DLVZMAa
ts5dhqKY0Bep+pCsUwreous/uZw0CKOu40bqRVAW2bIVG+Kek651z7Gyx/JjnwrNHrdyrLKt9TrZ
RfbcRFr7TP0WrXQtj3d2TX00lJyxh1nOVxD1Cb1y97UXev+CxJYjrltMD4x2jOscVps+c9MLFg6b
CeT0vXWkcfn6oSmDYQ8eSPoX/B5jsn3b+GrnJfOJa5UfUesZj6F9TPo+e6iJgzuFxciaZnCscVzx
PBtP0tfMV+Nn3vVXb/SjW6yZEfGH0+vo+DXBJATMiSke7vq2G+4Kbz7jgA39I8gbwnln+gZBOVGi
zhhfGROXetAtISAL0eCkZ6R4pqKTa7tOzPveyt9TH+3lmNbiFZ1UjMjuSSpOJKljREElVHuJu/LO
tZR2x4EBEVAMLbWa0/ZkRNqxq7nyQFNendkASq1cEIqu+sbJwjhgHBMnWnbRfhwNgtNHPDNtPpdb
Hx0ojZPMckaOqrG7NaOw2VR453CbtTew+AX4/vI9t8yYfIh7R8bFFuP/sJ27/kPV8nECyboZrWq4
QKo4qkrYwOOil8hv9BM5XMS9T9q8YZ/wdoNpqX8YLv8/0fQviKYLyQAj6P+daHp577r3n3HffUjZ
/e2/fZSSvvfh13/97Z//8p9cU8f/O3w6j171An36I9jUFX+3dVi9LrRj0zL5G3/732BTy/z7gkGG
bwfhzhSW4I+6qpfxf/3NMv4ORxGaElZUuuO4gP/2P//Hz/G/Rx/VP0GY3W+//iMY8zc7LbBlwyVy
cmGuIk/R/w1HJSZHy2qt3uvtcMVvsglbMD4xs1PNY5NCwTr8hZ/2z14RD6klMC4LVu7fzLQQsUtr
RsC0HxBU48EHq/piOufBon88hDRv/3BN/oT8+Rt94esD8kL+gswzQY8uUIA/ADzILAznluy1vZEH
Vl7hK3ExTs3ZOxGnt//nl4KBAl7A5gV1Xu1fX0qRzeRjfqz3U5d9Znn2uUADKTu9LPrxn1/pN5LB
8qF4JduDKcE98G9XTYIb6mIb0nOoEUfjIwCgNedwBBv/mpzKPf9H3ODXazmGb3ku269n/O63j4iq
tfCG0ZNeJpYsZTevaTe155xGHZsnUmWCw7wDhToesqlhouxeyRXlBFX+BfPxN+f/P97JgkzjajKg
+x0w4arC06Q/1HvfRyOahRennx6naLwZ2nQb6/GxwxMSJtFf3EFfn/APqJF/vK5wHMfl1OX/GylV
o7MnXJy6e0PLDqkuD6bLtlINj40cH9sePXYZ4cKdb6nXYDfUkvfWagM68Dw/1A8rGnzPqZP9FW/j
T+5sz0HeLiBeWQ4QzH+93Zy26s08Luu9tJBXRrlN2jWvJsWQIQWVFLqXvm34jRTwj+5I6syc0PCi
WdW9evIYzDNKDgYnAtr8f1bBP3ni/vQy2dByYO3qOsvLv76vmYYVY/cCqXrftPsaa/Gm7RWjM/iE
g8UT4cq1a8pvtVk1f7G2/E5o+Mel+sNr/0bD8jxkSVqf1/vRFneDnhIfGoHsiIiUNNvxhueGryId
8Rc6PxL88S0jgP/86f/0qvzhHfx2VYasoJtX8g7m2MQE7Y43Z0zfvxSgKUvCf34xSLr//m37Hh+b
+xIJn2m6y/v5w/pGMLKN/bkumFvV+HHdEwEEDLeYgky6IqShKXYNpps8eekl3revUUruDY92K/bS
h9eFDPrk8W8WBasfcu8IzT8SDB7Q8rvVKLb8TF0jneJV9I9VGox29Yo98tNP0nfH6DB3qfE254Ff
Vuc6YupYwJOkKbRa/n6/BNwosTaHakfyxxNkXcpkE5GqxygFOInDDZpl/CVbcjAT/bWc24ZYbyZe
g72uQrVkGiREgA2PcGcOCmhfbMT73EBoGAuFhc8vMW6Rdo77udo00ztJlvcJ2S5aJAgFGg+Vz3ss
aXHTEbuXLoM9PYZLQ2AawN84OzAu3jNWRi1Hkd7oe6v7lfXpO+bWE803skn8IKGvv6oHtTX99LOw
88/KTD+X+8n0uYWNks+QlKiWu5/eshQv34ye0QeLzS6oh3rljuZPxMZEjKn404kTPLTuBaEZinQ+
lzGSMTeqZ1Q65Kt2m5bv82vxkA7epVY2K62ttfU4Fe9E690sDjxMWKbbsCTpAIp+NBKPi92/Dxof
zpt7IgqgkS4DN5KZsafBx18TW8FczOWyVGNJTmN17EMWsOXrD+30c8iyrVlpz7YExKNxDmqLLvBb
prNudAFrFK+sqWAKEuvInuuffizpTvNRtYGlx571G9TAK/Hro1eLFWOkWzywT5jzwDSZdbH2j01M
763qoQBavJPQmx9GwQyKTdj31KOPdZYckyUZkX+/4PYessVa59QMxW2+As5lmzL51agl8DV/X16i
nIfHeFhutKQPltejf/u9I5EO4dm7mCFDLN8Uxc+VUdHVzfSbBhKGWIHPrMrejbR4Vy6mCzHemoZp
qYpXXhU9CDiqq6k1HlOv3Vg6aDHoxnINjeshKzgp+qIr1pPP/WnhB6PldValDiHBi0+WkxNoSHkx
847WZSyDpk4YzjXpe5rBPGJ3vHMi9QHAhuny4o1oHX/aNdm1+igI/ry3XRmuZekcea7OX+8ezECG
5kk9Lvtu2nTVKnk30UfPTfM+4DkGs3T+SnwdDZxhFurQPNZvy608LJuz0J2r1sO/m8Ninxpcm4TK
Ymc1ERBbdRNtyrysrWiDpdOLkRB0Z428tz6PsVYzu2LBcsIW05IOsJH5A6ddkd593Y6NHX2my4M7
kw21arX8TZjRgwuuAKIcL/21lCwpw4Mz3vycZ6Xas9yuom64CYZGK2ORNjQct2G34SuuwnTl+PE7
gAGuaMY8cxlZTNNTN1MTfi1batnqYyC7w8gtVEfWehzJIkrldDOWC7WuIv1nOGPqdAlrZ/bWu/0j
Zuv4061qKI86U2RJQJZLg8Vts3etsfZNIr/byVFNPAN4zFY4zN89jfBUXR93Ts+WRWIHOasetIWh
0Wg5Ln/B73dRM/CQuermLWumXNi/o8NbxzHN/8KrYAXMN5hfr90yxAT+N+LTrGdQhHDvAesEczue
9HaxivvhRce8v/Jnrd8BU7YBTo+ta25KkYzBwFxspflREtDMuHj2wmgYzZuTL0+Xw8RzWTEd2U+c
cnnSxxbIZGsgZKql4W8TSQOvCbHYXGZoFucMKgW9J09tEcF76GWPNVy0tR4PRxQ2B1cuQrp62Sar
MVxpOi/r6Nrz12wkdTQcvpq3NiWGuEkjzCAui3VUW08xPhz0yjAAc3J96IYXeGbplBEgTjijoW9T
jecqj/munGG6wVrxNl835Ffx4vTp57IdMEb4tCNnr+l8NSxxUjIan6T+qwmJBopLgqKMhyHEAdyn
QQ5XdhM6nsQatVyiSb72/mKFio5fN39fMM1erHyEBGmL/6VMy3fDQK1g5BUagClDnoomY7EdxaMi
TG3qP3qs41u7csgD8qcDeaMHMgXKIGEsgpWldlZjH3aQGNqXpmdaBL818JqC1pXmbuh1/HD6zibu
C+OL4Wek7knir5y0MfHzcs+LSNvBAkm4gL1a26a29VyIjkk9m+iinHjViujoDjw+tsZzaIX4iCIg
Bn06o5+Hp7UY9FPCDLg90UM2hidXhOQdknIBgMtm3BRuzASYh7B1KshdODs8RdnuTR+NJ69mz7o1
sWeuQvWBeBEMJDZnplU9EiSBYZrmY4Chkt9iMW/w4668RIFqBfP8de2qnGeIxtZnad26tr+j11Ft
JOajjfDN94z8s02G+GulcKObLeIHtKFEsrnGO//wai72/NJFtm9FpMYtrhjLHH/6KdhGz0/9zYSk
z8+EXNf5zIDCxklix5wvGONuLBSIdH+pZcOeKVD/wYx2XNPZw6WAD8xiYiSdWznyCJBm/ETky4O5
rOW2c511+vF2xyMaDeINQwTCgWUJsvsiWfg825gpb+8y3mFvqzv7hpHuIx95bMn2enEHV9/MJYmU
YiZOs8JPts7xJPNmYMIgRT03HA8CEA9HDppyI6yIuV00BLLvIRGaNhja8lk6dUJbR4JgS4t2y2z9
C/9S7efo3LmmwRNOYdDzLGO9Hu0z7hrYkk9IXdVTiSjUYl59QcX6cyqYRUAw+JFG3jrOUAREAEYi
LGEo/qU2PKeVdVaK/CQO3wmR5cmb1ymUOX46nDXPPmVJHu4E2SVmA22D+eglakZ945NjvJa4FzYW
rG0stdXPxIdcPjcpWcraVk+Mm89U2gHzvzbH/CVhK93oSeCOc3OYGuwfvp4zP50bkFMzDcWxTOi9
IldoWk1HNdhM+EembUXUXhuLi96ZT+XgMFf+/nUmt7jthzLbyt7deV1oBEywocUK/FIOS6Zt3ttj
W27wy91lZD7tAHrsa4Rs/qRKUvzomiWTdzOSqTpI1F5NhhcKEuK9bjC6WKLZCvzmJ6toTossP+gd
I2fZnBR5dR5Wjkb+IgoADxTz9hE3bSISH9VMcbJ9q+GhyB6JZ8WccPMGCCP1UjK0IztqpsPmqUM8
WjGBo0WIqMqgzLPdn3Jk+9CX8Twg6mWIf9cK4xy6FnF9WosrLsVxQb2lRusNjQlcdfQmK7gxFFpA
TdeNQFfXOzz/k2/tFSIKYCoxShBe0G/gkcy1jV0zYwtQJvqJAfUmShruywmhVNvhy/K9nTslmD4T
Zr0tWsReVgNnvsXRlur2Ph7bYHCn5kwi47GaCLDW2zHop44ert/eZYvBya7qaVOSaGbIzN2iWEYd
rtQ3psVyzWQO2QXByCBt8k3pJfhUCLV3QRpsXJfg6kGliHAzlM4YFv0IrPvQI4+Bmrdu2WE2Mg6n
jVPrhBeijcSR428NLfyhOkw6Pl/q2lpe3YHSLm0wg7YTfwokQjyD+e5rp4PqwSHTStbS6ZDojzCX
53bOUM/We5YzH9hB+Wg2lrnDCH9MvEjse19sYnaF3ahFm2g04wuDPnx40QtR3ACxVPcjb7QQjUMB
uMjMvle5JJQ1f2ucUsMuo4IMEGDQyCTaWWjUPOk8e6hCAk5vThAm6uJMHbAjcvCmQjXgj+MKgsu4
0U1qg7n39t64iAhLynSjx1FqcBPMS0npGabaqd4/2Rwf4PAat9IEV+pNlOkaZbKdoAKaanxvbJj/
6C5JsGOwLRLqn7Ti9uFZx+pivSrbPE4ouyihuU6ZSycc59yp0hr2d5M6C/woVplypQ8Zi2ASI1xa
ylbUv2gcJt5Z95pLBJUhp5kUH8z/Yu9MlhtHti37K2VvjjTAHXAAZvVqwJ6URPVNaAKTIkLo+x5f
/5Yz876bza2bVWY1rEHSFFKqIQm4+zln77V3TT7eTb5q18Rh7g1r4i+VvEEjoT2c8daX12SR3hMp
zXesSa+lF54vR90uocz0RDet2jh5gcaUrtKwe7CIJBE/8R5zI5n1h1/t9Um5DAToAHNliyok7sAc
9rHZQFsxvpGKxxmUomkKwmK7SOeg//MFTzptkq8FVwyH+KTYhllwy5TDW/kFn6pGjH6YYZGlpB9N
wUEDjeLGqr34YGwkY/TryNvaFKa7Km7IQyQSfrBJIscms/F66juy57ZBlHPjMpE0rHqbGbyNiS62
et1r6fWrEHlEBvSx+wyv7hMhzouDeH8dyvRD2Lz+49JScVKnGfBZTzXvWJdkySqjIoHvy4tbZjh9
p/PiOo+5p84+ncPKrliWuu3g1ecy0LeYs7w47NM4iRkgJBVDoL5+BGGQb8dJa5mK+mDUmLctrwVM
1JZXciiuDZfkhhCqEkmpxbfZPjuC+hLZn5UG1HqUKyEIB5R0vLIGyiwU0/pI1RX3LhPxqqD4wkED
34D8U18HaOqyVMHbEwhH7Zj31LZ+vULDHqdD4y9XRDEiig+mVZPzXus/u/dInyiZ0AwW1QJs4IOQ
JowuWW4AfWZrFc/mCsLwY0yIY4pjDxz78CBzf1zlkXUI5fggx/kqbjgc9y4vPCd7CrSdpgsbPoKD
pB8eyI4SOLZDNHIlE7meyhSd8iLEy+U96GM8EHB6DlGv/wa9rhZaLDzr+tgkXsJW80ePPQ8WV0wg
buBbK1ciRLpUyTJbDpNrnKG/U5qYGorGfWgNGReX/iME9Axfl7aFYirMYYrXiYO4LlarZLnqnWc3
AfhilDPsAXGtau6J1pnva6O4dt35KsP0BEd0N1vLyZj5zrTg/9A/Wvc/wKV9juWzjSe56uEmJVwj
iIrvfFp6UqhD2Xvv1UAuH/zDa7RmbBlu/IEPpYblx5EseL203y5/vKX3nArH9UbkNCoSNikrFl+d
KjZjyXcaaU6fF9QLnWdd75arpeWCT2N1DnJ6KdZ05eXWPdJ+MiIlEk6MaGvDuWUcvuGVf9YLRl9U
bxlDL9QLG3fCFB7LhouUlwcTKgta1hLgu+EQTK3Xo8CV9eOlm1yHrHSN8254iuaZoLxM7flK78sC
41m3FD8ZxNNHoagfSo7sl9ABt/SvbYxNHaOzNeg5XBOht+WI4W87KmGuYL4jlPCxwz3WmvXlrkW2
Y1HXZj9Qr2vlBNc8Suer6tcbbedNp6Jv39OJAkQvtNVrEQ8/mnp40EuJflejpT+o0vmYsugjsb4n
RboOW5USpFCwzBi3sxQ3po+Wd4l52roFMbTcPeE0PTjuU9pH32trtxR0VRpkmOzqR5ywBnNMXhOy
cqdletNPUxm6p8yiCHAUpw3NTNfgvdeNy74VVJNCbyTPgrujVjQqRttOtxOJn0SzMhuQHZSsoJt4
FgFOAcNaXmqj/Zqq7KH24bbg3yVqjjWVg/oqjIrjVKMn1gOMxMIRi4TplJg0vYaCgB/Uu3ZG3aEb
Pk4Yfc22JjmP/NVRaxwZ9ewxkL24+tK+PMSNbk6tMP/2mJVirKboWlUGXmDiEmx1tgQDC4xt052L
1mJ7aSxET5kDbT7ASI/ZgQsvjKnuOlQC+N9jVNs7vE8Zx/roq9dSZOnQZwdL85Jnza8dD+nnH0XT
n4cMaSy9E+Xo2pqrUkz5vjXQHrU05wjaoX2W7GNfpiuQOjcjMLC5ZVX3eXESwdPkKU7N+EnzcFs3
I4J1xPG9xcEvtzBUDtbN5X7oApu3sKGyJw5piw53o3L1w1mwAqQ1WbLUgbtw2oSO9yqJmvI6ImoZ
EHD7te6TDAZqQ11qBzjTJ5mdLHqMA56W9UxsxFpwQevynv1+qMMvFbJwo6cieIGySHnpsRn7h2xE
2loJidtdnw8sG/DigEFBn6gdurCXSivUrbJsYmUoED12XY4gT++PDFxWlx5pbrDrxjTdCud6NCiP
EqznKxVyeit8hK5VSHMq4g1xMi7JehEspHTucgCb0AMOlKfQvi2NWESjAKKKGtTv4ArN8WOran8P
Q1b7iPCDGxuLAtmU5X2kOE1ixzcI7SUnhJ9NxvBqSJ5xhbSoklhiMif7UTSDdb7UngXuxjhB35a1
vEQQQZ+bbr7GNMIuFfTGOuuIYWXg+uFaOSeGcyiJ+Zzyr0uXxjB40k0Wb2pydFnEQZs5sQmDna2t
oDV52ew4KqbbGiYcziiWdAe3UoLSwJgJRiR2nreT1xGpNhdN4v30UkpeDCLslGhvLp3sqqIb3WhF
furjoso4I68K/65Mcnenl5JZ172VzwwpsopXe1Jf/WTTQMRCXNJFiCUBHdUdkLjo12ilpXxrl+62
Mii9gzKliMocFlS2NxnOxooi7+pSMxeSq/qyt6WKY3Tnqp91a4zI+zkc6dbUJZ4D9YvLifGWLsOK
YXW+Um2/gey1M1oOJMLBT2f3+UczxDQNtEgZzNZlrzIENWq13F5Oc5cnytFr3lSOzdpMkUdnNvf1
my5JTVdAwIZQxCjP64fWqz59Boz7rL6xZvNb4HDcrhgCBGH2jtkKBEskA1oO1q89gYtlaKyPZRGi
luWqn1JsIwi6DPzpG66QPVkY34yAs0oFJXfx70cXjRVqo+5KZtSh2JyBEt207KUspY04xIjrEp7a
ycYw7KH9D5r5RyDdV8Muqh3l+d4JexY3f+7XtZ+/VXV3CmHjZg1PC5oBwHGQOAVam/p7lRlqFzm3
iNGOhkm2bOi569ml1g26VtsYq2MBS3nFcjlsABRdjSIWN5M59I/IZJ9R7KyMnJQyDZysDB901vRQ
+RFxbbTvQOkY1aqHCbbuS6N5acldn5xTGbQekhFZX1syS26D0gY0AY92Ev3OHOrzgHNhZWRDtUvF
AMAeNNMWVoyzrusMso/FsSHpp1ugrua1INIqGqJlZ3pM5qogGA5hMj41Pe7lPG7XI8dtyqOPAorT
JvCe4Y7tnLzFHF8Z713p6x5pmBwW9GtbjEWvxOYAg+ud9NoKRnz1TnFX4LSy1qQTPKi67yAnQ0NC
5NUh/OfBWZwaOjgWXzG5p8tDYPFR/60sBuvEtaB+e3BK99QlM8d/0zdodBTS3Q1zdQ+CRJ0uDyrr
1cnhzhnJZz5eoExOVuDNUSEoRgNojuTJ4FBfNRH9YhWx0qA96ugQstph4xEb9JTAZLPse2sa4tTn
5rcCKuUOjzW+hQjDcjla+enyEKfBN7+Z/a3A53YCt/X7h8vn4KB72wiUGBTo1ZyV85FX0z51+Wif
Lh/96Z8y6uU+dBqo0aDabLtHOutXdFI1J+6fD9UYZjQUK1yzdUALp57i9phoGGEA09RAoSeNtOTu
xxqar1xWAYn0PZSP+Rh5u9Hvd5Ocpq1JKkvezQIbEQ99lMpT0+r7iob/9p9fSAJ+UZbS0bAMaZ0u
D7T7xa8f9WmK0HPRXyEOiQaFKezdiDHkDlMQw73KfGhTy3wo6yTcpQWtwShQx6go3OtUxM9SNfW1
3XXI+ow4PxiZGZ54lx5KODxg96pHU4G96ZrprCyI/jLNkqOPBpFGZBGvlQcZ1Csaee9YhriHS1dt
VRLFW98vtFoYHpbNiYBFh/A/hr9exwWl/0mjvb4b+R2Xf00jvgw6/OjCfVRTfc+fE45z9bDIvHqY
bQznHlkCh8vnXMqwDoHhnW3cTnB17pf6TFNs3rlL/M02y+w23kyUhkrSAhro7i92arMR8RK3vaFo
f+sPnSL6YU2h2Cq3lZQAljxdPhr0u/C7z5mq3Q2h/eaNi2bEB/1mFO43A5/KbvJBINqFG+KyW01+
PJ0G/XD5aBrgyOAmw8bBDu625nQKVfaVMGjfpowNT5dPXR5MjbS7fFQ1OJHcrMq2LHrZUTBnEMvM
DRW98wfepwNXuSAGnR3fPs/3Ph4Npk08ePP8ne0Impe7gA8W+3JsHh2jWwGBmQ+eLbdC38Wuvjth
iJj73k6u67wNufyCrWcU3Y6O+7UzW3xGhILzv2MiWDy7GrzhSNrhssGoErPUbKJan0+b7dxZ4QkT
Kdy2uDFo3VUwzmIiFW3E0HHSnwYiQc01pPvulOmFpgxwxac9FFu7Bi4Tptj6K0GyvUlNSaqsOEdE
rDFKFIeABEA39XawmAgMtxQHusEH0sGPUuS07pLcu0UDH2GntpZ1vEwEiS0GXAlVfK9rfve8tyFS
nga76U+l/mNCDATI+/WHRMwPUJzCZEsrYiLzNbZP7mLap8tHlwd0pr/9M3Yqsct9j52zP85uNYOE
qIdTpGx+yRj99tHlc074PIaEytM9hk2MGRP9Y7wUXAIxRtvA67aQluxViw5+tnhZY5cteh7uqih+
y2DKreXUbKKqmTHqds8idXnnp1U0zyamEZnReBjD6yD2TqKX01p1QXVd+Vh7Q6zWNiVPkSXpBm7U
Z+DZ+8S9ahPzEJXTu19XL4vTvaYTJ0Z04AdCJCkrOYecZrJKViEuLId4DkCjDU44I7o18YZtW8Og
72G/m6KhTzC0P2oO5V1D7kgWimr7JYmHhk/BPTt6zjGahdpaLjIyK914ygUEmwIU8N32LXHyz1Z5
nxQmKwdKI33+8HOqg4/Zxtzgtg8FkWg6LIp5yLQLjeion4ApYGasK49bYorkfkk56yUzh9veIxEF
5cVTF5EhZhbrimSLmAW5AUIXBTWWO+mes4jVrlHvcSa/wf9OLt5mgGyY8HsIahGtRsvJX8MqLJlp
eE/CDz+l233KAmRvfR+nCgNcyAnOcSi/l7x5G8kSX+RpqQXDOMG8V+EddpaCYpZMgGugd2+sQjeg
eZqjYWlTQF3tRd/fiboiTWfqiYADNpE3BrjyIWjpD7PBLbAemMUhq78HkAUvZMS3vCg64IyivhJB
TsGly2Mb/abAPKEt2pEuBLLkaXBxESFI5ESdXeZ1gd+JdVIe8qC5t0wMWi7l06Wjl/jhl24FTZeC
yqTD4uXFuhPBCaZvvk6c8aXxTaTOZrVKkFuYXUABiT+MQkcY1C12UtMgcZs7cHhbqdKP2DcfpSan
EW/EPDUHEYdHwhvoC5CTSwsJKUFPWwhf7oeoPWN1sGv/b3LHbC3h+4MUzDepCpA1+UwFpXVJ4/ud
2qZdltDugUpgvncOl5zZCs381oIPNDEjcav8k5NeQBmTsZ1hFLi0u3wGar3AgBUlzrbl1E2DIrZW
YIWY8emXMqTNaMN8Am4QCspZjjy6LdyepwSTa+9QXKJW/uJYiGJk/lKSi6BPOBOa7iEunWo10u0p
E2Uhfv5GGt3H5CTG2sCSuCozUmBn4jXKZANz81ohY/n3IiRLC7r+8qKgIbVckqbRP/5J9+iGIpw9
WiKHJrdeeuRETUrJqv8kHOg3lnu1jAfU4KQP997m3/9u8S9+NyHagl+KewBR7J8ieVp7cHJa/dmh
0hPvPKBjxC+yIjxzSB+Ecy7F/KBQi8yT9UKc8tEfx5OuwhiLPgR+CJYAiBPnCEbK3U2T+ccJL+7f
yNLUX0RhvmmZruMTNu5LydDwjyKtAqYY+u+UywZXDYNaCkSvbccVyzDF5KzbawV5hZXqfZg36KqQ
jNVj+qXFHHHMu0jOMlnNGWxoKmK0Bh/SocniZXR4YDx+JE3+kdEq5JrY2YJDGVjI97KNOdzeXSSI
oanrdt0O7Gr7XL8lM0SIKaQovOg0KBO+GAQrkC4R2c8U8iLNKhgX9FIXMND6r/RkJBCqM4qbmuwG
8PlhnHEV587wMOfRz7gYb7/5KnvQBRt9ng/VjA9Z0w5re3oVuskYq/roFJxvow9wpxg35PyYTdHh
318R1p9DQOHxmBj5BBlkrmuqvwhWK1iXhkfr4xCrFGyqaW/RqFL9ar1Jo1cyu9WqqLw60qOB/FnM
+SbJlDhbg73DjFayHdBR9tyYk7EmUCL8Hg/tYECUYOeeCZXdLXnm5qcopH/S+JBkAgbAlVVeL62f
7wZz+coXA8YgqpSdqmdSxfV7gkV0LcNonUcfYWsghLPoV8e8dXqgWMQ0yZKRtZ+EkZWJRmUlc05d
goaoTMShcrV3Pl+VDe02xRa6Tbq7MWIwlVq4N3Dgv7kLFTEz7Y9cQNqIcRZVMytPE7jvWedyKtRf
B/xFn5+uf9UbP7NkBLMAi8ACQkf2xffcv7Tr81xwUgDRMMb7yCw+ekG7MZfAIGCo2BouX2iUfyJd
PRqJoYgV5jMHPfpVdHxsWnOpaK4NmlxoGHjWQCYeLr32yijPtpseo8r4WQoun6KAV1MGzjdr4LhH
2hqDkZQCy0RX1oYtQpYSWl877o0cM1ed1NWOcUmyMhJS0D6ETObTiGyKwEPnxeGLTAhOYTl+2mOk
WQy7wO5vZIULS4sEVMw+oX3nsjHew5z7XP+p9TEso58GDqs+LYfbWWXeyupNxAD99CJhn8xTXTHj
6ppTRmzH31yu/2JHAS+kLBMngOMTEvzHpSHs0ZjYRpsepH7KejcAyTtyhvN/GB2goISilcQiFDmw
bEo9vNMDs1Ir6WytYSDk4m/0u3+Ou+IGkj6bhMN9JOhIij/9Sd2sRlXFVnzInPBblSd3HJ+PuvWd
jQTFNvMx6HgdMTu9aOlV7mUfgVm/Ss/5m9fmXyzu0kdvLbBI2Egi/yw970HYBQo41aGLpgrlDXdV
vzKTtlqjbCHg0RffG0q1YXG+Y3grNyGS81b3N5TWj6GnWLdwCuAqeE8mFkFhR/OWTliwhjzxN0pc
/y8yed82WXNQyOv4WfvPOlwO2DZj8DE6TGkSbAym6CgrNubQJmsPdAvrLGX9kil36/C2XRXmVSQg
MLim3WwF30iD+hqk7bjtY1Jq0U+4a6G7UXGesfTa8YY+K3g6DJh92fsvq5aR5NYcc4rHojRW1eC3
xzGdnvM5IWB6QRUr8iakxWFvfMPxX3xqIWE+iObRwIi5vfTEQ5gqnDWWgwBHTqfP3w4jjbXstXK6
9JARywQ8M4523BbrDmXls8rFTuX+WUXzcoM9EEYNcwtDAjK1K3VKGm4b+BHFWljWAngZPH3VZhsi
wWiu+ubbnCHWNeRB9xwvUtGCnprnG09Een2Z7BHguO4GxYJMhM+jH6GNCmU+b3JpHH3TuSv68Auu
XL9X8nBBBpWtR0O7nADCqCZaq6Um5rCqHrK50KhpVisd9XVo4vgntKfy19PH/7dG/Z01ioMvuvb/
NgVsPrqP3/xP54/853/+xw2Cs59t2bHy/M4W9et3/WaL8vxfbJLZXUdn6+LmwMb0P8afbfef/2H4
7sXhZOJ9IubQchS/C7jkxfzk/yJpHzicNHGBCG63f/qi5C+270vHt6RJJDY/+f/GF8Wv+eOp1vQR
UZnC5UzI32eKy6n3d0d9GaU+3jru08I0yqhmMwXaJq9Ke6C9Mbcc5K5U1cmfwRSR1FlRgnApNmjT
3Kc6EXn45VoSbooZqdJ4tsGQeS8jDZf2K5zxIX0srhyMH0PiUbQmS9ucFgmGjDnhwD1ZI/i3aqTa
rpFsSoYV7WPjuDOTIqdtX2LBaHjLMhj1h6nu6vQQheyTsK2yIfjuRP0UrjnPhOKqAtdxmxqeBPc1
GhHdU9BbuoTrp+i6930QSXURU4qYXjRXtyRuYKpn/3MEheQAz4RnErKK9VnxTl1kEHVG9oVihuKo
cu2zodnQlEM7NnFDd9ZPQWpbu25bY56gCIR5tYrqqVPrgW24Zcjftwr+XJ8O0W1fIP0ztiNYz7bl
tyWz2R6j0IFGnieQO6wP5ENpeEQuiYvDbDPTXXEk1kmEkM7IMInsB3vEzJnIBTAcsFlI93IWFVjh
Mkg/4dwg8DdsP4tuMInm+AUyF37hwbTtTOeoRUQCcYb0g28AC5FxmiSVV4zkZS61SxsQ7jjJZDP4
ucNcTLmzf9cvkTs+y9Gr5SP/o1/9UKSoY8Qcs+8Ijpd236Y1OXAJnP141zmUS+vZAXGEz6BHe+CP
wRmISLkWTPqfCsvBbW05RbitE3qJOlqi9BCzEmCU2sK+x00qYScyQ685K5YMmNs6cJ97tyLyg5zW
brqH3gKYNDKSJNkIMZvWqWl4qiGilDTtN1Yr7GprL4gP75apdeJtrGbAwk3dVmrDhJohEoKVkkFP
j6VsRmYzFHdMrQwPAdsoW1SJywjYERg4vuS89IHKuHHjcmAd4jA2rvJQSdZnocxwbVcVZr5NoQYO
ZL3fjmzNwmXuk3hj7aAwzUgzCcw2D88hKgZxSOJWbyhCtea5qgbrMbErkezH1Bnrm6xrw/DGmEKy
LwvH8MVhrimwTgErCvkSfaj6Jd3GZsW7giAkbcczhFRk6nNNkp0Y4lO6hMYbiUvz4wDb/cFq2nBr
BLGzblN7vDPdObzmDkjWVec4txY+NwhlXRb/wImbPhnYjQm0JVPKEWP8WQ8qRC8m8FYzQDroYDl8
d3mxFxWgDNfgZV48xNirxSxAoBMLcmU3Vn0Th7W5ZjOTt0a6GBs/NqanjIH/HrEefDK3dq+nCDwb
ZRjqCVLkYdBB0W2ccHxUdYixunPmdZ5YyYGkBjg1wBteTFig0QowoXNuF/nTzkeEK23WnG1jsO85
Ggb340APtbCsAo7VEPJ6tNGa7mF7j8eh/xwyqzr2ZiwfI+SLZF/2bnTjZRP/Y1arPT0b6y0vWkC5
iD+PauZWyRgX7CCGlIcUUgZsf6+Arh+H6cFgJLJt4P1dI+JH4lSXVsIG3Hq3RNoV78VkQ4Hq/fBO
qcbd900CdpQjO3D5mEiqeWrgYIv2YPdVcc8sXm0wiDU3kktxT8j3sgOy79wNdmB8iHie+FFlhd2k
6u48nGY7pBbzLnOT4XZJwuyoEjSopH9g+XZi+850ADLRb7Pzc0rbmTC1xPzKTYDKTZ+3Z4sZjr9S
2mTLHCMnRq1djFezWtqbDjsnwzCgCwOGobS6i2Tm3vtEccFlmMKNkLm7CSVKfeAWjIhLYS/kGErY
jubQrQSMknVvYRBcmIHtgJVYKCUCVE7dXM2HICQQQlC+79OcWZ3XOsylco1hinuX1C7afN97SyRc
ISbLrdlHj2gC1LmZnPZc1lFJFFjRHkRcOccgT6ejqDpjZ6eJQeaulKc6tvSEcSREhH74jZGIjN1q
LvYesUp8r0/AU4BEtRnh4KZLHV+blFI7GDU0sYSs9mSVqw0KWBg9rmrOXtMRHzhXEfq2bL6Jeg8t
njA5di3TBIzKSLZ+yVkUL1q3TnLuMWUrqMDcSvs+st2bLEeb67U9ZAwvca440Nc3HcjVPR6h6Z5c
s+bMawBRUhaA2lKESHtacciXKwt31LyIrR+Q3jE3NWoFAbjAzJN4UzR2tDNCqzhCx5o3lgo6Qveq
noHF3J+iNNf1roMSm3VzO4WuRGoxWIdFDcENvIBhNxO3tGZDQAvKHb2zwyXY1xWExYDovZtubsQP
mrLN2UlaZluuwyTfK/O9xyRtXaUajJyj7PO8cToaKbGQCe5H9Ley3koX3Iaa5+EYGQDhirwng0qi
/2WUYx7zPvFfXTdXz+RViVsDy8yGDdPdj37CpLnrbJpUQDC5vVlEu5k0yI7donKieVfjFv8iuyO8
skgP3MHBbR48b2as4fTWNhlblLrI7NBiLXKTLh6NyFmRcoQA/NSDaNiQYjBCWCB4zejz4WyxckC7
TnSgo4LbOw3hPrHp/xc0WLe5iUnUMSJ8VSVulEMc4rqLC0hmQ1u1N7ou3eSW7OEgk+My+YHcSIAJ
W78fkOMs2QgJogRUx4Zrbmvge5tcIdxyoDgee6INSZO1iMYlx2jj+gkQOos7I7eLmZkLEuap8LmG
46YBJZjACgKoSkwaFUBEq4QNZAS5yn63sUITulcFfBXaPuD0KUCNkZDvsBqdLtkmg8ke2pjZdTz3
/YNh0B4FO1wcFktTsue424HM4G2vlwDqH8sMyBLj4Pqtg5Qa81NcqJ6ZgJ4K2XPafpRNBf7VHKBi
l5O0Edb0o7s26iq6p9lTHTOPZGNsbm3zWkGW3UlCp842/ZZsl9oUu5sEPY7YtSkuwBtyjTqi95gp
YGSzlOccJmsal2uPFwn8a03N+jQBO4HZi0as29hNNd6wqWflWlqac6ls3JurvBZ9vEts36rFCskM
WKcK6mpvzOZ173r2Z7gMtqAgvhzt/19XQfufpS4O2v+pf/B3VNtNHEbd//rjP0EX/PZ7dU3xh39s
L3yF+/4norGfbZ/xrb9SD/T/+X/6xd/Kkb+rbzDK0aL939c3t1Fc/qG0+fUb/lHamL84ls3yBCbG
sZgU4EL+rbTx7F8ALgi+qhxPmFKXUf8obaxffJdeB9WGy5GHb/vv0kZ6v2DyNi0qHzpFrgZF/OPJ
/+bH/nfIB02x+EO/nj65RXvHoQDxLPEXHz2VQEi8ruMci4gsCM+ebwN/Qm3lsKvnofMpsZIl3qc3
WAhTSpivPlktQ+u9cf4qdo4NYqRj8LhtbJB9dNChoqQbX8IjAvN4l5W5s7bGKTiVrrscCjDJmBHu
WccR1mrBuaWbnMTLEXwK2DNEeX5ckjMUvhS0jsW0zvyWMtTauoXnrdqnotxn8xIdcgI31gt6RID/
4m9GGOJfvCTC5DXnVaHlBTbxj104v/capGs+3gHD9Q8Il+SauItzVsUE25CoqNDsrqK2CrbTIs9m
GB3gFL0bliIep8o3zcwzhUWccuwlOi/hYFnpZJ3EB7Neqp03IKYIffU2k7x3/N2V99vb+3uCh8Xb
96c3lDra8SwbughQEJAAf2rYBZHIGB3E9TEIgzdAqyjEJXjtCW9NDhFxPy/WbTGiYOVcPlfsoLVb
j0e6s69lYox73IpACsJMrccRpqELyU2N84GYkS2DCAuuHfznlnzzvP4cqgqvlzAoTtlYyjBC1O9k
yK4udduyt8RyH1s1FHij+YnQviWVqbuqGcrB/J6u5iF8ZQm6ScF9YLrz3sQQPrtVZ2Orso4mSxzC
7KOVJvGV8u7CqCRGu+p7Wknp83JNeUtCINGjOTEvpOstam1AVtQ6ecnGksbR2lzszyZaMF2o4fuM
Cqz2iF3l+zj9sudZzbYNCRmy9EKuuh8iiqiVPaYbSTAfw4x8JeB3h8xWr/U48f+1tSae4XoyXhCF
UckK43vXp8YqckEhRmRYuMKd1yZlIpReGrVhb17XI1cLp21GLiZpD7Z6KgRmpGbKcVjxQ4wyrAnV
su/tvPgeBhHj5ZGgw4R0JX+2PgBgTQAkYVPbH150BAWCk7vu7mLHu7LNCuqRtjqkeXvF4ZF0h+Tb
girSD5jdlI3NwB83A6Lb9qa2F7kzI+Q6ziL2pKR8ANfy1rh/qElw6LFFv1UOs7pyxPtV90iE6lL0
ehTZwVHM/QW0b4ewxkmAixDiJJGo92SbiI0MABgSyXafGo+e9OgWNhzREuJtFgtO4zCdcobbAcxU
JyL2rFvsHay/D+QwkO+60d0E5lDslnIhOIAAcM7E3/LhmT2rXtN3fKlm+51eyaeb1dvE7t9cj/iU
oSt+tEl8LyJi7Kw4vm3SjjZ9P7yqGh0ewTk2LYvOnQkiM5Zt6PUbxw6u4NuCfDLtNzeOt1MpSEci
57dMxD6eAxhzDRaeykKBXVk510+fEiXj0fqwEW9F9W7BhAg5/XYeOHSI7joqm31n0NWdxmObNt9d
cU8VcMJ6+txacG1Dc/oAGUKd0p9SQtUhUnKvjFpwMK+Q9HKnMe31Zvc9mgGZGVF/dPICdwTcdhvj
jpe6T1kan2xjuU4qDk3RBHOf85cJK0yt+3y+HeLyIVEcQkT7LcqGvR1mO4c7iVij/r3zDrJo+XWu
0qfVQ2tZcPX9gCYPzSTXp/oq1NNCjwTpz2freV+Qwd8bkn9AkX0YbVQxxGFBd+lct5N/Fw/OW8L7
aSWkDAXxFXk/+66poU3Wp3oI7+jwfQ8cnkBhf9gznRkXQUZQBA9eUt0kPsG7ZpiUK8N5yGh1dzbZ
HpbwoS4HmFOXfIBUa/0kLFSbiSd0LHb2DFEc0zEJF4lymWiZdMTEQvqMRCYdt7jtW7d84Mi4s8gO
XS+cHVk1ZoYkmbwtyY0ntAJb+nA/u94d4vv7RM1nn5zOyvU3VuVl6Dl7bODZwHLtw1hvz3OMsF6F
pb3G/39sA1D4TdRCRPxEInttFNGjP6MRoxJ+rmitkZjgNKtgNC/NaiBvAIQBM+66ITyEC/CIFB0v
9/fclghBuJVoyhyDjBZQYm4123Yh62mocSosw/Qzy0MCs9CTrgxZbTvrLqise/2FxHffUrSLavI/
RRc8oOjatCNDnxgWnvS8d2+SOEyvgvTotgQSBfXwthxnE9F5bSHUrIJ9mS0cXn0TaSBpbKNh0kur
1J4ULRSdqslRpjjaCxk9BaNjcaDujwyEoKF3yl+3QNEse7w1fbjLnfUqna2dNNkmdfEluOUrQ33c
pA7ZQixh3gLGXn2YKGE3dTxdL3FBxh5AUJr2cIEjwPhFW8Ge8exV37lPbTMgLLNoS8wLTT1QfGuX
7Q27YcxoVL7IGMxHZo3bqRDjDkTWbVY1L0E03SkQQ+uwcF8soMRJ2v4gggXqRi9/AFGEqEq6ccEH
TUDPD/QkoiC+NPv1Q2X715g92QPxTeeRfBcTKUeEwdKxQ2fmc9jG0zqup7yEncqQWNGzWall+Jok
kE98r/gWPpU5maepSYinVeraH8kMC2N8lKVEfytm5zbsbAViIz+WWf80GSWmD3NmfWHvmS2ec2p9
z+tmwHGIOSYFI+tK51s6tXKTBOKjMoLXJmJqGSAGwN1I1FBoImHDXw8NNne1tkvQLhga+Ko9ad2+
P9s3lUj34+w9Jg7BmJ77lntQgvvcjzbvSRV/zDmWAeXID4eDCDq2XWMI1Hr2RFs77opt2oDA9JCo
/Bd157XcuNJl6SfCH3AJc0uAXpRnqUo3iCpJBe8SJgE8fX/g+XuOmY7umJi5mRNxFFLJkASBxM69
1/oWuRmbtumdx8XjBepW7AQ+eqeNosmc9vLRRn+Q6PSQ3TTCr9hY/UMCkBc9jt9cnCrVz7TtPhdP
f20n5kO8hgnLBr6nriPg3diMg854SvgF+W31F907CR0AoulM44TR1T42/GMfYzcve5i+nnjt4zS+
G6OjOxVolkr3UbfR+vu2+lxSq9+05rw3Z/OayK5azZgDi0sb0EN5VUR+5THitX68J+TBTpoTdh1w
JxrPlnWL5OOfheMse8EpcdmRUH5Bbfm2gHFjLS6RWZh3qreRKIjQ7fP+x3ro+oh98Pp+KCG+x+3w
uWDo4lTSvysXq7lWMWS23Tc484Sg4ucfemPb1cZ30ieh8+CW6+3ic6zIqWyotvtU1Ag52zOZa4+K
UG+bG2Kw2BYgtOrqVHTRx1XP3rb1Ny9eQmUB4EZFQezKMziFh6xBGJTmr5SfJxLbXhnF4w6xSYSL
Fh9wwSo6RI4ai+vt1XF7DADibsqCAKj1YS2HeKfcf/Ey56vLJs55eq1I6p9GXiEq/K3K7YMX3TuA
S+jy8cRtFSZEx0WFv+mlRx6M7xePw/hrGen1w4Pt9rKjceOQVtWwHxadIpRvdo/95EDSUSV4Fac+
sdQbs7ltq+aq+vkHuR/DCZv0YdLg4lpAVzemmOugUgxBe5meJvQigZ1q2UFzqHx8We8aB8SWt6Rb
uyn7c+2rx8I1yX6swbFiA+wQelonQ6IMlpgRxTA2d7ldvBrY6XfZCknMbVCrfWaQTAMnvV3UfknL
K9IzagUo3WFie69QWxyiZDvexgHvRa6/gLusqrTawszZD3XM5W+oI3XJcPAr/yuNyY+uFlrhXsaB
z5VipmuS4QcaG0RBA+wYpdz9NA/6cwWoGCV9+tSWIHFzn9lKU9n4EmHT0+3HG9odpxiJF1GbQRdJ
ixGTY4TTmmGmI4AoC6UfW1c7Eyveh2jdFyhkdugUUXlxy/YlSUiHkQgAyQVKzgOhm3sShgb8dyXG
oYXxTRElxaFPTSjUFj2UsMaOuOmVhMq6ftC9tDn9+eXtM2N2ztJBFHL7JgJFXAdV1Ya3b/7xC9Yj
kSMTlZH+1z9x+96sLyN4OO2xHewGRb0O8OGmzLH2Sbw4R22AxB2MadKekoa+PCDQmVqZE+b2wVyf
0O0P3b6Ejv5Ir3DctV1anaZRonC5fYrbkf0FUTlk6P6YkFOeKuwlAWJHUjIzUzs2pnFEFZlsLNdt
97dcVlcyyWIDF5+4fby4NgOUbI5ebYGs9Pbn1z9z++z2ELGB33tz+9vFGoANqG8Ku4iFKdZIJIDo
TFPdKHXer1bdpR0Y4JFsNsKZ5KbJaFf6Uoek5MOqxae8QE5ad0yWaPaW1h281F7OnDLJg9SM5IEe
tbHDfsT8q+0q+CotWmajy+5Jlyy28Nah8cW+z1W5vKiJm8IU9eazG8fgZ7IBzrkoqeaKdtwiZxeh
zZQiNDRbPAmTdCaTqEim9y1+M3dsApde3jalZ17Ws3apI6+lbgeS0uWZ/gDEaEvz7p16pD7aMYqF
NJHf+lKbqBKrbYvfbqaLfdF7a3nUyjWDCkdcAoZgpxmNwDbP45PBHd+pUfygv/CxWvWPZUmV2sno
NGi7oqN5lpZIGm2tsZ8TIzthyqGhK1Zyesf6UDXcKvoShRMIxOJ94YbkZWSuFM0oz+26ztreaG3b
WD6Vti3PpiHdrYE+nZn2dFELmymdeEPoHJVxdmh1JI6MH4wpZa9eiSN7fPvYjVH2hC3Y2cRcMpQa
1a+xv1tyyGgwMtHgaGV1rgwqsayNu2tM/3CT4EMODXc1aTF1/e668VONxYgGQDYh2xvjV7VUv62W
9VuhYDEm2SNGjKzTPKofbV5Oe1e5y4VTBGOeSYC7wtNyYJBFjel6Z+Vo7nnc3Djic9/QPCmq73Rh
2O41/vxgO+Mjw1HmCWidRQ2otKntX8XkIlmPmBZPTteGTZ9m98Rnp/dINuxNFKP/HkznNC/t/Ko5
mhFiOma1LMxnASL/NSYm6Ii7pCQENMY30zmP0yytwMuJAMClR8VaZZ5516wfRt1+nJXAI+Ub+RZp
nXlNXecxb1R5SIcJN5bWPPp+dK8yozgQkd2d40ldC7eoT9Tl0bK4j15YEST2LA3Lv0sL55DETJDZ
msC+Rs+RSWGcVGN/T0la5k3Mxx05LN4xQci4gWNI5qvPXVVvvzPgaCDnkKBIHo1/LGg428w27ps1
Zd0uYUQ4xRSkwnqMCeg6aN2QsEUq+kPRoTJTr0ZH42GxHVzkSfyA9ruDr0h+NK3xU2pXFWFb0Wc/
5g3wNjKeq9HdzwmOwIVpLlrs5ccoJ/SH/V5b5YRDlePE12uMDd1Wds5O061rmSLlT4R1dNXU7dyk
eosWI392K6a2kezOqmELqpdp2LicEONiaZRz8ZnwFfx7HOFp01eRAt1Mv8Rzpqd0JranFkwjWjsX
B31hH2+IBvhMZ1qIHxPtHNnnfmRwM0jQCvEwfGVFzyB+8n5E5FCMeJU30yL3jZrlk+TMTdq4PBlx
HS7DYh2NBJjdiF++nBeKozUOfZHpu5XW43MbM1nt85Msq/gpm5v7yCpHeuZ9xQaENAe8alalnRtv
5tVZZcZI+tuiF/7OzxihplnB4IgQt6R3JxoKaJXn/mzDTDljoKjkk0jLx5SSBr6HZ4PlmjvGUgNT
qoQ8j3NCBBf1dLarZeUdI402/eA/6HpDGHpVaNvYne+jfDFPsrBLThvT36e9j5naAc1nS9KIdD06
2YNTXYWmVl+vfpFvrdTS12Eawpwux2ME8M6cKBhLXTzjJSexOy7sbWUb25b0MawTlHYSFP7gqDws
rc7cTiIqw27yPuOynPcE3LTnqVhCVyw7hnUiXCNxcIvRWnPs64zW5DCKke0RHbipyPxDo4OIkn11
J/OrNLML/MA1RkpFpzWEqG/OUB/b01J0Z6AY+hM9S9gfnJwE5SqLXUHr+yd3/XD7LE3vmpZbstZq
qObl+ukk79gCR9wdE+0UjxljthFKnN/MDOnpJaFh80VQaBWIBGugbaM12gnfyG+0yDNQF8wEGf1i
BAr+sCU/GXO0MdQW0djrp0jssDnZbXEq26NXKT16wLZthYjRe+oPrrWBDGQ15csJjUZG9lcGTQ+R
yylhgJW4A6PQCLrT7Z9uH+bO/zYNtDpyGDaIWFJzOY2uCWns9mlet+lRh1ejI9g4zeuH22emmBb2
gb3699f9zMRKz0jayguvInm+r0+3zyr24VT4sOdOzgQmZs2muH1jSCEtoTFzNnItXFpnbE5m5vgM
Exlx3f4tupUuf37b4d6/jTsiRybSrUTuu3/53dsfuH348xf+8aWuw9DYKJkhB47Zg/75K61LPRtX
RAb/45cNT+dXbj/4x6dGQ8sWhFYZ/vnbf/mh2z+SITViem9XqNZafP3jb/7jS98zGrbAifzj5wgG
JJYXE2fw5wP84zdu3/jHv/35pTFx5aa9vmvWapGFMN7YKGC3UZ1aiJ0dXDpdnWTb27db2+OwK4xq
3Aie05gpqlPj8rp9cKN0ONE8Xf1a6z8yve5PUxfRuouKekt2NJs3pyzHkMQN7qKz9kJQ8avjl4hx
1jOA6+oD3mUH+43IkC2neH1irME3YBYV+NqmeueZxYvfLyfi5dq9ZiHIPONCpynAYIEWQFOfMlt/
n6rlKEf1mZSQlkw0iTGzZrM5VaULdG4kqiOZhcmSQZ4IZxEp99TpYrzaOTAymTcvaer+TurmwRfM
cC2M40b8E6grEe1jziDa+S2HsBvTR2LodUSxqRs2Tnpk2/0dVUSJpskDnmL9cjoNJJSmgzKU2s9h
hV0tbhxkkJy1dvrIS8SVS0M6RELSQuDGHo/ezxer1n6TIwL4w4DOZV+zXL0m7UzUsOk93iYIGNbo
8BbqA3lbGAMtDxyzeZP2l4fLAS/O+FDq48Esj6NOB0iXKguTpP+yga6CCzm7SU4+Qbw3jfjdXF+z
xriCZCjT8M5E0kUUiGuwsQrx9z3jWt5NQy0CwmAQrlZnNZFUWhLOBdaiEvaDKYZvmJathGZ60X5j
5vksCPba1DYZWan22WFMCf0ufTDb6cUzlita1ulg2Ph6pV/f9bI7NBrCbmq3PI/yU9NHMZE383MT
O+P9GIGOJJMwb3MSZEFdzVHXbTrHurSxha7V6ak7C8a/Lio+QmkTElfZDfjFdbJwVLVq2XlnGJBk
Q+SEr/v0Ifx2IaODNSmwM8r/WGuf+/Y657P6DVgKQ52PG/Z91tSOQKsjKeL3rVAHf/QvsBBZJq21
PL/XvewVRwzstNp/cacQHxgpuAEkhUvL+BicTuj37yNaANqb2ofy27t8NPJ9HdvfmuwbKqu3KUIh
H0f4j/G3nbWhA9aoyFahifDsIVDDVNf8qq2SpwxNgGjxeG8h+Ic5ZKX4fR2x4+yBQGq2Bn/Gn8OI
YdI68gqGhiFEadVAYxuM7hZZljlE851dU8jH60bGqesobMtPieo+WExiXbqDVdg+RXTFyGGlEC0Z
B5DITPpPM3tBduonb/SD+Rk0ElKMxft0h+LBdm104OQxMrlHP1VHT6Zk6F1WeRzQUnz1LGdGbRRd
05owVr37xqaM3E8KmHLkvbMBtGxiWzymFi+4wTXFlb6QglZ81WQ7JPlLXfi/PUVmz1g3Jz9HhG8t
OeuBb753uuXgJZlCYpIy+Hz0ZE0grIvrQIfS7Sl06d+bb3WBf70uXRpBBRQ20QE/0FdHAUtKfsgb
4niZP01gcEgUbc/K5bj5cf599vXjMCEzEXRNl1WmVmkCPcR7wU1uZ67XWoMWe2OeGmHcr/9H2ZwG
BaUrDU5rm/fcXzUhXznhWWmQIIZE2OF3wYQla1p2bUGXgVxlPCVVSiEE+GrSgUCmGXGAyRLTYqjD
VKGm6Rf4XtKM7/FX0dSh/UuFEN+trBHiSkKyB8l+irlzF6qiUfyjo91zBt+bYD2zZl6tnHBndj7j
W7WVXv5d0h7ZWqUkkli2L1HhVgEpPw95t9Bu0r6Xk8uACv4A/mIads67WRNd2K4H0sjAmy2ihItj
MNWKXkZ7fu+E/4GEniZfZ7x7+1hOJhqnCF3t9NUzh5R5/pz69dZVlQfqJ76uA2mmXVhMeiTiHvIU
iYN965QoSd18HgMFL4ugdEp6I1+QPIoyC2aVHS0vQXVUlvA6bqiV3k1Dr6VSl6SNTz6hQBBtd4nN
fnCyHB4QBWgn9Mde09R2dNoPs026PXAZNJ/6sWOQRsINp6BpM/Ozf48AXcpWnAX5I9PasO/XK7Ia
jlVRIzkbUgf38Kr80z7MJLvLi/pDrv10c0QjS4hwfb54PjHSow8aw9KIG3cO5DY2x8icwQ2doJ1B
nzAM9HO0bpC9/Iim35NGcnVeWWFXy3tlMN7VaH0j+lx0Wqe68xvrGg23htEBHZmgL6pDgj7twM6J
gFw2M1PN/XYOlqTMd/YKxBtS8SM1mBpn+YdVmMUWYg0dwawhUyhWT4v0PjAYXxpNXN3cAGXB1WAa
yKDKcdqCdPrZd0O64fqW2A54TgXE1Eqz0iCqnIcsLwd0QJ2/8aYec9O6T3IIY6eCyAA581bYrwzW
CEv2ZclCNXNCRDqoMF979rgsNyVcXGJ1SC0g72k/WaSv99qh0L4kSAn6Bkx2BkHYuVHGXANT+y0v
Hkg2W8J5USZ6mgDEr3kZhnZCre0Svn6vQ17DKTGT8zsQnjez8GUUSe1CcUDmzuE28P9/rbe5pB+y
7urf/d8VNjfhyJ/ym/+PVDkGoPv/VpVz+ZlWX3+V5fz7N/4ty3Gcf/mWI2xSR4TjYRTAivVvWY5r
/Ev3dNDX/ym9QbHzn7Ic9182/mGT+Avd9Cw0O/9LlmNb/9IFkTsI9rjV2qbv/p/Icv73mAnXJaWE
P+R7+K+wRPxdg9KTbKv1k7YchnmDWhpftLExe8T3G/MDXff78Kod4xAurjiqeHM7p/4QSP1XIhJe
4N80QR7GJUegIiFHYLVP/uPB60rUraNDYYcTAi2Uoeq5UPcl9sV+r6ebiQ2384Xx7P/yYVcTxl9M
FoMdiVGmPKz8jq4gKR8Gbb8diEkz0aWfRYPb6H94yFUL8zez8j9e6D/yEnIH7BeFBHIdKxgWSLpM
lLcxlus07LNv//3Ls92b9OZvD0diChMjZg+6axuorf7+AjtYkVk8koNx27knjrt3mWROPQNwC2nU
Je3yZGvVsAYcP6aPb+XZxS+x2ybcc1C65jTzqwV6duTtEI35AW5VYttbJKqLLEWIOAR0aacPu8XV
3yJ3NDZ1ZpAki0R7yOzPEbXPxBu/sRS5txVhGKG0yn6fVxzhnCz1JFMPkQaguszUxXYoCdKly0IB
0STEs7Ib+S/s9GPS1/rRrs3nYZ2SLzqLH2G0Wwm+aGM55T1dxYS8BRlWtnzLfUpwLZ2ulkcXht71
y+QW0ctlSGmWmE16UGrRSdLV4a/C1Ke1ZBwc+bObqXcIecZdBjqjmq/EJxFTxg7DLsSpw1cAaqG7
uIpNmxA0LoajMvsPq/bvTZjb8D6tL1EOl7Rp3y1zvCJYDruuu2hCvc0m8ygXEC+VpeEGnROFcFGC
QWlUGR2OmUWM28L5NaQ0Z52ZSOhlZBzjDeo6dVkTNI1812OYBInJZCoFhD5rWHlrJs/O5JGxVx/a
/ANH75el8XvK4p0wcxzYgP43oEcbVMJlYFTLU22QuazA3UmE+lsOG/ux+XulsXPNy21PsRUO9IfL
wsAUDOq7qZly2fW7CzU0S/OtO8xfFCVXksNA1NHGlNN1VmifiqjZjxUcCWivX5ZVXuPmE28L1oC2
CGeiKTZ+BjoYStqc02xxVfMeTXicXWdnVh7cHGe8iqb80lUNNr5f5/zLV2lNV52h9lw/OlBiGGWB
++xgoDSCPnVfbzwneY4Fy1VDlbdUGj9S0241OxQApPvRrlDhsBJTSwcOYmFZIymQHDWvQavr6L87
k9d4nIggYeZgf2kuMm+jTwO7xLSda4+RqeBwZunvLucVEIlps0vo73JMW1iSF/pyhfyeWdzYCRj+
9GvkHTidqCPy/FTm/LSGRUIvgCAXMeeciWjMdxi9EegTtB5PpLVX1XO1IP7BKZHpmXkpfPdAo54M
7Jbn7HYYEwz5TGwVYjHDuKuhWwQjfnK0/pDkCwgifUHTAN0nBQfnD+xpvIwFdf+sh2mEuyDJW8kp
wy+M7f72Rvseiw5QEs/3HvlbiOl61nhIWGypaMJq9qrZIDM6UZe4MdGypH+cvpXpM7lv6w8jc0Zc
lMVTPFP9jTHusd72nnMJIn0qeHURQxdUR2jwQLAysXfy43reTHP1mpcKa7mglin6d6N14qDTRgJ9
4Y7Zrq9h+5Ez5h2dB3Bx24rha+0Dkh6jHxgH7Lh8z+jeMjwkICwaKt0xl49pNcEyGbqL1/RXrZIC
sgeH73bm6YjZWXex5sbNu2lyGRYp0TQZZpBU0tgU6xVXu2xL3L3eJjt/JJidLAp6S7aZ0RqtNzRR
tnkck1rQU5IveSyIndBJzuhfTJXd56bB6Jwr1Vg/WPi4gg648mCjHfcddR1djnEnJMS5SqKDGp4k
waubjAQOr4phvGlQz8dvEbj87SCUiwIBuV7cTmDDBIrWmOZtNJTH9XTyao1AI5PFLO7J0G1IwrS+
yRYQFuYgeiCl8yRqbZc5XJBJTupOPX/rm4bwE51LPCEZfKlY8m/LUa7TgAP+MJf9ZRCQT27pG2XE
i0LCozs8SBbbX33HQjXOvCOFx+I/kfZporFqOBRsc672YlK/KtZi34eL7Dwn1rzHxX0FQj4hw6mf
Ujt9oi+FAae6amYudzKdU1zHq/2Qk2Lpd0QtvpF6eW3H+SrhbYZa9ACOqgn0lB5fnE1XJhC72E1f
BhjvLKqgIpX9xeas3QxqXWNk+S5TcW2r7Rg3jCmk9VWTLGIKzkbWsqM+WU/KLmDFIE/129/+4oYj
zbDYXK9jm3d0mThcncZGYoSHoHslqRaMTckUgbCklado6S6DzqEoVzHlkN2hVyP7YV3cJ401yIVE
6PYJTJg8Q5Gg2Iun3H8CJP3QPRCjLUDIyYIyv1KyNNnrpuTuPCDta5f+25wfGKdMnP28tNjLOqQA
87Hz5ft6SBAJoEOzV3AdV1OZF3OQj8vtBRpaAdNlSE63E140/XvbZafKJ4fdX7YdjxnMBvdRWC17
t+t/cEfGlWEmWwa0K4IDfwe2uCfX7i7c2t8TK/4u8wQeumvvQWzld1jfYB53W8NPo70PrDXswX0O
svi1GE4TZOuqJiKUcdCQcBJJBLDF0stNqtJtpBRmfZU/eQrUU90QHto3URYot2NWgwGb1GZj60ln
byTiTjYVl1AiZzTc5ZOsuCjMST0SAXdP8sWlxYpHX5pFb73zJX1xIY35ydZqsovqBNAnwOUpj/CY
0D/N2S566tpMbrnD0IsiIiOAr5/83ytykYGcGSalzjS60pGq8BJ6dPdhIjCmLB5yTq7YE9i3EvbU
fPVJtsicVN+yymr7pilNfCFJHCLi3M3dWarXJcYR7+YPPQCpsIAHFKIa/S5beggDJt9NAt6sdTFs
QW3euPgTgj7uiq0OcCnkpvrZiWXblPZjlpkGN8DpLuf/m5xsjvpDY47mG8m2oSfKfTFS1kTZcFZZ
P5wzp+UsFbuxKs27RYP7ZQ9avklTu8XK9QOpHPzbWvFQk/muDHWiN0I+EABv4gKHI30BunSx/0Ai
zFOyJBprrP2TKT7NmiIm9ETBJwUrDO3I4kUllcfhLJxyl/n567igJjUdbCt5UfzS6hxSnoOZ1B0B
TUG5R1oFdyRsbXpUOLSY8MX2qTN5RqPqjxm4VQKElRPE7tPgRL8wkuRB3mvvGnp8brQzR2MeDwhx
0Cx3KOMUWVOm+ayN3hG8KyEupmDuBJio0qadm1HA8VKasJSwIvRh8WCEyztzaR8szLpnyCvfkEjI
3TgRfmLhEwLiNolRPwC7L3eO0YRNlTIBcy2dsgyEeGvQIiagPT2AI/tY3KY6ZRZh2CMEv5FW99yP
r14/2BvP1ELuDpDVE91Do+adZot7urSVRpLqJ6udOjvjdBcThgxqjngjTw2vGSMrBsHRz7rlBvTH
k0hbEPCzOGCMMBHh+lP6bpRkpbe6wuRqFYrrI6E2qGsaz6lvol2Pd5mmv2lrakPaNwfHmnQImT16
br1BUES3GUOg3NdsQmEV06Cw0mcrcUuUZYyUpWlXGD0NY2v50ZpwQfnTjJbcT5OHaQhOeWqdJPfe
rI3qY5rRHxfucardlbwmwgI2yr6RobFMn6PLRRUlRnNhqorMxKIoYOK/8/o03TBO1w+9SVJKQQ9T
a7uPjktzWzefN0QzVNAP24QHOS/uvMkK0FxoSuBDwwnNZsB9UxPmYvpc9NFAlYkeT0tq1u3Vhrsu
ua2G3aqwePK3M4qFInU9+mMiuqS1k9H+3kWuxD3G6hHPd4ZqnI05VMjx7DUzoif6i52EARYXBTcJ
GOndpEWPhfiMC97sDiP4VlTVReRLsYWUCd1jWhB042qevQjHXZr+QqiNJKZM2YFkzAV9R9v6Aq0C
m1sqG48shaiCRbdAi9i5MVPawUB2SeL3NV0H7ED7tgW7rwALtIsLUfxcR0YUW8fFk+Njmc4sA6IM
RBztI27hu6xzqK5UDyeaGzHTzF/sikYE8lCMm9amFi4lo6LBZ/8Qc0ef0Td5DER6q6nY+ohdpZvf
hIlksTcgyUumMIFR37spGSBWYnCsomUMmiR/bvQer/sYveb1kOyxeA0MAClbTDDaO6QYeHLMwE9y
VsVyBBogrDs7zX8llaq4t0FmM8sAFRiJebZ9jxDyc2DDGrht4e+JVum3HtstYCqfZWwS7rMwyxeU
tsiwUjSWvK/IAWmWIV5xRIcRnWjFQM+Ht8IZn90GfYRRuxyXKDnGnuQsABj0JJM5HMmQ3iZudo80
87eQU7QVTcfGds6uFkPmHTJGRcAygy0Iu2ZBukTqWfXOMMf23FFa9EifdOSgoOOzLTWls4kacj6y
bmCzwQQtcUjZYqewI5am28dutLPkRD4PbqU+N0Qobe0lbdxnsxkddhNlty8suv8Ag3coQqmaMRy1
sqOInZtuH2VMWkR6sciFji4FHilYprUkUChPwmo8AYJGo0+DPcrRv8TZwp6DNidil+rIV7/cpU/Q
Vjk75Y/2Nvb7NkzmjNVmRMD75nuqBxfvv2CZ749UVvWmmBwE7viVQ7TeLOFK3FEIl3siYQg1V/6D
WojcSWkZJIOaA6eTzKRRfu963XwVpv2gedMvG4VM6Bom7298nylfHStJtV04al820y9PCGZmAFgD
9NL1Fmkpe3evS0KOLqd7r7YQFkB/Ieg69oputGdLOs/OxC6u6++mfr3cMqkOzuCEyOq9DSlU/rrb
5PT084yJ8BoiIyA+q/VMK5i4GQLJcmsi4BU7lbBjlIaP/JzVMljYYxARZZ2GacRuRa2ftJCmeasS
etx0ILCM4eVE87QbO/oNJAJpsP4hPiEGZe598L38XKvm0hd4Hn0H/W9EzZciiUps3K16smOqSd5Q
Zf2ojGYrGZuexrL45WrJu8q2OX1THdEBVc2mEe3Pmo41K4lxyg37RNDdHaS+7eJNe21sQefnJVly
7Vc+z0ebW3DgS6wOSaajG6s5f+kXHpyu+oHAO1mTqI5z3TzVqfaziUuXfjmbrxLr6TgznENYsnEo
cxgg+s99MnbhA+7TmTNWfpLCAgOsKegVVEa1d1OMJ7lLzMfAwLOunwfBTjbq8YiYdf4rs7BL6Khx
g9lumJSb+UuFX+SQL1jLo+1IFnXoDLewIeaPlb4fxTdtcqv9wkx9FxnlvenRAiPUDYBlX2zLKhVb
rQ3qIcVv3wxfZdc8j2Xy4lbRtyqLgVAVsONIe0MRV7Cooju1dFCcZWLLIyrmNxQt2L0rBgWRtzXp
RzH8ZHzvu3kgc2/BhGMFRcwz4OjeTfB7kapcLEfC49LrbI/NezcU1nTEi70tC8c72IJkw0UshzrO
LlpEJyXjbaOqtR4breBZruxzyO4bZPD23maHgpa+3JVFe9Ur+icTloRoWj2J3WiHcVM+oh5kZaab
tJ3RJm/6sfLDgcJ+4ygWwQjnO6Ecjz1QVLpDLOKD7nxzKJJ2xhoXKgf064iEztD9jumjpnvjYU56
xgnZQKangxsYh1VNg67hcJldTI3kMmorMGBvgHbv2RyNgd4a0amIJqCOUViUeXVgFArpyXOvzZz6
u3V/l4sW2G37ZtLBIDsuCZKK5S3LvH2kI/2xE15B29zDunRYXYrkrsgof2ZbO9W6+Vyobk0400Mb
W0UwlvN9jriVBYVMFSt19rObL+DL7ZDsBDSGHXEOc8oSlkQpQyC7g8W++h6m8TL1E2pL1LhEfyzd
YS5nhbyzng6aJQPf4qu6aKy3IXPvhlapHT50JPhI2M91DsYa8zX5k412HEWGGlXDDmGKJ6u1gF9R
BEXrUp/r7kmP6p02ZR3XHDahxI0MqF10fq04LoNWi8XB0qeO4Yv1K+nkK9rJB9NNmFJFTFf8GQ0G
4s4d+DCby9m/qHKRx0EVx9E0H4q2FucJAbYdt2rflNxdy1kP5JjQcGrPLDhs7Nd7tTPArlNs07KE
XZPvc8MWXUKpG7lggF09CdXSvtUL4JiB4TYYvDacFrbwhkSlZToelZwbPRKWEpYKMUOpcyE1ZnEn
MXzV0zI/kAX2FmU1Zh5TR9U0J6eGSXZQu5Y8tuq2LmbXcX3ySMqjk9PRdZV1vFfRSOKeWRbYbWm1
tuItAgS/ZeYdEDrx2ZTaj2Id6Xb5VJyWnLtCIfytWg+gKeQRcz95ZLW3a/wMAvJsQ7wm1wyunAxG
1l4jicSuq/xvnuig5doc0wpP+lZ4+a70YAVM9qmY5RnP4BOYGSi9PndMNYGk6QHd0GnjyFQ75UAC
5KzB65FXbCg7KIu6RlYvUAmMc11or+dXj3Rgr9uY61AJF1vFmVNoWsf27cNh1noqhUnEHP3bosKm
mSZhLmO2Rj8caag7YmyKedpPUh7r0tBR7NB8rBaQAbNR/K4chEx5AhBEoP9AzdT3287gnOfkns50
fD8FAztGCzwzgLiXwtIexkzCe5zuqgrj3zKZ+aPdaL8qmMYx/i1Tb34i0x5By8viwK3IOMXvjvbb
XBp/765+tbhDypbUJGeJLEZ4MzJUcDdsgUwcy3NyMSSpzB3n3Opx3tPtfUot8phsNhA+StGg9fPP
amJ9x5uU7atrjVWrBO4TjEIndcht66CdqNjyyEPnI7BGGCggOre8E35Ce05w/iHguifbDiGyWWmv
bkX6XIouJ+j1JNkukc2dEVHmRjp0gnwwbnobK7q0YJvWv6z33muHIG87tRxeM/9QChutP5fISX8u
nQ+JAxOfoxF7lhg+q0nxK9X8MvDxuYBmAWE7CBQI7toEXOiN16p9UKbXUBJDYCF/E3+HjZ4Tyvwm
MrhLGLgr/cJ0dtJwHpRGA7rXj4VfY9EtX7VPEUXnZeldUpwWlCaJeCI9ZNc3FhFhmr0TY7KDznEc
7PZnK44zfCh6pGzJOxH9cqJ0F2XePcXVzsdpuPhioCzABRM73tt/EHZey42jXZZ9l7lHBLy5BUEC
9KREipJuEFJKgvceT98L2RMzf2dnVF1UhiqNRBKfPWfvtZVR2YPRsntjwijRguHQKWNXzSZrmO8D
78Is6o+kRvkeWyyn1EY7u1kXdf9lyZSUIyk9wZND/BBwcI8bYgyfRv2g6JNAiX8U1q1G5E5usOe1
tY89pTkEpV8gU5VuAlmRstkETr9cMkJk1qIWXoM83Gp1IVEZCPFIJsrDx2esEuxryni3xk64ckL9
QKpjT930IO3xQJ/g2kgsdoOwK2FZ2rNcf4wJ7fuhLBbRD6LAsfigMPiIRuU2C+ptSNJN1A5HGGAs
ZIqFV62MYTRJ2Uejz8+qkL+pNb+RCPXeajrRmYgToABWrnUBjF6J26dhs0xmTViD0MU/Lr22FXjr
MrIOGWMBKkjxSxFEiffNelajOlgBhZSkdzrvfCwqppyW/U5OVAqeBSt5l81LLsVKIxtg9XvfgRSB
ONdYpdyvRF9lF6nihnsMKs9gDI+oGdYS11qih6CHpIjYNPWp0FXrWfFbhHdcAsE6oYyo0MM1ZuLW
5Be0Gm0WPUZ92bdy5NTbiSm5soi7QO4Ll3QwMwOSSDxci77yDGN8l9GecdE+N9SXMB1jgiz18cJF
0qB+7kEop9Yk60dyqefj1BiPWdNfRb2PiNHi6AQje1ir+SlsB5C3IB7Rx3NzF4OOQyeBOzoKi+W2
guRmueRBlaFQ3XOkA6ITCtFnnUwjCByW/WihMmbQ4mOVu988VY3TGgaJSFbxLPWKedUwFq2mYIxB
bU0lfs2yAjDUWtchc8Xse+itz9xULoLMNNes6o1sAIw9eKZ7E6wVrMQwhrueWhOt5ICUBA5GOPXE
1ASnz6gHBERNebnYtoqn+SC/JaZVqkiKbWRXEy6X08UskGOI7iPRue13HEsMybj1UvBUYyOHgzSE
zlTufh9YqooSkTT06V4Trk0e145QGZcxJi8ezE951cXtkm6dDVK0aWpxgdBHj7irgp0gkV6STMpG
KMRwD9cKMG6t37VqULHoXygLRG7t6/4+4+yi0mKqqlL26ix56g1SUXSz2xbtArdpgthVJThks3AE
DXoLp/GrIf6Z0ElEnBz2arT54UoYMwuhCS0Yn9t8Ny7km6Zg0wWcQmC2zkrFZ2aiuaMAWN9q7Z4J
UbBVVC3wBBTjziS1lApqIGUl9atqOaf+3gsDgW8QY8oxLHaDUT8FGlu22SUnZWGdZxRV0T4fK8UE
HarlmL5K4wbmrGE+h/CrLDLo/Ybe6EgbUeTh/V7oUSwA+wf21WoYwqow+vw9dPGmc8UXU01EJbmc
QEPKfoPwk0oqByGcFWJmXkQpbx0cFKdoDjYkM8Aww/1o6yUmxNE4mb1IQWGZ59xXfpSa5y7HnzVk
Bzutyp8uCMnH49taDVG8cVkojj+F7u/R0KfWzVpeY7Ect6pkdlqT0kVVLCci6ohVXBQOGZH0xCYK
oa210kvavQg3PMjNfMuS3Swk3dCB7LfpJFNfIHkyimvrwxpok0IJXpepOXkxQnDgFGDbRKlbFqI4
d3yVegeq9munPisUFndGMVOgS9csP+06SruZ4j9XNdFcWzO78gxMZClWcmUXfuJ+mHbShEovzwlQ
NAzmoJLNnE94kTL3DWBVgtcKv9X1s8fdi5OjSIjzKP5EUimtrdAy0KTvpFb/mpvQ2ilNQBK0rBI4
ahBv8furruklEqhkiYb+GG0sH7dhZ+YY8jgKRCJbBLzCwVMVFYgEp2PM0GbuINK6Q2VNtlLi4ZKQ
BeZs3GYIj8GS2Pk4FbvJZLUOpIcc+Xv6lUSJ9UiA45AyhQzr91xi592C7Q1W1BoWogC3HvZHr8a/
pZmiQcEii86tmH6nKrvMqNcdJQXizHyZ7NNYcWuRLI1UfUPZN15nbeIqGV1CKjMbTO9fuQgfDXoT
XRuJuObOf0fGhv+Jl78qs/dpIPO0H1A7x8YxD5157iziMNv4BNYd4ToWUg5K1SNPfKpRXKaEHZFx
Dek98evEK2dOdvFeq7nbYXdzooRLK5v2odCoLEDJbtddVaJ4K/RfAw14Tcbej9SgWGlmsMmHOH0z
igpiNhvarJ0VYFBseLh5QyXu17TB0BZG00/X9vu4xSOGLuLSc4+wtah5w+PoUvr/WsKShTaXIPWL
lN5Cwiwyi75GFECUMAL/ESD0ezdwOSotOc/zrahIriFy4tuiL+8IoMJU6r1lawAzUCi1qHHPAZnW
qqPGkb5pDe1dXnwNYlLMvCiu+zmlcymqDmUOqYQ42WZblckpKyvZzWWopCBWFud550p+/yEMeX7D
I4FNLEld6lr3fCqL7RDJiw6N8r2SKCvRov8ZKeLOb0g5ozB2QvIYe5oSTC6nm6UKTjaLWqohKux1
Xqr+XeZ6VvYqMfR+eJPU2nfY+EBV5pO69fkP582J7vjOBwNJbS22yGoyj8RvtfsyI/sb++yCvpDc
gdHo4EVVN36CBLQAqepmAs1PNU8OSjL9yDREnK6f5p1MbclVk/w1D2l2WjLMPabESHDMBir0QHq1
ReBT4bukHnI6kmV3jEl6F2csULFepHRs8a3HQieiNomQzwaLdkJaayrIN2vKh+dSJN5WJ2xwy8HG
WtX0+kxjrp4MdR12YBC7wroMMoVOfR65hJu6hwgxAUTWnxN1kHblnC0J3NjOZrg0EfehoNLMjZQa
55JAMq4dVtjsfv9SsIvvFCkP5TVKg//3pSwywKRGbVE0l6q+qfLm9N//lP4hf/T771ZtPSuvv79D
JN5ABNgpYgVuFtheW7VHts9zpB7Pt42zNtoosX8XA8CAc368wVisz+mgQEjLA8XlZpOt/B4LVDnM
1tViBqyUUsL4FZaWh4MsEfJgNcbB2QpxDTzpC3ajaXDtTQaDJZc/89b4Tq5TIEjbqE2zTTn557IZ
yAiw5gvvIdqJJQQZgi4MMyLmTezxYskl4c8mkVy4lK55RPd4wUkigPkG5glXSFQNhG0J/X1+3rPE
hj6bwjOAAeKfrIMwqNtcA6Ufl+UbouyWSsLwFhP0l41+fxRJ9YJXqGaoA6KQc41yDGq13UwLylKJ
5vtYDt2Gvn6+UroI8wFWSyviE8nKRT5NgMERCiiZ3OXolQV3PZkjUxbnQIeUfR35CSfr5CnLinpD
yNZ9lBFmxH62W0gBrM0jTzDrHm3hH3TcG1MCkkiS24sOnQZX4oDmpKn31KRy9GZ9v27TXtsJGPK4
UiXqVkH3t9KIouJ/Qd0jZ0+M4ofSIod0LX1AVSRf1sDo6KNvJWE+6KiUVjaMzb2YLTNdRZ5nKWP0
BCvi1A+o60Mqh2spaKwdXfxtBQ5kPcjASchjoWEfOLi2aLmLOpK+iV3YQgo2RIO5MQylOXUzJ6ig
aU+KKGfuPJNZSxnNchvaalQftO6OSgewxwwzNpLLLQXA6ByKljekq5Yb6a4Qpu8pN5MHggrbzKVd
HwbjNm/QfkQh3eZqwRpMGrW8vG974iDIsEtyBjtqLbtKiWfvmpDWV5lAI/V12e5IWnaSsvyaQ/Lf
ytB8KsuBykRJF5cU9osaLzKkPtTivTpqmzSrcbTKeuYQ8/kjxwNJeniGLHp3xlz8xApBAcP0qwvx
LRiRetAMbU/vzaEwRDFSUqqlsvRAlheugy6/MYi1kzpJPifotIZEP6vP+sUUou7aReBHZDzYmL1i
RxEh6zWFrzu6NBjbPIPzZBABk9Ld2tXoUZkqvXH0QVe4mpFSNONC7tXkcO5jykVbIlStXd/71rZS
mpBUA94Gwz/bwg0DOy0WDXcQi+Tgzp/dMZGVIzlt5iZRekJOfDrscXhsKtU/oYeS17UcixdD8vN1
XilgDun2oHDBSdoWTfAEU1hyNEnrn6jAkjAmaMITWGOnFzjOm0E2PrcqrfVaaKNbpQrqSsAxeOus
aloFqpHdkewgbzYKDsAhZCgSTset5HOhUplhiLP9+mXgGgO3NqlfrLpmhGtR+RL4nE1HsctfWjDJ
q3LU0xdgdwmVAvrCYl2mK8qX8UuzfFN5qsMXaqGI5qQkeMF5kK1aDqn3MUdEgEPSvLMwUZBvSuOO
vKpYkd9RX8j0W0dTIVPhRh5l4slEIcD/xuEsnzQfb9cYvXaAPzCX0Fv3LYHWYiVciObRtpEORdgP
1P7UttFwGvCaH7qQPuby+201tOvSynr6VIZ2bKR2X8eGJ3W6+dIm5r0d0EXm82c6DpHTJUt7QcAJ
nZnBWzyTMZyGaMfVoDEcfVRhg+aLL3yIoMJ0GbX1ngchjIXkoHX7Rb9yIsui1ihT6ypULnqjtShN
R2T/3P3IjMPfkX0I03wQRam4xHoMwKI8DSRqu2mVGBesFich1g8LqdOKq/Qp01iO6QDjnfIt1rM+
RxfF6/dhv+yJm/fZiOgIqiVKCTXXFsEOXvYirCmAC+s6CnV0AUZ/1NSe7sngQ1aZWwUEa/fUBvEe
9+vsVs1At0ZLLgD3vQ7nFyGJzHt/ZpHve/rJo5IefGhYK2x0fmXoawr7nOw4TrEJtO8AsGePJtvC
gqm/TD+m4JaQ0sWqHaQlKJ6sw7GeZ9yP8I5E/nKvpUuyGpCDsriziOR9c6jIISI1o6Lrp7tzgBAL
IViJQICkWzMkFRoVpb4EnnNgT4kxaQ1zPiiarh9jDptcmqyNqUzdHvSRaueUgM9GER/ofO2bGuCK
6pvYIcxI3rIgjB7DT+OFnYV+rBCxzpuhjyieQ5fm3zZIQQyCWLQ01LxO17nTj4thhnNIOJNPaYIY
4eh3b3SpugTTSBIeRTGW7dlVimracRWSg+hlnvv5KaCMcDAqtC25AuKiCQfiEQk96CzR2iGJW+WF
QmJnmLKUBPUq6SqD6BJqArzJeZuG7XwxZuBs5Xw0RSk5Naa+mYZOPaRRzznPMMyd2uNjJvEBVro4
EeC6mCY1+UxXEKGqojxIXfme0voeImRmZE1nKC8J+g1JOQozK27YYKtoWLW8lLhjeyyo1QJ8PsBW
pyhA6BAemeGM0GI0WI7hxGQ79n5/PelhvhKn/lGM9Ecm0ZrAuhFvqY7qsFd9rh6ycW7VDvJCSMOm
K+VsJ4S9yKrfHUbkZVsTioIdmwXZkoN0AuPbbzrGG631ZKWIYXHjWiehNoJfMlrjrh1V4H5137iE
JK9px3YbbibY0A2hXg8TSrwiIHRxwR9TMnanrrpMY8bWUEuqxx76Kstcg0KFEOdM8GqjPlmyIK5U
MnQ3eWWCoE5gAFuYPYtWD3adiY2uKutro3ADJoutJouLuAvAYjiix5FerC8eONlMDMaePPgWZ3Ra
k56mn39fHPkk7TrTBTesZs/AqEy5AAVBr7loUvWroBOyU3VausZ7R3apbBw1Azlumvf6OhG5R1ei
jDJcCE4z4UCHBs7QWlCmbJ2Bk0TlYVElRIy3GjJ045iJXpTATwGo51s4bPre0tvDFGutp8bxBYcs
VZI00In6ULutEWGP48qaSoB+O2k/9/QHy2Xz//17v3/plz/FwI8sTasnitVZo8EBNhSv1hsv0Axx
j4zNJNgIG7+KlW+rjJO4j5Y/+P2VnNPmh+6wVMRbrIlHs96o1751NVCigYNSQd8tbmea19f+dUDu
fgucahs50iV/Nd/7X9ZBol0YPiQBFMlS2M0c9YXrgnqtGAjqeria09H/AMDdDtemci20hBB5KKtM
qwZ2oWVLb/CiycTyRC91ibH6xW+ci2edf4qMXuK+AVnpRb5GzWl+M4j9w5PIvnfJLRv4T303DtFm
PgriRvBeYDph6ONUMp8xllk3WoTip7Fll1JWynPyqRuYJZ25tEV3dKrEyb/KGw5Uqzoa5bkPHf0a
vKiZ1yw8ziMLQkOLcaGLkXi0l5r1BNFHdrqAEFu7O6KMxqVP2ZphZpluRA5NnW7ig5+6SGHkp+oT
/lbnZenRNG6C8Iu3jjhvo9yTdoW0hxrT8FVtEZa0tCI/WgCGJxWZVr0qd6VbJbfsmVO3mm8nIlWR
K7J2XPGQ4Fl7iV+Ed6QElJKwPawLt9PWygtUEnkvi8D8cIx9t0flbu0IUkw9MCOq4QU0E+1+Xx3Q
t5GeHb/3HxmotGvoYD/eS9NK/TW6w6Mk/PQ1vHUv0gYgCVJbGOesbPb0zK6GhMjlximtkYv05E3Z
5apOUWHY+R14C2oS4RYLNvylsV/3rQM0fD43gxMfyDgIlyxhypXkjq/w3jU7oDoe9pdiQ7MHzDnd
LSzMOKdtgImH7EU6a7d8WKn6tZM9Ynz8o7qDXNh3u5E+xLN4NW5EycsMHGErMq4r57Xb4Q2YqQ2D
ODpke/NI4ZiL5C3epuMyAmDq65MXPGjY9Zv8uz5Wb8J13KUo9N1sO6/V/R3h5Do8ZryZB+5nBDVU
k381HHk/aofa30n6AqWIENmpsDmca/a4d+wQDxbgTNkW5VqK3EF1UWK0bKonC4SKTdcMVimADGUb
38lR7bjJkhNLkZmp6nS3apOfuIejJQDKJO7Cl3TRVTs8Eax4Qe00B9mOd8HzeBfc+KS50da41/lF
i7Z64PiB85Cu8sXfcjZNSLt7tK2dfNf7DMwNLkxnqa1uAjjaKEHfGqd4rfc+ZcBHt4Gx/hTZcY6O
zW69MNygJglP40e6q4/GpXQ/8K02B8UlgCGzK8d0xkfyjiHk2biicSleVbugFh2sibGOgnVortqf
+CdtbcQTTWUjQjyJyqX1pD1Fn+GdpUz5pM+3COpRgLtUv1NkeScYqiJKTY9Uok8tWVXvxV1Y0TIp
XfXW7s0BuYMnfTbvYgIFdWWthWO1FbsVKlD4ACvQyVvzeWEd/tJtEtnc7pw9L44epLizLXrJczp4
wo1aUdzySCkHiTfQbL+a1/jDp021NlztOsOQeJSpYz5zT5x/MPS3qZcdxGflal1DUpIb29/OFJBP
fEJc1mNyle3mU1Cd1uW4ka9pE+m7cFec9ddhY7z7h3ofuLlX/jSb0F/Fn9jLp862sr1B94RvboOa
BTHgFx59un1nPKXXlFrXhny69E7d/lWEsX4Ggo9tOsFp42UsQJhnUAP9BOJRRa/bsSXaxhc6zmnC
AHMakNYoq5YV6IZnoWKvYdDIyMHs0kKa52icPTPbV7Z88nb5En4IBl6jVfOLG+u4bicbdSLNWIKW
140nXULUxy6eeX3fHaKah81gyqFjsTUt2gfbPJdXAAhm4cALzqM9sGOD+I9mhbxOXzc7/66WIPFW
Yv2EIHIEWvUs03d8iu/ouQVKwTZRMXjopSNZqjTnPHqm7YpV91dwMo8l6TAOscUH4Xm8WIf5TMZr
wonhaB0C7eh/Qy+JD8KGWyI+DOXGjihxdnvVbsbFeAue2RLejK3yJRwaj/kXc6mnYAA5pVmFXv0C
lGC0I5SiK/FsrTEzrMI3/Yfs56sR0Hy15TeJQj8WbIYqPVJPOlmBHbk0cq1dE6BTWCEAFhUHwqn5
XMOo/hGB9Ozid5FH+iRtpXPVfcSH7AGshaodONgIS/CKWxsymcX4zcs5Y95FA+FVrIfi4ALGAkmx
zWDz/1jtC8g509EGtkyVPMgVjV7BcgIIYyyHqGud7i0Dp0VuCVdnm2hqcSscacGisp4cBbEMDRBv
voY50bt2vg6gyK2gfiPNviqTLW/aF+soiW65xwSpGXbljgfdtZgm0ll4TdbwcmirXqLv4Ejimfkl
9ludNfUySfjpN51jZC46YQ5B6q/ca/f0ODPeYnUnnGMaVnK+GvfIfMN1ccrfrFfO6NKhEmzDWC3x
bR/U+ZHj+l/aCaO0fElUcKIzeha7/QSmyu+F4rH2WRYc4ao/B/1VH3fzHjyr26wCDEBudQzs/jN/
yLfpFeSt+UnpJ9yZ+/yUqWuwvS9gdppfTDnoCO1e+RSe+HQ30o6Maj4wYzjzQUA9jBonuiWhZ1nX
mJQbaUuQh9ZS1uQpMadt5SFGO91cj1stOYDX9CR3RqTx2nogaS2QAqGtf/kpLGmHACaYc6JjHPuf
VvR8al8ytSA3f2kQDK76u/A280n3a4z02dncw0BHkJBPT+k+zfe+Z3H3t6tD6KmfqnXtzggTi3Fa
TZvml79VhJUVbbqnWPNAVzR3XOD4F4naQ6Ka8eHtMShOaxhFQekNZ6076KGLG0M+GD8FYzuyNc02
jvTktSt8FkUgVNxBSKy91NcBmfxnjuZyLeD0uAgQr+ktOXQgMVGqxZqJmbula3oglOr5zAhrLoR7
SqS9iCsaVsgfuj0cRBMrUr6Tn/j7hmADlqD6ND2N/d5INou2ksxhPJOZrYcbJd+Y2o47e6RfOSnE
xV1Xj23rNOaNi6TQHTmwld/1U2s9tzHh4a72Hmdb6coChfxJju4UBfOn5hydczyVuwHM/XP3SCo3
ofGisUZhHHKMrcnBpfwlGnBRVsGLdh4VfCobbsUoA3QvKE5VQlK8zXEOFVJ0Cj7Md/nIIpF+x9f+
3aB25/Vr5b04VNtw1+3bN/WpTN2JjjCa0mcFkESHbUqBv+WFmVOuK8Oz3lviS1AUZfuCcKr8nJME
g46bkMJzMD8XX+V7GeLcsLn6RSZH8+9AW2P3yH/wdmXqN96y6RXvIjasVLdRySEcXATfpd1ujHMt
2+KOMukNqFe3b57pdvoPyJbzcf4pDvpz8RoDYPAWspw97vIXPKgrpV0R7pgeQZWVPCysI/qqYrLy
lBhsV2CHNQqUVXrnHNfmHwFka0qjx5G63oPXiTkU8wDbF7BtTGG2+UTHzS8fWn8VLtkzTpkRPAvT
jFsHUtFPxJ7zNxtbhTFiH3CUsE1/Lz7QrTw33Dp2gmJr9NpPptcgmKauOK8gJR7R0ccv08bnjPrJ
wBd2fbrj3Irhx6Fgnr9HlVN/d4fGkZgybE+o6hDkv+Qs1Tvf49ziZFcocLWjbYpdujG30dE8lHjB
TE7BK+MYnjk5BO/MmXTfF7sSCwwAG9Eun/V5V8abxW+boGBf19bNxxrDaNN22snI7HFPXZ06her5
OPhKwhrXdDzLZ9q/wbvEgsWJKnYwluT7xHTTF19y5uLrTXgvx3exuML7q16pOgfC1ifWlh0EiQJC
ao5nYw2TonLNp65cQ1JKr21O223FJ2d98TDYVROO8VxotrItHLPbeIch1L+TLVTv1NCmyv41waO9
YWihOympznypafltqofo8Rh98pdX3NqjZh9y8JM3FIJN2QvvTFDCfPqNusuugYvI1mT93KXb9FB8
9KYd7NNbcIL/WFiclSD3xd8UAp7UT/ozXEQ5sJprbDLWAcUy5BnE4rvokj/xsqWL+C5elRvFDH4s
7ijuCG94fXoUycjZ94XDw4Wo+k7tjotC+t34ewQkS5f9BtS4AoG2Q1HVnswHht3P+Kf2Ylp6WyLW
fvkHE7Omz52PM7JdHK0nvIzU9crDsMuaFdzLdfiVxfSwuA95rY1K5rXexWv2KMZL90qpgP26e6X0
0VarGmOLIzvBWX0S3rKN+EucgMXZUK2FS8J6iPCTj7z9gN2q/qp/2LUGKKzzqmicYRv2jrL2f/n7
5hHU+xgx71Y+CI6xy7C5hU7V2525FTcVcc2sRMxQPuyfJUlIs+FbsvmglXD8caO51rW+tnfEnA9z
cgr8jwg/masoQjfTIfzgVB3/sPpJqaNHTvo5UeAL7O++RGW54diEPptdvn1011A5pF/aK6PzKfrw
3cyzfGeMHGtvnECKiV/0FhBdWPNLSAFzbYBrZTV+Fw6iV2GUX1vkGTis/vqe1okTHhlWY7OOt80u
xAJ/kZ6XxWYRiXGHM7bSpVwusSYdBpd6XnCa7tLrK/gTaYnOoaFr4zlnY6zeSfqVV+NGPTFweEjh
Vd6H39hfzaeUAOWf+Nb/YhMQnqVN/pbfpswFc6JffXfcGs+sUUwK44uu20E5TLsYo/BbArqB9IFn
vtn41gZON29hyFC8neJVuOVE7H+jHOe6jvY2/oaylXEyIqAaq9URe5X4xCoPYBq7xTHGA3MrTsUH
cnTrsNQ3Bbo+ayjwzyHzyfYf6TdjuH/lCD3t0GOK1+jMcgSpU8ByZtPuah7NQ3trHiyP4ZO4x0hw
qTbDg7ureswP0sbYb5OruDZea2ZbhaC02LB4slgSx3wJ7/374NGNeZR3BGqCM6Ej3fUcpTfTKxd2
P7KbA2EgcuU0G5GWH82+F2vHaPqsr5VAWWaVIArLneFmvk7j3nL6k/9rGB9klAuZq4luoXK3tFH1
e8YpofTPtMHhwyUOqpRki2/LBBpP1bAvf/yNJntkSGScALqNWHmBy18sXG0/ncozqyCaQ2s38WJr
t37SdkAiDVs8KGuCENI7HuPQTqgH5S+jhhdoG7FR0tw6LcdnvISfwFxP4Xpci1+V6SbNmgX8IbCQ
L8IFu/SMY/nRvGKnkLl4SlfhTr5ZoLU9U6lTXQMR9GCl/m6BU+9+f5WMpMZpSWkR4CUSulAzpRHv
Y2h6DxKfh6eA9afQQMjyHq8sAYD76PfvwxsEf9VWDBUr2TdSb67jmn0cz5PvRDGGKWVOX4VUARna
arxvKG/yTtRyvgzMBDgptbMqxl0ScfZCpYxCdOguiRhXbprzesKyx+o8MRmG5ZcY2c2qo7OBx3tW
kME1B1DGHJfG4v/+Mpr1Eeqh7iZ6mO7GIadFqXKgTOu02lnf1nfRWP3BEjqzs5FzUYRFn7DOSoGb
yu9f9BnGK7w3mgsUMREYE3FQRxwfQvOByLL2wpKDObpHLIgUnlW8pyg5KNFO85eoxTchuQRULAZY
mYgGJKzPEIFU+UtORJjJMZc53bz6vN9dVNH+q7LOgQTJGUDg/g0bnxvR9K2U/tFvfZkjLPl3BIrE
OoxwORDxH/MgOlX20CtntjDMbI/j1Wi6xJ2xWlCZoXHmly9q85gIlV8tX0fmWKEWab7I3bxZaflc
j81TCzWJNZIkmzH9GPSSEur0mEpBcVtV9Kisb6TJuCRTAHBOPilcPAkTfMol9dnwuRwZsmYn+sSN
pVY8OfWvPs2d9dCaL2U3g04OUAP543wfZvnM4+AAU6g+daLyyxT60Db6zqnF8Zcpa8LO8kMcfaHn
K/Whycdm2+GyYp1J021tcHQ1Rm+AUnSqBUwnmDEm1686txeDaAV6mi5mY5AGaY37PueQafUUAyuS
ZiRhVl3Lkn9NFI3Xpkw2R4Q4g9hKH//oY+60H3VJpxB8Zl3SkUmSclzoxG6Hgf0UVxCrBMlc/Z//
H7z1N3INCKD/CXQxES8ZBLWquDP5oX8AXfQxlfNeMGtvUOFDFBaYgp79QvajbZORI5BVbq3Gu1KR
2Yzr6f7PP/5/4WR+//TfmcM6HSL1D76LMWpjqxUGsbLJ8OOPqiM2AaWDmCoGjGgiG2qdapeIV/qf
f670Z2KVyQ8mnt2wCONFJPFnSLvY6OUoj1JNpwXSWY1TrNbdyBgupLcvNRPU9Fl9xIZ31MFi2rST
udkWyla1ht2/vJTlPf5Pxs3yUoiFVJcAZsP64wlIiSZOyENrzxfBIsSVABZC+A4JiPKEc3gOSvqT
CxCG4TvSPevvGjF7K4uTcB9M/zIcjL+8FllCi6qYqiZbf74WLfIlWSgieuUViVR5zAa/YAXSqfwI
8aL5gqn+y5NQ/jYAZSweBhYTUVf1P9K3Ejp2cwlE0tNzyn3GkN3J80AnyUmrm8k/Wj5+Q2rfy9IH
GJOD4V+p1cjRHjkALpN0p6R+jMQYViZWWjuROeurGv/ITzbYbnFc1fWLiQaknFCmthmPt+xogVeQ
I7gQIQ5bR2Z7/eeH+rdnKhPPjUXWXKhXf4zriTx3dqUAGD1097UOHsbWq+FfJs/vQfrnyFFkRTQ1
Ef6WYcg8zf/AP404nafWkmuvr7UbbJprnxkQECl+t8yYkhIsyL7rXPbgGCy+GMztGGtH/B8j9vX0
qoeMqLQpL8PBV80Dz94tTfXbahdmSfmeVvVxngBolHrlio1/Ebvwp6izevPPH5b8v+hZTEZF1jVZ
BIFrSeoyRP7jfViaOkqBrHAdsDiaBkYBrUBH40SrheQVkEN1lHmZoWxHaE/iUlY2N3mdvgTSgMAx
gTCij9+BJX+bSX1vFuaCEkArmAdiSjKz/pc58te1Q1Fp3LF5GbL++8//4+UqjaUXRsTLZWStOgmq
DYYrspigXkikcCW01BdP//uo7WOF2mWAAI6ajJ2aYvtvr+Vvs0dh4RZVFPUIQ/8YAgHCEkkwp9pL
NLonRpVMzkIbmUJqQpVcuYHGfGp7WuwBbQyyv7/++dn9dfoqJP+RraWZOgPxj2eH3+S/x+CIoMip
JZkicx8hEp3uBAwTzaaQNLDMPHxZcDoXSozSy88x0Qb2gpMZsclhYx+//QWIMiP2XwEr/W6NhIJr
cCzTEnZPyi3barH3T7c+9D/hROyxUVIwjfvdQllqFwzVP78x6e+frKkb7Mayav6vdQkNKgNIJF4Z
8nxHiV1XcAWiWtuMoGbaGC3xTNpOSuE8hvzyzz/9b/siI2whnpH2Iit/7AnqSOK7mrEnTAunR6A0
Mcx0U/shdqXAuMdaToFkaP/lPf9t1VJFiEkqfB9Idn/g5JKxy/spHWpvHnmWCG7edbN4/+d39m8/
4493FmmtjE+UAYvI7zjrtaua2b8svn8dk0wGSbGYFzS5/xyTBOkNtdwyKSppowy0AJY0Kmv8L9LO
bDluJcuyv5J235EFh2Msq8yHGBHBMcjgIL7AKJHCPM/4+l5gZldJoTCyy9rsXpokSowJcD9+zt5r
c4EZeXYYPjBBerg2yvYKv8wBUxPDePTDSXKZeOVFWHVXnYo/1NYEsc0JUyqLjkEwBi9h4W+aGgVw
J7mSyYZ9CAr25nEGRvnWXRF632fgmO2h0vj8jfsI0fx9tZeqapAGyNrjINk/2VN0o2ilAizI9RGn
Lxq28YWepGsNERSZ0dxmVp084O5m5ADuBjIyU5M5NaSAMfv5U/kjMNPmmVi2Q7FKyIl1uuiUpqXa
MHJLt8x+Kj7D9kCjf23BBdXN8TBUjUc2EthqefH54/5ZnaCatBHWWaatzeGrJ2uNL5qpipPSnaZg
ZWnckzVv9jIvOvxoLLqV91U9NF/xJ+85r882LIzzhtRPq2PI1+E0jjbuMJ3o1QhltpDqc1FFj5+/
srOPo2uq4ANmNdfnV/7LlmJyhpNOZeUEewBT87St0mNmKL0vak37z7JXCuuXxzkpthSZmB7CkdwF
SdEojr5C880p31woA7IAkevMFe+SMN/lBFqxbhff9GhnldCy7bnX0LXdRnFmzZVM1xI9lpCBSiCU
pHccpDzjbLT5HuSDHgVbqQO4aX16RrozYL8v1GxLdK9CtoOKohe6T+vYiCo8/94nqQNoNsf8SO6M
svY3ZB3laZBe9joTOtFZOexbHQF83qyDfPqBz1zZ9XPYZM/p2zCY5Rftj84mJsSKA0D4JX4xgCKv
ZGVyPGXU5g8NejX7m7BQSoB9LDA39c0q3yFDEkd8jHvbD771qakiXIWuYwz6wS+CnzCu7VVMIgcY
Y5se5iSsTWUYz+pGi6ZbDs3l1qPDmjsMwDsTu00UIx6wh+AxnKajH958fqWIMxsTBaVlcAuqKMOM
02opSSZFckzL3SgFCKAF/X2XZAfZa/d25XynG9Et1DE+YOd5ctLotnYCHUhTj9X/Mg+NPVEw95jX
nw1RrkVQPExK8iJMmbBTN9UiT7TtNAY0dkpzFar+Y9WZGR+uR3CJENvBU9+qGn+1FR+wtTGl0oPH
vGN0qgAElc73pO/vjca5npr2XotpuXbEwkfAtpXUua7KYK1jI2x0/kGUhEtJQEjQ4+WMDqmmX+Il
OWhNd49lzq/eojHbSSneRl9sPcW6hgcTL2SlvZI8tC0GRo8hb7sH0FknO51W07qsJsQVeBbIcFLf
NJ0skdpq7wNTvH38u868rPP6gPqWBAAIFRpyviZx9oP0XIOxYFupr3XUud7Amib0Z6llO3wW+yTM
rqZAu/Uh5vsxbIigelCm/Aq3C8ydIHgI+vhbFRTTZUPimeb5yl2T1Vd6a705hkk3366ICtan27hz
8G5lt1jj8jvOoFxTHoarL66QeRk8WbQ0B1oqzSdyX7Du/76YeCnUUq0aUUeDIcuJY983kEuXpkMf
Emj4JkydtxABO5KMCjmLysce1wNDUE/27hfPZd7OT56L1Cwd3IQDy8M5PaLQZem6vkhzFxwI8vR9
rCjhbFRL1zZ6udYU3R7hvbpUiv51sJofhBne1xXKmiCwge93hLZLW/F3fTN8sYmJP08dkhOaappE
I0DFPF3bK5/Ut4DYGtfHMkC/q7CRyjJ4QVzuX3hDRazPBJ3Q0hK3tuBsBUq/a1vV+2JTm+PMT98i
+LbsZ7Zt8P/pWbEZY7v3xha8rP0AESDd4v9LlfUHNwRTx2KIhvEiSxAnynxXzTSNZvac652DrDgh
SVc1fxjpRYKdgLb8cAvvbyJ6TEH+hLFE0+Ol5qCcJUx4NZnKrewSXkvYaBDnYGvp+bTxWnOBZSP5
3x9OJOcjCZLBoLehaSd1WB03RRLjqYLQ2l43msPovXqFQbUglvFY9tkxaUekP3ICFpO/fn7l/VlB
6/NuKiyQ0JZjGCd1ZtwVuJtEhB3FZtyEX2k1jOORbt0mNMvLXkvvJgXx0OcPeuaaomoHd21ZFEZS
NU9ecVHneet3beLmMZJPtIRFXL9OZgv0I7oxPHTSGR654TWNrAMq6rfPH/6jBPz9btNVycvWhC5M
8khPCiQ/TAhBBMPuTkajM1vsuDpMUuUwSNFavYkS89BhDmC8TZBXpoC26OlOlGQCDKr9VLXy2M7f
tsP4Zqzx8heDTcckfx3HO9legfHbRzkWfav66tP6c5ngiXPooGg3DJ7+yRMnfENg7k554pjuA4kb
mISKCBM+CMovTgfnLgxJ08/kbaISMk4eKkAq7NmNQ3ZEDNfAwuHhW9vUaK8sdN5YxjhRNs7T5x/M
nwUzLw9iugRyPi82p2WXXgDWVOwYJRA/3ileSUU5gmRYqYV4+HjLYy9d65r1xfX4Z1mpqxzJ5Uex
zgOf3ARGTROj8azYVUjTHpPO1fX4JjTVy89fnjj3nhoq7S5pQxbUTtu4lF1DGPKzXT8zDmbHGT7n
RqPhxlaZfysVSXqotolUY2PDFtBrVtlK4rRqx12IKBBIlQEHbrKeFO+rK+tMucR7IFTqd1tTTU6E
v++Gg0LWRxRh+63wAU1hcC+NgTXAu2zC5qLtvgkvQuQTwYgSX11qxrzTnt6P89JnGUDC2GlOHpsN
pHGgHMWuYwCX0DH60QGBtaBaOet63u8amG4LDJrgGiCRZNJnl7ZRFaf+TYAJftF33kRaWXj1Aby1
BUZAm5taCrzHQxpDrGEn8MM5+5SGmdCqFc44RCFFm228OrtLdEzkw0yQ+YCOkQmEgR43CT6xZHa0
HT9YBkppr40eeNHHXweI58BOAvqEiZxWKzi4vn9pamNfdSAZplydTfH+JrBlSXQVFmAl/E5fD+Xb
ANxPyTsXEBfRDaJ8BfC8KeZjwBcX3HyT/vHG2s7cmhG2o59ecFMEwzUgHc0de+XFi9DLBcbaHPdp
hRqtBIjiGe0+zyCRYJp6w52zlkV9+/mTOHtzETlgOcLRwOKfLCSpXlI8+Hni4ulEUsXLVmNxtK3m
i0PbmX4jV7Bjcu5lUTfp9f1+BeN2k1lRZonbS4ZOaBPtFmQH63RddntKqCPMA/TgfDaNNA5Bq11W
XnfZ29NXT+TPSmXu0AvGRDbNT97935/IFKnYiEGzuqKGe9HyZTVU29p/jdPx2ZitnHWdfK9K43o2
wqf29//9G867oLOh67aqnnbkuA3MLiaXl6aY9za/3xX6srTyvlistT8PyTTBWBmZM9C+107v2qGO
MzHlrBhmzIjBgfO/SIoEdZZ1iEcB5YE1K5KNG3ams+gbrnLI84sOjYlWQRGPMTxwcnAnh5J3Ht+F
uvOUwszRPMIGBuSBtUDg9PUyfG61IYZC54TvnGnL2GZlg/DrYpSd7V7pm71SFK+8lctM0y5H9ctV
/+z7pElYd2Av7D8mNwlvkmXS/XLH4UYRLUjkuHhtaZuChLRR1iTh9zb5Tl4oDklwVT0VqVnuwwwB
zOcXhjXfAafLAR8UQ15dSMJJTvY5p9UAPPll7GIyxqUD6N8G/ACBsoRaGaL9wiSVN/VtQDVBSXBw
7Hqr2t8sWz+SY3+ZvxNYiLwj7dyaciligwQ1HRDlwJfOESjbB+PKcLyrsdGO9kAzo+BiUGXxqjfx
oyObewJ1X8knuywA1ZOsi5ep+lbZBnk4Cupa6iVa1bQgneMkyjsJralwwhk8/B7mDNsDO5XrXDMv
8RjfdaRFLgqrughaCd5C3TDhX3mWBfDUfMpCjrlc9mQHdYMK1lK7DLgcFrERwtp5+fi1ZaaEh/Iu
F6QpwVn8Hqlf7ar62c/eosPK+oe377S0r7x6bimk7Gxltc+ALdlxt+8Zcq7mG6Lqe/RBwegagjT1
Ifpu8k5HjjhGVfYa+dWPNqh3k6oflTkruelZsEuSrGBx3E561VOWOsu4Cn5E34UDcqQNECWY4y0O
LzeHRRbPnCkrMVFGK+Zbx8VlF0a97CS6x3ktlhbfUiHgg5ciKCzpcBLk/l1TM8+ylC+2gXMFhlB1
jpEYvJ35GPf7qphY7RCFAERcpRELMWR3/uDt1Wgt/PIhr8ZXtUCr4yUHAmK/OONoZ7YgwWI4F80M
a+Vpva8J7mod+7Y7eeINXNszsP9HSwTr0snuo+KlFdKV7vhuzsYyA+FO8Kzm1iXByq9219xnJUA9
u2DqV8ydqm1NPDHti2xDvwdLldPckx68+/xePbe60tMSJvU+9dgfx+4O2upQ+Xnu9hGKNivblS39
nbS/r+JsNxXxXu2tjQxwaKHSHDOeHDqSRa+290mDOsIKsM4EN4k1/YgG/Tm11bcJFlxkP4h0fI1r
9Ysz1dmPVwjGksxiONOd7r664kRhZde5i53uujT7CtHQo0+ArKqGB59iK0uG9Rj529E2vswVOlNY
89hz51kThsNa/fu1xZLXN7Vecm0RnrLUuJrFoF9y12yNfGUo0T3O+n0wqW9For7Rp95AbNtmvXdt
aO091vxF3NjImIFPSzW7+vyTPHfY5clxnJHUYJzcTlbd1Kt0gPN8klOTP4Mb24yT8RwZLJd+QEih
aVyqGb0l3zCuTd/Z64P/+MUzOHOu4pNRHWmbHLDs0zKwsEiKSzO6S+XY3c+fT286rl8DMW+edae7
V9X4MU/NyyG2r0P8ZOg88kg+R/X01hAwrmT6cwZknzTmPZ7iL+7OM9uxkKhqHKmzJ/0xne/gW2YT
fWiU0C3n6vzdMMpjUnMBhX55sNvsq2HwuYtFErOlGUJDUnK6EHFleLlWEy1Hd2BT+ajh4ZksIK+S
cBrcR8HIHw5f3M7zZ3yy8zKvVw0pmUDrmjOvUL8MLoqpHyrVo3mFY/lpQsc44A23mis/z75qfFvn
Pu1fH+vkenOUKI50fW6UOfCx6pCQvkhA6uKEI8LXcsgBsNnIGnW5DdTyeipyCxOOfWGPDjetucKy
fvTIgk91a+Mzz6uKcafm+hOg+pRJPukk4JaSaVsI4vN6AnJrpThiiQ1A6MuGZi0UiQvromir4wf5
GIlmyvgRNl9BPKtwR0ldaHRgV6JpVwdiV2bWOsu7mzF88zVr7dQZSjprb+PBpuWiDbnb5MRnl85F
UXXXTgr0RRm31VRfK315jAH4tApWUwygSXeVduNOtrjUyvZnFDXHbg7587NrMrzBKHnTvZEwKdEc
Io1yTNrL0AJhkwzTovhOxnvM8SzXiQBPPfWZKJtvcW26FcgyZZTjEpC2M6w6lZAcCZFmU+JH+yBc
OryUjY5KEjeevjfRBFmRX27SAaW0mr4WSLPoLNbkYDUXkz8msFAz9hGzJMkn5woEL7DV5aQBRfLD
PXcwTlBGLdvI7xFuNj1sOkBR/RgRENHGd21KkSgdHTBIoib8iJm6jywRVoJxHQxWsIUshGScDvaC
EIZnr0RnHTlymxELZCvFAYweHh2u+snODqDOV7KgHrPUYVdnbIUG1LgYv3BHdpATvzvYg6ywPtqe
fWHY1XsX5ge/yg5K3aCl8NA86Vja8x+1LZ60BN9iFueP0bCDZbiwTHC3DA6eLOBIXoHJG0ixE5Dt
yM+KvSuVUKsWcIAMjE2j7OZLYjDLgzNaF7Y5YiLlSc7rAJD0LfrWrYzhHnrBZR+2z7nlD6usHbef
L5dn7x9hWYLFQSJbOTmwmmVdNqPJgqTV3qoyWZGD/nYsSLxAJaSP5rqdnAte4hfr4Lkihf4Hp1fE
FGiVTh7WCEYYKv6Ii4zxD2nn11mc0s/PvliJzm5HBhUmE05azoBvfl+KdMRBwOsdkjVHx237Fk8U
JPgUty7dlBw5HdDN4OBU2lVILE4pvq4Uzq34bKqWyXtMF/b04OgUaZkWvcFEAQ9HUqI4bdG/94p5
yR9fIxTg0GcvPH+6Y/FfByGKV5CIl2oFINmm+dgSyNM01W2sEallmxdeqjHBMoAlewTR9JAzF6nI
uAVrz/WT7C33m7s28PdwxS+csQOmQNpUZ1Q4FDK6+T5BIT4G4rRvV2NuHmULBo4M3mU7zjPCRFlq
FbTSYJydTur4KrPJzSYCdwJrKRzrOg1UhPxvWh0jzOkw4JPrtSB3+64sDpWdo2HXMQ2ozfQ6f5o5
ZDD8X0O8siPzkaNUnJpAG0bwWdGhgrcEuZdK5MVTeoQL88QuYN2QcPRWwg9p1HTRlU2RSlZBBE6B
LlSdWs1KizqfLgMYRwFCOPHCLZEfpBAgUG+S4h0jFWBSFTb30IHlRxjR+zqRBo1+JF653Ixo/q2i
8cE7ODi0BRwKZo9WZ+5rFRNlUhG3OuCx7aJHcoihb6SzSBzPZ+jxADNW8PN78Nx+aUqO6A56Ny7V
+R79Zb8M1dogXbnLoB8yY9IeUjO5GHt1Gwviav6/Hur0iNYV8IZzkI9uYEFSzOALZ/TYwSQu+0b5
4mWdrZJNzlXoUpCjcZz7/XWppVbkpV7xumK3DkjT87N1QOj7XLdHYvwmfOLFcLKDG/7iZZ6reujS
0JKi1OIcdlIimxWygixheRkY+0JAT1MsL01zbQXOhSj4fPn952/s+Uc06OTPwaZ/dBuAU6NugWPo
VlGFAaw6QpV5Fd44Z1W/N+whUJ3Wnz/kx9JxWmfN+lh6naiVrVPxz1QXUP1JUHCjIQmWOiGHHRpH
zJYOQaNqtZga876GzUQWXJ/c2/axjKE4ViM1QtXPo74cj3lzUNioasyu+EzThoo0nLbOiLTBUHKo
EySPWKlxQTCxS6PLwxQ37czCMpdTNZECXDRLy+Z+63GlkTVAb/uig6O74l65CEP4Ugxv66Xw7qsE
Y1wDEy51pJun2sPglLeZko0Lj04sguZV0ATQhB0lXmnkJ9Cb7XEdz+7zsgaahACQkLB8yekzW8Lx
/xbZUCcM4Hifv6tnr1quWckoiNE0GtTfr9p+8MhKC5zU7cviPRkfHWgjsTftwNdda/q6aVcRfsfp
q0bmuQsIHhCNTBq6+h8ng7pTxqDQzNSFUP0eTXx8zlS/jknzms4ajKEqDnB/jp+/2HO7P5MnFO/q
/OWjuv5l5VEdYrwJOUzdmC0kB1ezdNBpzVt/lRv7yBakNJfHuT75/HHPrXi/PO7p+Tma9KTLDTXF
2Dxs7YRrLLLr614TT1XeXX/+WM6ZDjUpxCYiMY6lrAonrfKmtwn0IJTJlVl0NwxdvwqRrft0Y7Uq
aYhxKX4ahLkxfZq2oxrgZbdhZtA3FHzQnldbC6N2pf+W5NCPTHO4iXx5gFU5pB6AU0ksNuTGN9/E
i1XrwPI841uERnKtacjyBmL3ahiDQQQ4x5gemhakyRTfszbC7oU8tQmyHTUttmjcJjVubZLbnj7M
JaYdqcQ+YbtzruMcN1KpcN4Q4K8XnLxoGOfU+kp2JGajxhJC39kTW78zyLhratL0CIZESrXOjP5b
N+k9IXAce0RjbJF7XRPZDsm5B35JpglbcANjIl76GgzhWA4HPQn2c91MCPuTTUU81FwbRCqs/WB4
0v2JGKzmGOXtNXEPxdqKlYshNtY9+NlQCX4qUzWujaDZkzHbXBtVQFoU5lcSer/YYs7dNM4cQM3g
gbv1VNSZJEWN7rKgr15wusrlUweOolH1J6MwLhj4PjVElH2x0mvnLl4HTQZuCItR8en1xPnSJ7eQ
BcJMrGsN4D2yW09biXpZQsIN53QoMY/g6tBxTS8i0jD1rocwilw/Su+rlrFmoTH2TUnt0KKfmVc8
o7cn3KqbZrREfAGLF15CC1AdbNY66bAACwMaxOf3xRmngI7HAp2HxnJDr/LkvvCVMUFTmcA88tIN
+ikc7iod76ES13rKqyJ/q1iEmPqUEf56rASE7TkOwuwxp0PuY0RUnGbbtazCTXZPqh76LaxOW1IL
cOLCbyfSI3ns5MYzJfD4AuJloxBAkahzNLRK7mvYBe7nL+rPxG/Qj4gGxFxM2bR/5ivmlxXNMUc7
bTSZuIMWrUua6qDU7GOTE2VRacNGOF6xylPQ4akmjgF8Bc7wGfZen2yQJou3YcwxAGqlHdhfrEPn
hBiIthkdzVWC9Udj1h+MqfA6FtvCDi7bMHlVkvIQ5BijDR0jckPGSQXHuzaGI/DHm2BorgxGX4vO
4+TZ1NZjv0mD7L2J+aCg1CNzS99H0gqsnh/RZvYFoTWofXTl5xfvqXpmBUUbgVQAgRuDndOpphp5
vknbKEWfXRGkFOP3a0eWDU/dk/yMRoR3d5jycNcHe6cHPZBH8XTlqLAb+uBNHUvthgEa0+0EYpD0
5nzOtkT1JsZXf+J2GZPv5ENm6z5rbqCjwj0hWdEp6HFkJneLEXbKKoKrSm4nN9sIddywwzsWKwCV
WW65SezopO1mnKVsuc81EnJkQF94nnzBTQn2ANSA9CU0KLpu5pp67/gU757qUgZoDR1lrZYFylNF
3tlG+JQhQ1rIVheLvqBWshX7MnZ+WD1LsBm1b76hrjyDaibrXIRsq9J8gVj67nv+fvBhP/mRsfJl
fpj3k856IAbzZS4Km0Q+1VV1FG37pjHrY27+1IWaYPrPD5Zqcwyo+fu+2zlFw4A8uIBa3638sP95
5any2mE38PUo3tItxJJelUSmONaBOGSOjxABWWI7mF9F407JzB0d1ZcsH398cS2cuxQQpEkV0QqH
2tOp2sgwIakbmbpDlCdgIeUCvO9d6tfDlvMc70/oHDpdIcRzXr/w2cSp+EJZcqZowZ5oozM35h39
tMFL3HVZpnOB5uR8fH1SPJoWiOHOKXlvkJO6zliuJ3ykixDW8ld38ZnVn1YJMx3auFSIp933jBl7
26dh5sYtIZJFFrl6DsPMAnS/kiX2qhwz0qVt3BvcA5vUC4CH1q5X5OQ+B4291bLo2mtLbSfHOQKw
c4AQksulGruuHbwraJkrApOOoU1wKLXFlqqGmrCq/rWL/ceP4T/99/z2X8eE+p//xe9/5AXBq37Q
nPz2n1fEsuV1/rP5r/mf/fdf+/0f/fOYp/z36V/ZvufXr+l7ffqXfvuxPPq/n93qtXn97TfrDF3N
eGjfq/HuvW6T5uMp8Drmv/n/+s2/vX/8lONYvP/jr9c3PgJoxNiefzR//ftbu7d//EVlNE/M/uPX
R/j3t+eX8I+/ju9Z9l7X7+9n/tX7a9384y/FFn83DctSmb/oEqOoyRXav398y1H/LhnNWFSbs0eA
r3/9LcurJuCRzb+bNg0gNihVpxU0qw/rvP34lv53FDwm7hqsp6TGcFL+v8/vt0/yfz7Zv2VtepuH
WVP/4y+Ny5Bd7reT4WzTFPRE6emxJ5/uggTxSiWg6bQLhAU2gMPDXsxfel02u0Z9bEuj2udSI0Vn
UkHHKiVw93r+w4/vfHxR0hEoWCP6f/8hNq36l29/fOPjz7K2A1jaJt4CyCaLdZHva5Jy91i1gpn1
z+//9UubXC4toWbIgFCTNsJhshcpdWaa7T9+9fEFBLQFg6Yl5kop5U1ky2yPtgQf6Mcvey8n//nj
l9xt+T7WI8JvhCxAnhkK6VNl2O6DXtmRQe+Ts+zPfvP40WDuv6ATN3BkZLo8XfQyXg9E0O0ZphK7
OhHpTOZ1RmcI4GPIRB56RYkigyDuCGnFBgPBqxhI3RiH4qESNLnoY/9QbjDmfEuBrZL9Hu2NYFA2
sT55bqDgRk9bvd4UyEQatbvtdfDsydjnS47R5L4rUJQZhCctLXHqD3XNGg62yw9dIsP2oT+EF01j
bZyeWDs1CzCYyItx8IF5MnsD0jRdWX4Cf022hwGeaqjTVtS3QzlNG61/iEme3aRgd9oeZYLaFxst
1Z9UMznWfTNBAadSDxMN8yzOQJGmh7HGWF5bJo0EBYeQ7dzbvug20aS1y0nYzxkN+6KohrWBHWMF
T/Zy7MCeidRWXKD/0ZpgCSR+rSM2fUUvXCmp+ZptlKvTgxLc9U30LRkQVmKAQAXCxMJTxQrSttg4
U9sTHq8TFAfMtLeBibZWf6n5xn1qwYZVw2qh2eFN7LX6xhIJ4Vdhs0pEgoDNBi8ZBfaVXkOa13Xx
k1wtEyyd5uzLpLiVcVUetHhvdJUFwhP48mjivVQtfcNskjHkqAHMEKJdFsp0Zzl1tQnqbK0Qs7Sl
s3mBZ9ajIA7TRSuHbxpGr2Wch2IzCLtcZZ75vZ9/ijlexdHwTFgSE4sQXK+0p5fQ08KNsKflx40y
3dcJgC2Ms7cqm8YiNHx9FYS9JNdI/+E3lHOdtGj9Wlw2XlTsspAp90jSbd3Ch8IfB+yHFKY0cSBF
9neOikZwKL1605dwOuAGr9NabthhnJUZIyr1O3ACDT4DFZKdUfW7yeyXRWUOl6FCsp53cLR4Z1Bf
UGN0nP2Mey3svietEhELmB+aBlKIwKKqtBr3j1A3RaWN2GKmlYjVtfAol6SikYkd1ndZNTeTB4ZJ
Q1wtFMPAQVRzIzZuZmb1ImrBPZIpvIyLUlwofnysVJmtQ0VcED1a6vpbqLWYaOLUILpRvRQkmS9q
HanGEDIVI7v2O1dHtvBbGt5qaEJ+8eFPZiWjLQXiGhspzB1rFYbVc2e0/oWebOlpgUdKoU7FmX4h
VArkhnRF0bQCVR55HAZ0ukxDc6rZ8bqGpRFOjpuQfqvkjKJMFXQmF9ABrcaiGMfnunfwyqA8hAvF
EyuzHMaH9FHPB369S5EMCfMFElmxEZuQ+rAv0xeTXL9lJvDNAC22F3LTX+E9eG8Nq3HxBE18HOAZ
dQ0sbRXXT3RBUteSHbC7noTpiTRtJYMu5wT9umbaWIDu0yGfjCn4CMCrjpFtEfEU24DICfKWB0ZN
VQ/XrBdv5bjz0+qZQp0wxkIC2M2CbaJzawTwQMoguzHnB8lLiC1dDwLZMmG2qlf4hlMMOJVx26r6
W2Kwpvrtpg2H26ELm+sxAezYVZW/q517j6b5Y20ZTFzHcHAnke0qrjG1Hc3NBBxggQEQLkpIBEoX
Wfi1M3z7sbPqO/WHFvO7VPVffYifoc7QjDBSD7yOnSaEQwd3IxJNbEysnB2hCoVhhSt6gn5dcDUG
oAxLBLOObj7KYaZ4hcQHDb6fLAc7g/BEw9/2W1SnGZHEVmZB7+oJWW40CFBewoit7L2LQFt0GTFs
BBeY66633/WB5aUzR/SjDvc5kXhjF78kZrYrPHYqu0qfDf2nkpbNUigG0Mok3HnElGM1/GnnmbaP
vc5VKtG6fp8caQ5xlFaqaktnP1lFSWDeGkG6jDik1LECVVSwbrZvBUFYrjfJR5psVIixUNAK9hmO
IIcQlIHcG41lqtDF2k/GnWXdRXZArArWK8QX9bI3oHdqNi6UbCSxIcVrfjlF36cCa3ksG+MCXnJq
ai9dV77IKmLIItD9li3zXTWm7e5E2Xf44a+AdYs0hM6mDDdpV7REL4BiC8r6QpI1YsFhHrM42Vma
963K1X5nBy27DONsLw22CJGA3DcZaXOgdFwlGb1tlQRuj08Nh96U3irFHCNj4PdTafamVl7vgpGG
F8mge5gotLIww5PbTGBxdBiHqFvWj1Xa+RuFGmRVTMxBepAqDKQJxDHKFJe448qItB8gTfEkq5uM
w9OCEKVjmbIXTVrvbRMVZBQxGEzJ4p+G32XrtJew9uoRbIfaarv6qdML0qnHq6ItWGjGcWtOydPs
H14WZYvyGd2YEWY/M0LPgWtU1TojWBk+f3kgqPJmjKdjZdbNJjaj8bJTvAVlA3xJFCB3vgjXkTLR
OA+mC9bp69DEJWzI8hFaD5GxqkmUwKarEyxntXoTRlDnm66c1jLnnqizOtzCxbhTFAOd+DymyTU4
PCCa89FbmX5K/qZ6bWXGPXfOs2oncO2LgjNYzAmceuZfX2IKibiO7LWl3RXMuRU9Loml7Skfujn4
NOBAHDGSTMs+36WTo+7z+YsMtJeULX2l2vYV/m9rbcQs6lOcHIKi4MoLnJeOmQpGltwdfENuPV8d
WOv00kYwaRzVDj9P4I3fSPSN1r3urBQ7wF1SqKm29u3stQijdt/qVF9djP8UP0l6p8ZRRywYhObI
9HdhYbil3SwmEqY2nvPmjSB7DeHVi9ARiDt6mybtwFxXUb6z5tcbRylv/KajsVuy9JuKLpdmT8Mx
NnX2LAduWlXa+RLnKJcpLm0tHLeRUROdQ653qiS7hjQIAzShOq/fUY8Yn4ZRvoeEU27KurqTTkgB
HXP+XaQdxFMvtBA2SqrqWN6ZkeGv8BsTKaEX5V5FK7djALWo1UzdM1XpYddw521No79h3reyZCLc
eC5tGVQdZSTMJev/Ve+Ewx5vdbcdasDPJjqBfgiAWOb9nqN3tRQj2KsgSjQ3L4EiBFa519ukJD7D
vsvqBmlBeD8Gj35Fu1ltu3z58XRMByBkHAY7izSyDVFuoJbKYRUMXryPwNxnpqbtszEgXUQh85z8
rWSjNAXqzJhXO1JJb9pBuZqc2Nil9KZZ90BAz7U7Zlii4sY0XgsADaWhNGtGvMGuNIGp4BFemaQz
LxLPAX4cduWK+DGLfGz6VGPYlvsAgtA+9V702ntgKFBDuEMZzE1CZ+8ubcBp9IH6CCak3jSwXwMt
3/d14q3asSVzw9IbNxLteuqaAOOC+Wz7tbqvM4tet0MQZJXg08wRja8tO31Jw6reTkm2n5S23lvU
UU3KJeVnLyXu0sh+78OZV6cCr42Ess01aJSlfBj8gviK+BiWirbsCom6njQG5DzmqxOC60UO7O0Z
rcAgHL0Sxi8kuJzbSfjJ4+S0gieuL/3UeaYODDaOFl3mmRmClFTJFOjeu9hTyK/ae37cL5k+/GyG
5EK0udwX6rHA8b7zGznu9fkQQaNhE5iwbhIbVDz4CbqyOajTzMkBImWkG7b+OlOpwdQCilw2xAel
NEqwbh0NMwhvpC9Ue482GIYRiIJFVo+71LmrRtPaF/OX3v+RWPYI8npKN1qZPTKtZhKoArXYBrHv
kjEPts4PqqVdGvVWcnDT+0BurKT4RkXhAKhlsbHAYzc6cbsFiUQVuVMrf8gecJQVG5PUPiA9jAb/
D3nntRy3kqXrV5kXwA54c1ve0JMiJd4gJEqCt4mEe/r5EtTuYmvUMd3n7sREMDIyYYtVQJq1ftM8
YmiZ7yvp9WfNx75o9nF6lwdvzrWTSLqvzB6eMZtGpNAVZycY8cRMUavLdvoQTyewHngxYmy4kbFj
n+SEOnqTYx3iSETmPAQ36yI3T7hLeUeUOBLNHfF3SLDtVS+1PRT3ZoNgcTBi35qqpxDYQ3Ny7Srb
j7lHUhKi4M5DETZteNzrQvlPa+06kqhBjB1dh4swM2GiaoW1D2+3n2Lo2/EVhZ3JhG9C6LUN8MOS
BdCnJLtOQGucprvCySWpdi7nWdFTNUUITKRdfMbA1T12eDZqZYqLnJsWuyD2niPPMtaxN9PhTTwk
TnN2sWc+NSUA04R7Y02x6uSUHiMIXcjNB89NYjBfMCxE9tVjDgyCHJUUSKi7X7zEfI2zulr3U31F
wPXsWhZOHS0iyxHp20FljuoZ6ZJ5htejK/t3Z0QzfLhqsrw/xvZrUSpjwKpAps//WUipoX9JAaya
GVjokBYrZp5RtXa1o+pXkdfyua/EuMMT6demxtUJecZ9DdaDIiSAh2RnJHHeMZdJOpLmxj0DqTgZ
TdRh2iSNrQaI3LHmYBUkibseNcAdOpzGTVFCeUlcW57yOYZjkLngiAlJuAWOZXHejOtca/pd9wLJ
EzFoIObI2hXOey0b0FnLGnprxqESyLxot5FCz5UaSrXWiBNyFw0SXwhSv0PLstJu7oIyive6i/bv
DCPea4Lg1Kt9l2LZlqc4lUfaWG+hH3FmVUCSR0uhNDCjAByenazk3rQLpH/LcHqzCbusJ4lKclpl
DKCVG9xg1h7tY1dnZFYGk11josDVdmTWWt9Hfx95diPrGBsC3DGqOFsbif6jPtSh9aWWxAqKzEfR
Om9jHmbfv2cp1pwIQdXvRahGSfj+eLQ3uActhZ7iuV3i4GlBRafbqJjGeuF8Wgptvm8szT0uw9pl
s9kxRecdmgpHP+mqmGX9VHZ2sM182WymxP4aiizaGaE5nGePhyqd6XxnntFDVFTHec6Gc+n2RUUi
KkVWf8wblur5Lij7Y6Rp69AMdvQBOqMLbHorLuy7pSg0/ZsuK+QFPHT/A+NTE1iSgRN5SnRxpyxN
zlWLrGVvdvW+FSZqi469F2m+97Rmvo558ta2gZGHlRkEYVNPrPL0OZus6AugffwvStmhJFpWEW6j
AErtXpJ5zR2B9UqI/m/rPdY1UwP85+sYq0xRhs5dGCT0q3H+HfvmfRj0/imp5bhu7BlvxDGd0CbN
gCMziwACbJ0dXC5Xmc3CYDSr6NyarzOuFmAS5ZcS5YFVxV+dkjyoU3NlQ1XF8impQGQ0fFlw+IdU
INzsg2eE+/+jk/lTrBfBwQG+tRstbx8PLM+IQ48Pc5LgYFh+DYvCeAPofyIo8DKZhfXQ5uBwnLS0
EXA0cUoD0sHiabypk+Y7Al3zJplZWlYd9nwEdvrzUAVHpzPRPdcxEQwKpNUKfwiukvqbMeTWub4d
88J+YAVibtoKGHibBBjW0yNW01wfUwgFcAmVR3wk+20UMZ+Y3NLctYOHaiK8/rYpm0MWtu3VEI7h
FYmPB2f4Oo1x9mraSLbpHfR1uMBu4H71X/LICG4YFfFX6xzyeo6G0URgHscavcA6LqerLp/FbtYC
Z+9NIriKK+TnU4E6TVuQdI0Kb9/H46muHWPT19m096yfbVwCdXGUCxjTERYgeG/nInyq0D/bRjoT
jNSzRzRmcS4HCtxvYn/4lmuJuHVK8YJWH5R6Qw24mk4INQD/R9SSeaAahDVmlKcJw9VDpIsdHDAD
2zRjwP6T7j/rEaj2W9nBW0qflk3MhabTXZMHkrgWxTTJ/pQOFiw0c9Y3UkVpexW/7VShoU4SCIeX
LxA7C52jdWXwAOYGzMvUjj5lqtNu+2A4RFaME3RfnjCyL7H4a+9Y1Q/vm8wl6Aom5VOHl/3O9Pr6
tBS6qvlus6s6PMcTNeI08Z1IKmTS1S6Lkf4kWJ7BJ4+ZKxQ6HsuuKZhcu3OIVjeZu/fCxLt8Cnl8
db1HKB4NDWBHRBBOy6QnFPzTSy2HtI+jofG8rHQqljVYFKM8MhpAvHhQXAOqS+PH+zopjgUUvIPm
1sHZjNB1rvDWiALCKkjZEW6ZyNjU2NGt+jF3meUG8sC/R1BE7nlhwEyEMf2Hdjca+LqSekW7lHgB
tlnuj34ajfNkg6LwU4Pw34wH+SC3efUQ4wgXG0N/4uoYjoTZkzuTSp89oseJie66FRrZBjTcbUru
atU35Bb5ue4iMwq3WK8iZj0N4TVPa73Jp4ouslJ2NFqWbFt/jm99XPKGst9XVnOO/Lxa+wTVCR9h
HgNenWT8nbS8u7S3s63Mog0wU/Popd5DFuHLYiUKM37KxhGnR73d5hCe11ONKF1aHFizoXWObTYQ
A2IGLT/BCtfWDMO/0tz6woAggHVHYv2QU4mhWJIpM5/4K+v4WxmNewDpRHpE2O1aTFpMgot0j/1u
hI+29sSIAx7GijCOAk2HHQrhbWs5IWKMchxOKGDSl/tTuakTvmx8YouNJ7IAymoid5azsgcyrwDg
0Hz2vpVZcOyC/KrAoJKUBv9+ML84g4dK9LYxx+y2CXJidKARN7WImxVq4zVB3g13ZnKTuZyt3Oyq
eT7Lycj2npwfsUZDXjKHf54mRK8FWNi8seorM8P+3NNS4xZS/qZAyQqxxeSKpPLKNWy6ctccMLRj
ppVhIOUSK8219MeoE9MdguZqJB+Aj1zxmgyBczCLcAJZm2/mbr4xhHaekPNaNZ32SKD/cduE5F9q
43MvCPuqaWw5fNVZXWPioosH5EY+R8yKHkTNvy0ajKftriDgzHQwyaNHFgKpdd1NqDjj1Poo5hob
i5ARb0beuqyLJ9eMrmGjbXvcRq9H9UM3k91c4ZA6VpG7sl3zzWv8eed1z2WA/0BeeJ9I/Tw7Nl5+
sbQRY+7yazxQ8ft0QxSf/fqmifyQxIJWMGSQr4xDT1EbTMw0jes8ZTRDtTMEkrTz2/FFpol31Izp
yffzneFidFbTZzGqtVdN76DAIYcDkCNQvVDZdxJHn1hLw0PuuA+mSUIg6YNwq0fDdjbca5dQnBCA
4/KibhGBBx1YIOwLtl5OmlzNZotjFlkTPRz6zeTaSOIBRHGHwdniodivdaPDL5JUDyjEYGNaP4Cw
fLfQoDZLJdamkdNOzS9RfBfLKDxOIImJGkJ7Y3qwInBCAMtBpd9xpzX3vjIKy1wbYth6xQAdpJ0b
vizE+7vw5Gvtq9PaP8e3kizhCnTMtTbpzlURxS9l+sZKFecip8NzJePp7vKNosVtyvpuSpRwVkDU
ytZ2YyHqJ2HzgHjzY+PoPuslfMAjuzzL5JXkIm/aAC58dj+nxoBh1WShRKfc4DLso7DkPNWZi6BE
Ne2QCUwYgUFZRLqFFj1hFjxvfQf9/Nb8XKUpMrOZ9cnuzG8J1PJtM+AgHs/Vc1koIxf8IleJEZ9h
DmF7O45MlYkmlpPxNBMOx2IjCnnnamk/hUmAbC2We0WVPWW2tNdBigCyi8y5WwT+Lk6nmI4C2wml
OFo7LhGpFq09MidreLAegZGBWQ8gg2Hnlko0ngHLJj2U1IcZ5szG97QHXQ8hItrmC8Z5X8qsHom6
xeCL6NJF7N6gVPwzSu10jUO6BZsRjoqf4pJtYMpSxMyg0ggbSeFjg+blzD3EFJ8E6rLl1syQ2h2I
GwdTamxdC2SeVjkt6ulAxBnY0lWeaN+EJvZOGG5qA1WyNMFawhtxvPNbG7Rsv2f+8cbLvolbnZ+x
HF3CCiaL61hbe+atVZx7gzetST81rM9WoJWrPaiBeiUi49nLu2TPmvk4+/UV0hlHO0GGyTMznBSq
FiDK3O2HHNTgdCtMvCty5aZgxYLLoEeV1XwRoAtr6ye23wcya3x+b/gyeJ23CuNAHhF5uI6fQO/T
G55dpyQD1KCs7gVcoo/r5hos/kqg/6VnENi1pHshiQCZ0jJvU4KDx7TSzo0DUQVsjb+2ABTneXc7
xpi8McAX4D0qbzdvayepwCKZ2oa3vm1jrGG80sJSGy3rBhx/nwdvXVjxzcy1ex3BhOnVCyWIEYVa
C+QRhk5TsxwAXgjiyV0Jl1AvxLxw5Zhgz8TIGnSSgjUQdCNgn5uhDOWWZTlPIbbQufdKdPOtqbBk
tROgR8PRgzX4lFQe6aDcYw3BJDGy3pKpO2dTpR/pa5ApL3BnJEcUeNHW/+7tjbLQ1zlGnsiKqpAR
6KFiSHEq0vFxSr+SYWt2SQfOieg9Lk2QL9sKspvjZQ+9cirVRxJ2Ja80ThJTuUWKBzXiMpMbV4xP
tlcpRel05zfjCDqEDGRc65sCVANvV0ynikLMzpnAc2JpQt7oFLXeLvdCxPMm5pU60/VmLKDZGZ+b
HLHj3MRkremN64QE55CXX+231MmtG7Puv2gSlG3rVPbRaeL1PCCmCyQBv5tSVOja+e5K+uInfYwH
/s1DHwAXny4iuzDSZ+wNDDbpDeTWL4JvqLGfvZlUcDq0RHv8G3K5SLGr0GHV21XuQ8ewYwTQmeNe
Ck9Ng1Mz/R/bLodos4FFGssxqBmlMDDCyapT2VkRxjmqmugViAKiCGiMDGG9noqCXYxsFYLPPgPi
5XgQmeS/C0zVltOXYz5U3y+nDodO5jI55fUw1CUQAbw1ZmMmi6duqIrl3Evz/UNc7vfh0r8d/n6/
aahRDzTQLhzDdFgvJw4qmhOpiw9OCrJhubXhxsahUHzJIjI/6bOV7L1IL3d21L0RFJsOsquzfVOh
PFkyu97WqfvmQq3o+xeYMYyGVrJGjrS68TyMzpoSi+Rheo2RACljz7vyTYmRlIk0P4sl0i5DwGzo
92rZFOLU+CxwOilfQ7VUYf70q0h9F0TI0gZ1EGD1q3bFZtAonDJVoXvpqUAaPOztY1Wcf9+/XM8r
iVi/XyVXd1sOWgrXTP++0vtGGwBq7FbMnBmDL8ddPtb7tS7tPx3zp2221vlHT2DdQgDdEVNzGgg1
rjx7sjZLM1bPKZynX3uX2rJt2bs0l2K5wKX5p3P/dKlCVgPzNn6LViVHSLQRVyJvEPHf8oCr9h83
WjWG3h/2V+okbKT/PmlpL2e6DasfPGnwfhlOreSRJl9NNay86Vd12bUUDk4zGhrzl9MvH+GyzdIH
6/8BhfZv4Mv+PaDa/0coNJOwObySf41Cu/kx/Nf1jxFX8o8wtF+n/YKhGbr1F1IOUMYQ3IAzogMo
+wVDgzH5F/xrRD5AqaMT4LLrbxiap07SbXQplNMBk88LDM34CzEyiFpQ0DwdcJv/n8DQYFr9MwoN
4Jluo7BF1AmRIgTbfwOYN0gwoZZdpleiQWGqcUMCqjhv7LN8vPrQl7x3IG4gAOx6xlrTMF+IE9J9
Tey82UWMn6hzVQ3tyAvpDu+FxazoFJrIQbJWeS0Mgo9WTQA/gCyE1oeqln7QYzOqqjIs2/f9SxOc
RoONaMBSQiHIKpURQLkYkUQ57BZk2VIYF9BZHaBJkRTf/SVUovBqgSoW5NpSWwpZWKylDUwpwyQs
TqzAindcWwUenCCiSph1sw1cp/CmTac1JXkLBgIpkvJ0aS41FQwigzqjMMEosQwVy8hxKRx0KffS
JsOswimjGgSXIlFNQu3abk7E1bKpDh0SLBGyX6hsE5Puy5jS1Xp0ofuqesgNgE9hb+GaZavYzXvV
U5m+bHxwlk7HUr3k0kktxdJME2K1RqL9bDWf2WQEXnE1C3AMEzIU45nZC6JgoY+0YLjBceA7C9c7
TVrDxiUKuRJBcd3F8rZN9YjEb7/3y7LGR5A5RyuTbp+P/VMYI24etvrB8AuCpchI1DFeNfhj7Cev
2ep1Gt3Fa6BG7Xkus/Zsq5osomrfG8bXMMswvtIIogx2v7OyDHX4DC/HapiJaGCTmovqGKX8Vstv
k7rNp3zumnC+Bhr0vPx+0TyTrBOotXZ35PUw53U7XA8HmYar0J6wptHdH11VCiB1AA8ZBeVpqYHQ
+lW7bLPqAb7rpb0cc2lezlu26UFo5eij9lsoezXJu78v+L9c5vfdy2WJ6pKAX6rv+7NzOzPGXe7p
LB/u0r7c7z/f1tYBcK9yDt/vuFygaFGgWmqXYtnW5ylin06wY+Hw263ev4Lfvqbfmij5QTiWyvBY
/QLxYKhIf3jKlxmher8SVZT/aGYiJupzaS+72xK49no5Z9nzftDlTBtW5NR5BCfMjpjEHy7727bL
7cGPKSfYP5xyOebyacpOmWmbxEMuN//TcZfraZEMdm1G8P0ft7icetl2+d8u2zJh3rauO/GEq+8E
aRnUiUo4aQo+p1UUqJe2QFMNusjW1OS8/r0KMrM+aVOET5ph7NDxF/pWV8xel9QVa2eucbnab83l
WpmnQAbLnoCXjaCDuvmEgN+hA/q4HPOn85Zt7ycvxywf5P0Kl/bl7N+2VcVoHrNWr47IUvWnGgzC
dijK+kQgvz4lQU6uaWknuTtCfVO7PlSdScWxc9WN/r6rlgdm4vtOdeqJpzoLhGaR3khK4gyqz+/V
nnYZEj4cFC2HLvt0NXBcDl2aEm7ObsqcmyWFl/9zHk8YCdNCQ2uVI6y4XxJ8l1SfI0bmh5f2cvKl
eUkHIjPxKzsYoz24CkrTYaHIt7NkWJfaUjhV0K+JGcLlVanX9x2dcHCyxIdNqoTkkpW8FH/a1iFv
elJUe/WdLOntpQaShRFRbctm9d4sewgVHWq7J5bcZSTsl2TvBE1lZ5TJze8Hv5+3bNWWx7qbffTo
AaSlBfOHpZB9yKevI2B8apLvqsFtKRI18V9qyw4j0xpwS9ULeNv+qCsI/FKYns7qqUyJwDhB9HlU
X5UlsB2thaWdIr0ZtqOP3QrSdBg2DnROpOMk+Hv68EuxbIsr55tejsbWTsxfadZeJVxLh/+37MVR
RHUHjMvt8KCmlnYhSjEVsWKVKh5UAS4d6JrEiVwvBn0d9iYiD/b80CqczkTEZr385svvu+Bu8iV3
sWyUy7PjqEEwP895lHC+BdIoK12QyKS8QWepr2j5YnAEOthG6e2XLHogA/s9ix4T6nyvgeqrtpmE
mloUpbLQUKgpc7aZaSzALF3REMy40leDArP6UyMOKgvkjPY8PPJFVSfyEA46PBhwOg4cqi2EsGib
FCAMsljvtqNKzIs5CU55ITV8mrQB3KenrcwS4bJRG7atmtXZy+xtgVgtbRQi/t64tJc9S1HOcM6h
ZIKGtyoyFu/ty/4PBy0XWdp5rrk7E7uS9/vMzAwxLUjFatasR98Yit2IlDRosiUhxsQGtQWKkdBF
WA/WwYA+akTOe8LskjVbau+psyWLtpy0bFyKTtNJqv12+OWY1m2QEJr1cO0q1sVSzBKcP/KUioVR
opDKP0pf/sf9kxuBoaz8dPPbMcvR/8a25ZD3uyynhMnwPQqidnu53VJb/rXlv+jJxxPMwiZiaS7f
1lL7U3P5RzNt78z3nRqQLoWhBqFLM1IjCMFFIOBduEMAxuWBVUMLbChGs8uBS230csa1yzmX3e+X
TZBaPfy20cMEhB73n2+7HPMvt7lM5In+WDtXx5XWbHnSl6KLUGx/b3+oLrtKDXvQPx4pHIef8l/v
/3Cl3w/90H6vfvgUowkbxNGQfl8u/T/2L4fO6LsdhfH9wz3+XP3znS4fGj2JJ7DWKRBnvowP17gc
8uESy0G/t5eNH05/3//hUla+J5FVnIiymR+K/B9NBRe2G6JryxGX7ZcTkOAIt/Wcv142haRJTqaT
g+Naqssemfu4f6oLVxOLQ4BfE1PV01KMyI2dZlUgV0b4a6kuG5fdeYdRFvJTHH7ZGOexsZkUbym9
7HalirYtR364nFkSSDOHGj7XUl32v99paaft/DTXAVJcUsXtLqcvtQ/XvNx9ufqym5/7QTPKbmcU
o7btW/N5eVcub8TStCOXZPz7e6HUvol5qrdwOYrchoe5LbMQhtPyNMDGwZ13mQENaq5zKfyyQwOk
lPraGxvQ44AilL48gKel0PrZZCqj2njAOTr2i1SDH610ktMYqPVsrt4ZW03PRjVnuzQLVMFgaPk+
fGMFjRN+/MrchwjCZGlkuuWPSdrfQwbyvGpIWgP5cQxMaIisVrL/7MWr4pzgWrbrDPs1BnG1XdbW
AKxeq+AcwIndAiH8tZBf1vCXJf2ctLicRAwzGvimM+BzKB8RE9w4s04kmWrYCd46a1LoM7rcD7b7
Ked/cRyw8YDYwNeB6G5PBvwfch0QsjQ4Nm12e1m7LqGIZRVbjM6wbVyMkIOhN97VUf4j2uj/xYAd
OFf7f6GNjl/Fx1jdrzN+xeoC6y+ys4hGLGJItqVs1P4Rq4MYapnMGH1E2N4Dcn/H6ty/lKI2OppK
UPyfKKOm85dvwT31ET+EBI2Q/H8SqyMk9xuxGyVTNIR8FG/gprqWvVBKPwgn6J2GG0tFHsxO2/7g
iv6x6THV7iLykkg6Y3lqhejA1nC9yT8F83RVygBYmLPtJw4x8/rKCtHncUjxopv3YDnF11bA5NJ0
71BjKBLr/RPaAkCng/geNsLjgPw1MjNwPhBrDftYMvOyP2WaW60z3RRXjtV+LXUJawHm5tRgbm7e
ugaZu8Q4GSmQZ1mHB0Sld54UL0R/mEjE5VVWY7wUNs59YwmkR0Z/XaF9iqsUDuDwSe9y6YptKeb9
4Gc7nGbPpsRUnDAPrJq3NAiinZvhuTC0HiJRJnMtw9ygz0KW0yi2s3dsE1K2KKrWWz+b99KQzwVo
0dnIkHgMyj1WNk94QZLc92wVJYpXczN02FKP5l7HmrWWxc4PxWvjGzvZ2lfSw2dmNOOjUnU11tbg
9bzmp6r3JtabTXGuBo0PYLKWxrvTvC6KST97KXBD1bLHxrxeagZOBsdc1699pIFvZgAugBaTYF9l
EYEu0xYwzA16E81yoerhyAyAWrstnQo7TGuO7qpG25fExa7midQSujjjBt6JfhfNzkzST1bvTVmF
zd1krzI9CRA0n+Jt4iT2k9cLRj0PAUuw5vF1X4UvUVhqt3oQAemIyOx7mh/eLkXrT9ot+r2PvfWt
CEYP9pPXIQaZu/MNgTt5xslxX9uoeKz0ttlqIb9ymmD/u7YKdNjmTFQby6ksEu8mgIS69IAO8Xiv
Oy3zrwZytVctjqExuNuz04/eVTBULfkNhD+SvI/vxtZLbpIhXxcTIzaLGynXrW6O+3wo7wJX167d
bJKPYkri/RShfSM9B1nk1rHvodz0AThoo/2kaxWF/hpZc/i4NEyHTPNQ9XceAuHGkLqf+sJfAQuH
n5N7+RnnlRk2ikg/z7Vew6B1QDAK6/NYiekptLrnPqz6b+lQoHY32/Z974bGqWrKcQtggSUO60eQ
Q+IG42/tR+NqPMBjfdM3ho11DnJDuh4Rli6l82S6qEW4aXfj6kMCW8l8HLVq+u7jYx6haIFEQQku
S3PjL9XAK54H0IbgXbB4ch9wrUpfjRAaGs5v/uOUkn+HLxvvxIDAkF+iXpmnXYR6TR/fz2HZr5PM
d179OTpiKRt+A2i7DiGRBWM3fBJeNR9ixYn2hSU+Z3O1zUPXxPRmRIsbX+v9qDnhJgCl8Yzzig0H
rQJFoYiFeN/5296JdIAY7A0Gc29IbItS2/MPWS2nF08YL1OmVXfCBrY1tiI7+qETrR0h+u/FV82o
w4dsRlRl9JtzXvTBjRihUUakKggtJ/4ViCXsKUoQNkjg7Z2UW+fC0LZgrHrkP1txcnvzU2Da17Av
oq+FliCexrL6rjL06TrO4m5tFpCrfV62M4gL7zT6M8gkXL4fK4StHpHYP0gnyNeDKGFSq+1EU+Yt
okTGdjnCE21waHvRAL0o1r1XTPdZ6433jt0N12WSnC6b+C2zfaQn58R1gSCPZf2i1xb8TUxktktz
mpQtL+LTJmnxczv0+YtjZLdhlYl76K7Zp6nCsDQbXl1iN9cDLNAnUeY3SSmi26U1RkO0gXQZoW2B
bt40+k/0QCSViym6Aqyqv0DZRLjecZ6mcZB3rRM8O7C4PWjlD5Vh5vcEwlGaFrAB3cnZ6mleXNvt
mF9rQK8qS4J0iEzg1DUA5nNoPiHlM5CA9z1Cv6HzWNtui2tm2PwAyiOBGV/1jWduXK0O1nOeldck
d9pbfj+AG30fg+QNywNWfM+RrYlHrTSKs2S43BRhUu+8uk4OtWvdRjCgv/tImfm5rr2NIMzcI25e
04tmlw643ByAh2puqj62N61EmqMVtvc5V2DA2MhecOgOwDtA+QRv4H8eglmsdR6vFVwfC7mAqPos
twz57Wd9hliaJ3AAjbr72Wu8T1gF39ZD0T+7mqXt9MQojm0fOjs4u+mKGWF4XxpOtSL5hT9Jh6C/
3zf2XTuJct3rvMJN6RNSC4py08sWc3rU4Z69ih8FHczkPCblTVjVOJXP8F3jyItOfOT0k+fkZM7z
6bMZBu3OsKPksdAree/3xSqBwPzYDDZ9dejWB1QA8ysz7a6yxu/v7KyGUu2n8qUlgZQmVQmVTiaf
RtEOa9srxbFukuST2TYgRHX+o2UvIGskwJgRFPMxinRJ2N9r5zvHlfdGNMvz+zbVLPu02taF/hxC
6rz2VbHUhpLPM/ROvO3GrD+Pngn6RNXIFcK5n2tQmHE4btE3BP5e0j3piKWhMpjgyGCaNdg1EJNF
UDR3uTEcvEz8NHTd2Ae9rNc57pMrwj8Mg26O10QIEQGi8WrmS+D58RF3UwEIhZQImi+o5JL2SqJD
nOvApapkN2kpA/uAmILZeuFVHbLyL7v0xgRd194V8MhQDW/NlYwyY6e5P4yZCZHNoLAv9BnrYzTC
zn1W50Rl9MchRBvYSEPjMFsh5BH8GXdVVh9RtfkSBcXeiHpzO/bZcHCG9hud8AwBTwtuo8kG41XJ
l4Z4+XVvj1/tJljbEj6m5zA+yAwqQz09JohP7sw+xOqr67gtOgGebUOh8d68KX2a04YeFdKAFgOi
asd7ROlwZGybn2ECLgC3Q/SM9A74nXEHjpGMrdl/t8bpmLejWKHHgGKWhiBrZafNwQcAvwYo+hk1
tJWeQjZv9dzcee7Y7IakJo0bE0sK6rdIsJrhbX3WOgfxaWsbOBZKGlGxDZLg2WrMN6PQrjtPv9H0
cFxL+4tfx/vB8O9lRfw1zYcfnmQF1pCiJZLufoqkeM48B1Xp0N03Etv2evqR1ZiWOkjYym58ccL6
rVeyX8EcnZlqeNZgbPRJ33SwT4Y4vkdMEjngnT7o/TbsQxZxmliV32WCVnnWyXXQ1mIfyRDQaGvs
O9PeTQPIRQfyx7pPIsVhx16+cO5rAMtN/gaF9/NsQ5PN+305tZI5X4F9en5q8DoEjmu8VJ3+CE/r
AZGMYFe4vE/6z8FVKm/P4WRtEYXb1JFzCE0iyH13G86A9Cdvw9O0nZn/zf3dKPy136JUbMbaQ29p
X7NB3OsRquRAylLNPUzYuGb0xCvfHJ9gD8JO12qxIiALIVcKxEFn3B/HFZz0B3iST2YyFxuYd/HG
SpsNbz+6Aj6woiGJd77JK9mmx8Z0MOJCfQqeG2+25UIHszaRjZMFei9dwFhvwXBpbhsFq29jccX8
KcOMAF8GkM+jMYKuHQLo1FhatT1pbXQFAj1sUC7wbgX6hlZrrUuvDM8mglIANM1VotPBFNFnh9T9
TR70X7yiOVdz+VZ2er0X2vSk8z5uunZALMyzDoU5Xw1Ym6ychhcRjc01CzHFjJzuDKR0+fhZue78
cEAFrN+3sXycsuJc6IhElT6+KZOFKEfY4gw9Tggf+268mSP9Wa+sG/CFgOACK9k2TvplbvAoEzn/
t/CjdZDANQ9MkHCifxaF9UWo62De8AURghtLAu2e/AzH+vhHY/OOWFrz1tcJAEsJ0dn95BXBKy5S
31L/OyPAHXQXPmqdOCsYB6Xwf/rF9A2E9pXZIYGql0WLSaO8y4SDF2uOF6s2fe0t/3ky7B+9O/yY
kubKrlE3InJSVMWVXcZHR/CTO3n8FjvJfTcA/Kyc+qtBcPTKiyeGL5QadMaiPqlf3ZRnmXEA0anx
UMXxNRPmz9AaFAT0QbjujV8H97k53VUVRJapGL/ovryuGnEignZmaoReRBt/jw14KeoBLIjDrKCb
7npJZAOg522buWc5Q3jDfF4jROTlm8oXdyG5e561kodkdpS8JS1tuNOM9C6t7VdHT/BZRaZEK+NV
hdIcxHl5FQn70GC5jdAi7mnIZrXFXd+H9R62ALwiwAxtUdxGrqTLisGgZjHRlzjaNEMMoOzVVpkk
1HJ+SH8QqzZrzgJOfpFu4zQM10wa/NU8u9nBGpJbkZvdHl/SO3+S2OG2ryFI2krzEOPpjWadC7Er
x+RaNv2I6A2euG6CgrXd6IepcbZCq75C+pVHG5TwqtQ154b1Pri+umW+UZnMllgfGz7fQTCP8bUN
tmAKRHzntSGA1fZnNoGNkb01r6x8F9q2/xY9pI++tB7doEyessp6CUOGdvQxtI0WDqfeEcWOWZY4
OgGPVBlIBDrM8hZ4xIsR2/nV0Jo9KJUp22VkqtpNw1IOjsZwDcNAf9DypwQNm5Xp1PYmt2K0Tvpb
Vn72JproTaJ+nDZNkBBmiwMg/X4IriR19tqINoVElSPuEjClfnnrZRMiBwGSE3ronTN+tbPGfwoV
4YgxQrSt9fxW0wZz0zj+7TD4AjpUsXPTIGXS0sIUQEgcvLf01pY2vrqtJ4+sE49OHIfb2UcYrXWy
L0lamae2YBVf4vRidGil1Tk+ljgIFYw1oMDNYtrlRtd8FkW761p/O7Hwf4TjoXSf3K9ovQ3r6L8Z
O7OlxoFt236RItQ3r5bkBmPTGgpeFEBR6vtMdV9/hlwRh33r7htxXwiwjW2MlFq51pxj1qx975YC
ymJNzNoLl32zzT9/0xrYmOvUeUhIQWBb65JL5D7aq+Q/7owXlThFLqCFvlE6exML9663qoc5YoF3
CvXUS2Ugt5U0AQ8qHpdXFLQCd5fJBr2ZlUtPPrkyeGnQeekvqyhQS1vjaazUP8kMrUIKUHNNXsah
1ppsrGOPHi4SnW4dU0MVYQD98/P1RsOzX3N9ccLr7dfpNPPM//tx17szNb1hN9burr/aFRzdpC8d
/nnK651qREVoEmd1fcrrTWMLsqR1MMGjDGVsGFdHFXvdBjAHy/K46w3rMHb1OZtpJFXjd1JSzIpZ
/UXD45QSpaHiJlbEoe7FnSm6A8A9+A4C76G0f0F9/Myb5dvJ5u/WYAwpIV/0nnEwxvF7yYl4ruvk
mYvYsUz81hMTjkpqBUsnKWIx9e8Z8CrN2aBrtFM9p7iefy8LEpOi4CowWNpt29iBmWJqwlNBv3ml
0/ZuQxrG2lPO1y/DzCj7+t1SIGMaxtYBPe1IkgRUAIvcef2SCFFul9G6tPnaINfTD8yf9o0qgBKO
JjbGxoFVgQFv0oVH99pDr2LGaoC4HLGtLicu1y4d6evPDXv8GzQEuSgeaktTMavilEWkPW7WUMrZ
S5Kb3C6q1UdVY3gpXwtzSbaLA0uiBcKD2Dd7X1wwxsDA9aM6GGCW1i/6/35n0/+jlIo5iacyP7oD
KChUyhtotE+EQDJdNc6KY/3WbXpw6pPQ45dijI99XgYi1U6AUL5wfF0cbKVJygc+nUs7GHNy2Q01
1BWYABomzmw5GdpYb2xTv42VNjTR2+tSDdJ62KVTy34GcRibHo4NNilwYvRjVKP8Xhk/JbmhoKUe
rryFWYbCdkLhKe+tFnNlcKpzOnm/m9k9pD1GJEoExmHapovAiBUPUrOODoI/0T6QTIiprj0rKYYO
smE0VXkXuObo/VHiQ3/AW9vK5F1b1JPRoj3vFyQBjcRwpHaCZoN671ZeGySkkerR3pDj2QMSt1FM
Cqliu/Tmcdi6NlkJudLcMtDelRMWRtlqXPf1Oz3K7vJ4av0pY6TWVeNuYEONqSLnz3Q4gqu2eK4l
jcu6uLHYRbnF8zzjMcHl+6opAxHnGfuL6cbT70ynG7dqIT4jlzFCl0XILZriXs8OoEMBuhjNn7yZ
fQ96gju7/VEX8say6QiQV4DX0avPDQs/cQh0SNz6oFfTTILh0BwIH0Cr0GCvl7dtGV3qxlYDlUzY
rHVqv27uZrNyd535NkfRk1IkQBP65KbO7qWFtVz0jeMnVmJRN2rYvsWurMCGQZ0hqaV8jSQR4gTW
w/pN6LAm6XNj7mTprB5IdgEUHBz6vdw03dNCub9xPaH7nY1ppzfnC2QH1pGhA63SviW0HdwlJKyn
25Rd/2XWzo0AaIN1L/vK6tIFfEbFms9joI8nBAfvE1jUG6Pn4KyYQZtjsxc2iPmygTxYR8lvmP3y
nJpUjwYGkZzLWOF6r1mO3SeS8jlLB7YyjIbNasRfkfqZKL5Hu3/VTPgP+fIlsPUjX8nxaOioFfRo
BKLzVOidHniqxIc3zb6lKhfEn6v5GSHULHW0jdZRTXdFkT6WjnoHH2BTiflhiKHWauKXafaExr1K
h2icpAlH2R7UwnzMqrlGTKChfZSpX7TpyvCwEF4aJ0UjyLDN7uoW3G4ZnYqo1zaLMRv0UM6YMb/b
JX2Ls3tDa18xOzW4zMqSatKGSGazopFyjzssufWGKH6TTf2l2fnB6JXbyZR3UfziciIaA1WIS7Zr
40YPGtQMCLfF1tb6J/Rer6aVHa2peor1MugL6FBFflywBvedA1mlO5ii/sjbOd+oaQR/zQAiIXL5
lpgejt3F/IwywOZwRxa/tOrnJMmfyqX5k7BQ6Ev7BwWvj93rAW70hZAVJK3EcNTV55JOnxGLgqaV
f1xPOwnZkNjlvM9ryN3iscfsgt4kraOp6f0PWl1uUST5Tr6gxks3+ltnTtkexdgzWT5PAAfMyAw5
uy4Arh4K131vIkDW/Qr0G5ma8gaXEzmP4GUvshTuNp4xp6ylatRUf4QigDfiHDIi49JxCZCxdmd6
KPzBE2y0udrWi7OdwWmDPohPXPq2dNseCjxwivWlcwlrYHpxBL8Z2llSvdlzda6X8SCm+AEkw6Nt
UpQtdIolbQ+rDewxXwWpI3+KcjcJBGMWjmPPPKUaSLTUcJ7azM78bj5YCG7p+Lp0p7W3UfUekwQG
opvqoUNtqMaYMccWyphT8OfWxcKnnWf0Q2Yq6CK0YwqepZ4e1o9Yls2zV3i4uVkRcjvZ6iL5UtiX
BTOA2xAHlp9gO9HoKfdVIGYNAlLmXfRJO402P5ChGnZLx+pZLtaB+fm9m34NvTWfzDSBHmMpv4q0
eDNSd91aeYG75C9djDxwvIxVrfFr6d31RBIFh37zh+LjUqYA3uIJxprAbde6963dEpI8A6zPFV33
HVVj/9Epm1mdXoF7orWIqNkVxKl0pLhMgqrWNfZFdn7LeIznGjaFwRHDFZ14PaZdBEypn1HSgD5M
7tNR+4SRwyJPfkWsMbbVMYDOdcNZqfMBdhkd7HW7DZ4HD3Ks3dqNSkMw98789w+QsVLfjWmHKBMg
wdikbbTqH2PXIjK1K33bsTvw0hcLrPRktXR3tEuU0OAYxj/UuC+yeLIAO23T2SUByK4Djq1iExnj
jD834bqCICqQE1nMnTXfRJ3JopDDPxttFU+nu82n+TFu1kG5HOQWwyYXVF3/LF273fSo42YrOllS
XkYyYcp+jUzDV71HqJgDszoShUZQtM1Ge3UPlWB3aLlSl/Y0n1R3kwwaQ7fFxzJfg17RGR1WMRxm
XXtbtA+ccy8EjjNIz7GAe+sK2fZvcFw+bAOZpDsmoV0O2q1bUIcWbqkDDeTtTbUlWEdFMEVcW4eJ
jDxdNzHJLljj4KIDmtJ8xl5bGy0bFresYiACL4YGd0ynDdplI4AFpLjkHYUUFhx/a+s1d29E4mKT
c7RNliaXThoTK1a37YRHat28M0bxJVvXJCl2mTnn4jun8B56nS6pMJ5EO702hnceYmYZRav8omNr
qRVhd0ld7eFoQQJPUq6zXNDSdP5MST5NQeP7bPP+LAjgN93AnpU5nz9PeroRDheC0cswkVreIUo/
ads7nELLitbzK0N/Q8vIJbtIf0+uGpqlwz8uQeC+EO8Ua87jxu6xA4PIeklMGdaCNzAkqrNBbEEP
yZOhVtbxrQIGDhbFQHLSOt0c4jYgiGDXAoRD2OB9Ud5c4oVdbr8oQSyXgZpk/jMl4qvszK1IHWpX
LyXFSsM0GkVbtTLqM1jNF81j/yT7u6kM+fcenZh+0lyPd0qdGISerUhP0iGKLr84Cwr/JKBYkubZ
sdvpOKg6Xdq41m7xvbN9wEv8ojZ6TBsk9kImbCAv+w8Cblo/HuSNEw2najKxM7sLH1wy0V7rtyzP
c2CN7NOZQd24/RpFMT2reQMnlzXPq9mg5QkMRY+EXp1xUhIfRDnRxBq+XeJYmau85lqmb7BpXKYx
n8mbwtg/JNnWsgGy5uoSQqw/z3X/XcHV2ioAV036/Frzognm0nbq0MxL08/mOPXlQKSfCocUM3B2
Z5dA+/PZ/Za9S/+fuV5Fu1pR1hWgNBlBjyFvrdySFdZthoGQrLzCpNyQ4l7p3qs98Yl38fBB/lu6
iUToaSsu0EAmw8Q+7HvngQ3tcxKNH3ruOptZuKFRuWInVOOtw2yyi4SMCQfu3vuC/paWSlz7E7QI
0FBcnLQ7i0GhFamNn7isfIaSn5Qm3Q5TYtJUz8KcaUqoR1zSKdmbfe94DHE6mxK0cPfNAmdKWlNQ
Div21f6NspMdjAMcWBo9WFHNDjIIHQGEg98tIzN/rLJnonrFRqcT4HfIvTaAIDpemVQUEQBDToNJ
6d+tKEmB3VAYq5Eeeg4GFq1bXgACRaw9uuqPLv5mu3LnQKrTl3S4ySr1e1cmme9O0OnGMqAxxq3T
o7DkEpIUKzdJfRy8fr8CJDaR7cLz1LpgLsFfNLqCCb1eHmHERMGsLXHQtMSy6a5dBmOqrqICiknr
NXKMB3OCOBqldAldDd6KU73VMVRS+SIzWQVJ7c17UHva0eiwETvt1tQlte2zQ0x0MLDAIGEqziwP
25Sxvn2OCs5kJk/GPnMQwCqxqQKGIT5DTlxkGrubuf5o3ymbPz8h1yrxrG1XY+mDgjuWxSGf59tk
7Md9WSxFWJj2YcThxGrYHailCQ9i2JONyUkxmDakxXRIc48ZXaEeYlK794tLGWKbJg71xZ+8Ptop
Mg+szEi3VU+JYHbT1h1kzQVGwJyw2ZAvvfKr7hxoWlEO5jro2/qoxnjx1ZiGitG5aJrnTL8ZigFc
Yr6wFtUAaWYxf0LdXU6FOoCyrGEflI/wrhe/VZwT6RATQ1pODJDYNUESt1WUPkVypPCApkx7lq6d
aYEZAaCaJvk2Yzq5EZ18ZB+7larqgSJkUjtUTnEzVPVuSW96vbq3KgYLDfvsjeIWj+MQe68ROvUU
tpKl/KY7Fy7C3hUDQIeZy4zp9Xf4ywbMmUO64/U+AJWxag7kS0N78CcTc7oxVJ9qlgR1T2Ddkjis
sYohwpmOiBlnZwsoLJfQR9KyDoNTQcsQEqixWdebzKbejCB8+vwWzTbnC/1PtbdkibcogdipcY2y
614nATxi6EDHZ2QeGTvaZ6XE/VE2yl2L3wlj78WdVWbuUZHfKZlvdcW24U/ax3WcoC521og9k/kB
7RCkEYe81X0kRwsE1PJ+lsut4aRFwHBno4r+vuxyRh3GtNHQ33J1wLfnDATlyZwdU+cs4ZInT4Zb
GX4bV3JXpI364EYxo0TFuLRe/TgkAo4OYFFWMeOSRu12MZeeaD9TPQwa6LnOA+RBz3+r9iXI4Wq5
L5QzdlxiRXQaBrlyRlSA8mPqzjqx9YeZPRzinRQj7qJ8tEl2cX/R0D8WystoEn5as90bY8v2dY9L
j/ptjAN0qL54wWV/7QUxcZDwVJA8NyiEkDc8EAECXyDnP7kYE5WrW9qhaSuMB43xdSBTbqUUkFvc
tIhbln02Nw9EmumbJPaqIC9BLxu17dJHcs8rZnLbq1R7epWcyo5AICV3jiSAIIIy4I5H8i1FPbSb
G6I/VXKALOuEgeCN7iA7EdHFWM/9XCcrgx1F5ZvIBJl8mOc1nnyUPpcLe++UJUxOhssK3JmhD4RO
J5vL7XFgSIfhYPi0a1PZWMQKB8bwi7WdROgKIFLvtn7mZEjxDdUNS0+eyp0bDcHYJfuItBT2vNS/
uRx2HpJHqsOQaDi2VDTlWwOQMjNLKF06s1EvN6NQy1mxLcSr3UDj2yLrFAxzNJ+xDTpcs8vj1ACM
zyX6VKQme9Pp/8RaRpsr/wO5wg1W9oE72EZot+kNgAZ0EdXWSczPOR3vPEu50bUsjGakoW46XESd
PWEgxQ40ZlgLxsvMX6MP4n1OP4QlmrBAhxLC1QgS28EkT95fSBYKh/oAPjkvs0cUmfauRP8D3x0m
mxdU/NfY7pdPuTmJTbOAnxyIVfVFnf/WE6Y8ql0/R9G0RzbxJhm/b/qchchr+48lS/ZU0qqzkDYT
D8y76/oPg6oXbP0s5bw+XVugkfLF0aZTP7vRNppp140D/IiqBqxM3o89g4vJbP3o6ervyK6oaKn9
qW/d58HeJYNhb2uSb+e5PXuesEGkJnuENTKMULL6IznOOzfvf+famLP5pAIuVKd9kK15JNfXC0uR
b1tHwfmm6U9C7LG45AwK1YyLdvTKYKrb0qzgfyMSGk56FuQ99KCSi6dJR8NPJ5DlriPCer0sucnE
ug8Dmus4NI1s15RDHypcMa2J/WRjQ5ogtfebUVzN7gPhVVwxRKJPV81ecRNr6FonJtsjwy46mqZv
DxxwPDUrQ9abu+5oOy2dDtN7IljKQnzR/0baxSYK/glGtFnsZsOAi9UT12Dp8FhTik1Ne1lU5TeR
1eZN39SHTvXyR/fWfdampDr2MZS2OrPpd8ZPtvFtF1l/X2fLQyyBdkMSjaZkOpN+zCnCjqvPO/R2
Fv4sewGHDflkKYdTLeC/uwZK6tSN1U1rC0i2ff0KQFX9BXz1sTOsz9rKf8WlFu3MbFa3rGqD82jR
YN0ZEHOPSKNaJjkUnHUlrJNdskDmpuvTZuoC1YHKG1subLrXvF8IDl5l0qrVftbAT27KxvBlJO9F
YwgWBkrMWtLwaTqlCzvRBHFs7RKBRHLumzhs8XtUSnGOZiU/aMM832lOdlvEYLWjtFMP9qLe0Tig
h43FsquDrGUxVhPZ7oUJPTxNR9wQdOh94lxLuPM9BfbY39ZpFv1OSkZsU9vAVPF2ih0VUJ77JlB1
JZTtNAY0R3aTFZ0ViP4rnZtQ7CE7z7P9pNWR8WgW9cEbO3M3xdpTyixqP6kkhM2wkWrLxtmERH5g
sH9DjvxJASwegJC+aHQILXNYtnmkKiu8W7vRDfcjg+Hnz51ZbEFMMjwEsVJrA7sWoiw0UwrOd6Av
6Lvyo6emL9rSJ0Hkio++MAHXstJUNrCquaNDFiViB26KTMrCRLMG2JQ0La8/oANRWUreCyQVfjlW
ypbZe+c3q0+Y72auYep935bQokdiS2XxMVitdqeBLxzLz0i18pciKh4wi3xahR2KpgQZTsohXekw
b72tTMbHgkMBRa3oAuW6+1WCyLGhRIpXhSjaMLWrbeQA6C9q3dq1XJfVpvsN7JvC1INvaYrmbhQ6
V8rhZqybJRzglrJOsZuqktcxU1h9DaR9pRftpnXH+Tt1RXUmV/etqbkul7SrQeXDA+3zm5KDek/4
9o2KMulgtNTWYz2RQYhjmvJpjpd3g80wBHrfbkCsqTVTjFT8ivQuDb1cvPV6F+F+YGpChfw9dk2x
y/sK9b4QfQAaGUZLRYEsR2ByjrMtFY7XZZQ9olsgm2rHm9Urz4+JbeD9Z4whnGPDYuPU5kJ3WH1V
qe4DB0imGndi065tYrMGkCdr8VymnoB0Zc/0nCyYHYnEZsfiNGR5dDNbFQTvPrngyit9vSZfoNEN
AuAWpdqq8DiQdCZtGBvzRyfKPyKfGoRSzj3eIHNnewsZjg0PR7jykqeUgONSvciRz8005EJER30e
1JYer75MgPjGZ3UAmdoG5erWMLgF3Du54IyoDgAvJ/5Qsry8cio5yzE7XL+7Gj//P27Tr1aJnwfO
6zP8PE1DKYT7PRHVUcuq1r8+8PqYprUR2l1/po/vzv7PK0Z5w13Xn9M54a7rL/zHtz/P//ceqLSg
pg7/z3fx903+fUWud/0S/uctsRllgdPiejnancHxsX4S11f/+0aur6bDMCn3Py/cKDklxPWhbW4v
3d/P7++TX2/9eZbrd6pDWmE4cJAevOE9XmHAbom5v1ptvlcPyo8v62oM++c292oP+3lMdjUl/zzy
+t3V0PJzW487GaSPub/e/vcZrvf+/eXrK/zze//8aK0W6WU1S2tX33S6WqgZiN39vJFWX03X1+f6
j2//+th+nq1aTdv6ZF3ycmRrPuSgX11JrMBqSLl+yVZveHI1iP+ft/085PpdJZxbJ6+87T+3X3//
etv1SX5+XKhC2ftAfrje+3PHz4v93HZ9SHE15f6357re9s/TXH/0RAuyvrcSnw7I7uf5/v6515+v
L1fJJlv8f57m74P+29NefydfvBuvl83Orm0sthVlmWYSgX790VmRAtb65Z8f1UkAZ/jn7lElLwmv
sbd2XK64hvUpr795/fLPbWo9RCCmSZv4eYV/Xubnd/95qf/2OMIteU8/z4W+sL3Bdna9+foL5l/G
w/++q+uT/sf9/7zIf71b8cpmP2cy/K8fwX97X//1aa4P/Hmv18dcb0tQkIWjA3A0hR2IzhcZ4dUq
Vo2C0QfMRVAcsRjT7d/lYjReFItQAGjOenO5rgY1LbybJMOmaBq5Q8jA2n0oYfsBAEH5OoChBwri
0TzlhPsQKy6E6W93nFeEiLV+R7euM9li2004rLAR/uazntM6U+GQqBFAEg8ySQ6hpF1RJfYKLXFW
fMkExwT1Qrwl6vOu1+qTtaJOIknN3EM/maGgmNBQ8hWLYmSkD9fMYekBtqtcdyZxo0WRpqvRrtTU
31AInrXGy7dJiyiinGrERZ21IT8sDfWSKinOT2XdJpsOKBnumSa5tVFBneJ1DlMbPVOQ8lxqaAEY
YluBB2H5qFIKM0VvAOeJ6KFp5WFSZweP+qI+mK6t75eRd2azXZ2cV0oTtjYi15CwU+joLrjDlBCt
jjgmZSjZ6vOZBjV7FXZ6d6ZOjAUzHyWM4GtRDiIFxfuijsvFMItD1TQnVLoQCnvzrR3bm7qeIYLK
IQ0tru1UKLdJzESKGLA4YMdOFGp1mBN5S1eCPUZGG1BRSSyJMw0gJ1OASJjpdmz57Cxh7CM3SZ5j
ZohLowPMjNw+aNiY9+58lw/Tn97hg3EH742ZOuPRwbuNwYP7KQnQ0Qpd1hriU5id3eqDmiB6Aioy
d8lrO/zJIgpIVaUimBbLxUm8cRRSNoXO+FvpXJLXbD5pk3Y6keVmSG38Qi05bftWrf1C9L+d9L5c
vX/oAvldm1byzlDm+VFXYlQtxC91TN18J8rf+8FLQsb3ZMQqNAgamXRbd9HGnSmKrYtGI9RN/vAY
XSPpIQ/TitqE0aveTqsvMsYKgMmbf3SzNRJwhcwgoV/GrsrYgHNJ6OzsE+WPiMol6KbTegTpmS1O
RbJ8M8KmTO4ZD7Tmu1Cc6Fzr8qst9cnXOf18ZIADMAakckniNL6pZib7KeeWMcUYdHhDMMITP4p8
yzDxaC85Ibq2mBmKlMwWUb68RmmOmN+G/VYhvJpL8txdXstGSRZUgqRWOQ0zrDILHZ2yJVI0epg1
gEKt+9kUwDNi8qLmQdkKFyD8qFGXacaJfkJyTCqsXF7yGwIhHm8Y4aE2Lb+8dgauae415dvxSGfQ
UyM9EPteAiRVHxYRga+cC9KmhudZg0tKpJ10qb5rhc5rPgC1VvKvvNWAarQUxjQem63ivhB1QJJV
Vka4pCoZmENFL0SpbxdOaX8UI01xTbuLJ7oTJdNXqX5YrUnZAyGSiL+nPm8viOkL36NTaXvNmyaG
MzO00ncNsS3E8FKrEbFwfUZnPCImARU8+w1tUjdeXEfIpxh3ZE6yt0xFpU7WyJ4xXyDVtya2taJg
j9SXrRpUGcgBV4uBsci9ZiC4LIr5FRD2RxS3HVPj+ne2/Fp0Ykcc1KFqmjC71y9um1wgV1bHKhUk
+R2J81PtwfsQk3QD2lXgeklPIvESso/+pyrQU6v2WzZaZ3SZr1A9b4mpif1SI+xMRX8H7yoLV2yq
aPrbCH0Iral5lyeJvUmXKtnPn/awG6LiOa/kuyYr5kJivjczJRglnkGbTiImCdZuk0FYC6NcqyQN
1m4MYo4JApMl6rjsY+BDghmBEAabxaGZsGBh02p9wR4xUanZHfw+fX00mi1xq9EDahQRjhHI6nWE
bE9lYFSShYAkdTR4v0ZyPgLNK1ZlPO2Ivi9fG0szfEvMQUGSTkBayxLYnUpDhvBlIlemEGbqi53p
D8O0NqdfB5upb5vmWCkRRKT671rJCS3Vv/oWTiMNV1+qFvQTp8QxIynXyij3gdhaDNyYaiVz/EtD
pTCV6DrHuX5Ss/bc9nCHgdk3kkZnT8NKH3nDib71eqx3qtA76Bg2fU21uWNutUlr2wwMJ2bfGk+H
migR/iNVbjdb9CK0RwUJmZl26JiqO72Deaioz2VOY8twDm1rf/RpE9aTeU+qRhmYarFPNKfdxJEQ
gRwj9B/ueEPGwSa2VxIpV91QGhm6dtI3AlthdoO4b0bfUE1BZChfbsuALxqmnZEaTAZGNEoOUVhT
92xqy84RpbmrTR28w3jKk+pSTerW1AqE6AnykLkt3lKLw0ypf3lqnd0MfpyAFmvaRzTAzwSrvMwr
R9ns+md4wl/1ZL/qNboaWsMllFY7nk4k0Tg5DVetR8qq2fapbpDR1D2T1JqhjG32hzxCoZLauzGF
XJuiVHtjav/uxcWz3cjbybY2mToicC32vVm85RPHRCb6rS6pDYzhNlkQERGgGKodTa280e9Tcj6N
jvMTvJJV7Nl1oz4smPWlo43Evp59zs33WUzvcc9M0CmQhLo1bYKUiW+Zf41OejHa6Y1ssO+MIe0Q
G2T2pQdpls/MV5nIqfVjg6tUpgrT8Vzji5E8mQuClHpJhxD6uoQpu+xML/7o3f4QS2w5dDfDyi2R
fgjnuzf7JRBcYTdSIGGoTMZPKnILxRw3baVWQbR6hET1kMdAoTWEESGmqN0EU/2t7LO1QeYe6okx
PSY1oE+zWUPw49qs6Me2kOyXoxWh7+j7VUfdNlG1aZz8KKwvlazkXB1/Sd7UQW1e0yaH3D4XL16n
HFn5ntIuIsNUOnz08VlrKBMsfSeycT/V0bbfE5W37flYWCSQSqRYrjYjY0L8+QwGpdOcU3dVL4g+
VPvZDibvNq/rp0KS4MRQCJMKZ+/oRt9FMd3U+QgyfepeUYXc6p64l27hO3J8aET8bpWICaRHGyob
izfH89AfYPb0+4WmlmHSG144NlZYPVHslA2dNlLRTDB21VtOyZ0J6e9ASEtUl2e8AahtMAPhmeF0
ka+2oC23FO4EAbq+KzIaJLh8+DRh7WyMkqAgu/huVuNKKYoR6bW8pDTi913CVAVBj4NrAY8BuvMq
Ho5It8DkyegdG0zAkqtv7bLdOv1wMjrvJOoGiDuEGKVI8XwxWjcUdAVYqMscdaobQ9IxFgA8g8GH
7PAxOg4OghKVVSB1x9v0eNjpszBZLZ/QUzccc4iZ0FBvrL5LH8UQisgWz1zgqCQfvN/qJOUtuWU+
bB9r70biWTFndnOefEfzu5lnJcUuK9+73tvGg8tUI525F8lcQZOmYypS1DVpq6rCyUMR1qIJbGPG
Z8z6EKSWOczcwT24S/HqUNQ3XMHl0KADpzYGmY+vE8R1lt6a+LGGeLybvIzDpU0fNZafoJeca1GU
MyZsb+O0/gPBgva4xrg8Ny5R754RnHxqE6qUpespvTEJRam7Zdx7kjF5TBSLMU22wYvPlCCbrLNO
epq/UGu/uLbR+BboX2S60xddKYYt7jCdXY9LjT0HZON8xE3K1dx+UGLYQbXdIt1uOTtGIlnp3VpD
ybTJLvKN6VKD2YW5zeL0z7D1THG0aq3bMHdXNto0Xqx6DDWdVL+5VLi2OuyDbXmPDZVhr5LfG/TG
mbl+0hKrdozZ7tp2YYq5JMMOXa5B1k+gudUFBdEnO+XWt/IW2avGxN/hoFH+6JH+kdb5IbKZDqaJ
ODbmuWxU4O4JYuKipBBdLJjzfe76HqacbLFOnfSeS0V+M9oxPPM2naIQyTshuAgssRqF0JTWzAoT
EUn7NnXZjayWx8UAGjI0762poFb1EI0Bfb40JpLRqYku7oiAtlVj6k5M+WhlMYC7aDlUEAKIUxiv
LPuBNN20sj4yWSabYZwh/tv61jTmZ13FvJRxBiZ8wrmZxqvk7NtCUBIUEKDZIyaajRJkeidggrnP
pXA4S8tybMNS43MyR/McT+WJ5EeccbarU471pz63XhUYAyY2MuSqwy+9Pyra1lYnxgCW8mTWBIua
bMdYpGqMgS4+0PnFXb27I2SZPGdhU4yjkfRvQ2J86rYybyN9eCJQLpyFBsU+LshZ6agILY+jv1Zm
L6QwIegjySmoDC4WSPrq3PhjMK7Y2JP8Zqh9XTcJO7V0f9bVhxR1/SZpnSD3mN0rHkeJY+kfAFG+
U+ZLWAXrg6GP+2HWPSYP2mNreUinNA9RMYEBal5b6y+EaUrmFgKs/eTmDMb12dcQRTra4FIHZI2v
eUh4EHeQSNAeukgcFQSK8Kmh3xXNJSuqU6LaN0MHbb2mfh6FxwwegOvGLlbLXxZAaVrOtAJ+Nebv
GUlSUy4Z7HvEZEYvH5xqfHP68SstxX5hqG3r2jv6TkI/jDH3KwIjoqnD1reMDAQ4eBrzacidB8kw
FBRaeRpwLCnMKDd15r1lFvoT9E/PkXiUpsoglK37pupcyO3EbTFUOhWWeWsC/dzksQjtZcKooTp3
DbuOAbAEGc7qvWeOF31QLqonq22czI843KCBTc5DScz2MGQRmTTLL9d7dOm1IzIpnU3FHNkXIqPA
psC0HXxJmV4H82jdIBvbDJ3cQZtEP4Trubi0OEBvVFIxOCb9rkmMcMo0dmIDgjf8BiRW6zad5xUQ
h8i9x+cXp4DTJN5T0jvHVv2lFMUNkUL6LprmHZSzbT0UmF5aRyKpEl9JSxCPZRyoL/CEU2CsybhU
ley+xjs1P1BJW//D3pktR45cW/ZXrum5IcPggMOvtfoh5jkYnDNfYEySiXme8fW9wFJblbJ0Sz/Q
JrNQMotMIhCAw885e6+912blSRcqFDKdw68hNzdRZHNZ6jUrLTR4bvQxyuA1aII1AUUE8HattYyU
iehqfMlFmKw9kxhi011kHZEMNa4WJ2K0J9rXOGPC7jHtXHkRn5pyKrQwqsftaGDhlNCZttEsvnLi
p2Hg6W3nCFoLEjSWndMslVsX5HO0GSIhdRD5R+FJH1xccWn8YGPFdojpdTgWsfkDEARhWFFL0YYe
uWzew358ilGxEXqkFLjV+SGiAcC3FLdS39eXbNwoouFGoozRejYEFMQ+o9Dcg1LvrUXSFSRJOQwG
wM0SQv2Re8lJl2iaKMFsynq7WEDi3QVD3ixc9tmLKjc/egtTR/JEEly2Rfj2XaJmkRNJEaNK97FV
fOTMgDYyTz6iBKtv3/WbkpiSyUeoWvIyR8QuBn26VoHaSVKb2u/cimTKZm+h6W1Mu/sJkuXiKXxe
IWuUIat12slnZQzHsdJQcpRU8TnJuV0l0JUx/ZNMr2JlbrXfIJzjKUF0uU7CrN2ECBgdhs0kwPfP
3KOoQYwCkUsvnHVFwDM/tyAmxF8RW7A3Ev0JD6q2Cpn+PQsT7Uhfercm+FDDS+laL+hnHmXastuE
umKjs1jWnhcuEHWgSEJLCSuKtPWOexPNLiymsnI21jedGOPSsJ4HqH+c0Oo+5+Qtst66aUkMTllY
rx3cD8Mn+WVCq8Uno/wTFoJHf3J2xqx7E35QsxUm9RjBiEsNi0kRf1drpfThcD125p0K/FvxycLr
EY7Tl9ZpCLpbIqjUnIrAxagn70HorwFZcovRzC920j8O6BQ2pKfeRaSegN3WFi4zWcEYdkURSIAZ
G8/RejDekFK/SZzLtc6FGdvPMnAeTIdQKj88BwowdoMFhSjfuuJu8bFOuwRaWvpr29g/NIkkhPe1
x1S1wY1LMybi+U82JMmjZrcv20tcOueaBUAJkpyrxvjmzcWrq/mnCc5maeSn2HQmGnf1e1EOs1bg
OWlLtAwBcq0eoI6u24hFPK4WdjFtlqvdBEocZUlyyL3mRya6WxG0UBYjm5qmfZCJOCKyqJcMKdhT
IbV3mVhyYJq2EmkElgvYGOLOZiGi/D1IIXDa8aHCW6zH9kfgVvSpqqpYicTwN0O4NcfiEjvxsKzK
ZF90A34SvViXuf0WGzX8WSaxyiZXOcZ/GzXWj8DLblVorzmEYxtcJTSEeupPmQb9JnaQboTgL3rr
3ms03BnezynTHs3Zs4Zj51GLv3doHOzJJNFUL9hzmWg702JlNca7bJu9qcIHiDj+Ps/ij8abT3aQ
fB+N7oUkMpYwC6dxnfOew/4yxv05j8IHLBRvbCHe9FnmLPNuYxfj97bw+4Wr8yDXUhWTeEJ4/GRK
5M0QtulUDtuBJXNljbRm9dA8oFqnmxB8J+E9nGeqpzTxj6ig74nYEwupa98mvz/ppToEKjubLOFA
UbYN5EYG1yaqmmYd9uFrmFRi+bO0i3fbSn54RUFurpnfUq1cIGFjcXFwx3iYP8gKmLJ+7WF7dejo
JbFRHK0kfUAMucgkGpIM9cvYY2EKDO8lilDF2i3kl6mXx3ASFmNqxPRa7m+dMiPLbdlMQ7SQMow3
ky+PSZ69OaL8jnT82qWeuw65TrlDXnA7yLXWrlSWn8PW9bdmFS1lT4it1LKlFU0XzZvBzd20LW1r
bbeQfnjkaWs7Wbomdxcqym5ndyjMZz314GKxm99UYal7oI7+jGmiKmdHx1Wcna3kGYLMKkjyuypo
XoMO7et8CU5jaS4ytkcb3+FCoZd/we63pSP+6snmQuf26tWeTpVAsmtSGms7Ko6JSB+awPyWDg5R
yE3AtrYvtq6a1oEgmrDLwgfUCzyHdZoyNI+LHdXYAzldr0UTvVP9PvZu0+wlfhALTvYKgsCrXZyq
wvvG9qDdBwFbFI9G/UkDUVeho1oito9BMZm7ShO09SKyKiKz9E/pqJ1yWWgXas2XIaW3O7VyUxUh
KfK201PTI8TBUENnXCTxLqvOWa4xIOAfgGGlvVP3Lsa2exSh5+6GSbsUVOV7PwUvh1vs0IU9RaNW
bayx1pZFhOi+IKZsrFPjoCVomcuJdEA/lhRqbqBvU8/YjqMq97bmIscflbvEAZbea2ONpgYyx/br
y9/+zkt3EfflnOkskzBGC1yYPKsamzI+zbdJQHZwNry6Ijwz+Gk3jsRTVapxn8s0xnEgvzv0kQ0M
1AtptdqO97OZDDaqrfDo9BEwSWnzPCVVve3YoVc9z7CuogEZNg/FkL+1DQioEHA43NZ+L4xObaX3
U0qilceE0VBJ33iqyw65JCqCGm+K1o4NFia29k5vfOIG5qZhh5163g8rEmBzHFroUJWEwiJP+i7v
yWFZciHo9vOWLdAQbbo76cn3QJmYX8ihHFmEvdbbW1N40gUdK7IrX1R8aZEi4BE+l/OvC+cJjOUY
JQLR771yn10BEcPNdgL/zbIbo9OkO/dpcS0iMAwoax4yH4c7RqZ9VQhamvKKh3FRSfejGkgxEz4k
Lzu5RfPoQGkpbcOhOgqS1nBBWNwRKhvXrd4c2g7dY+mXwyIfkawhdOO2tvZZJz6VblO9wU9BJ17G
AZ1Qx2sXhixqrixLLswR4x0IKRj/3SthZmyHhghbo5X+7MOpPjdxs/Vpb5NlUdAHUzxgCS9TuKrW
KtBfw1Gelf8TFRTMxGr2IlBwFqGbsTxGD2n/7FnYUjqXGi3wkcfmWL+HJkclnKPMUBG1s0SWB0Nm
G4W68RIrVuu4AVIX02KBBmVvDRKJW7ovTicu1NiPjp6+1KmbrDWyvFadAYLC12CFueY2nKVwEYpM
PkSfol3fCTqHNKnQadL2xPg7JcxKsDQXZE5MmnMZ7Djeogzip8yjxSxso7vO24QhMe1pVcJpHvBu
8FP1zHhrBmo4zYKwBA1+GTuOsfam7tFIcjaqVomzGNLPwqJhZRcfcVTeVSrrd8k4u4sSPCOm2Ddp
0yLdYTBVTzSfpIzfWpp8PG1yDbMpHbMkD0g86OYNtPnNdvC/0q30t3x3daenaJZ6E3nbPHryvpd0
WDAuaexdmxPGAUyDGCr9BJoem5GbB+YFyBzNzlbX1La7dNqMoElb8o4zu2LPz9jD6Xp335Z0/MKp
7ZmXccEoy49hcBA0zfZuMVRxeytThkC1XfPR9PmRvvzZt+EqkB14GhLkyD1tTfZSJMd2WGioprZB
KcAOtKF+bhi74yhlEZOmxGMTnjOhX1UhrK3Q23LTjQQMlxEGjThbB6YAyefzcPB9UR97+u2xi6Uh
iodnJ8MHqjdPTM34/LMJ2BwdWS+so0OS01anbk0xvjrHyuo2mW5Vy77MwlMjmZ+WFU37whq0Y8VV
DAMMWGCD3JMC4lWpbJ3Z8/4zb+zj1O3tmJU0CcnWIyZ0h+csYgnLx4Oo55lQpWuL1kjxbcm4Yl+b
2Is56W8tAi4LrRfmkXlj2nCjUWY59nOaYBuTRuYtXbHMTCgRdl/gm+UWrQt3viWvycCviEduYSup
7KUQwkJFV57w1740DufWMxoHyl6MhobbfpUOz8QCtIvS5leaMQazwSdirWYk47jdi61sAyl4enJp
Sh79/KbTQuGKYtDNp7IO4hrKI0gEgr29q1GMG6tkCTXmXZZk1rN2iC9dRn63ExTuC11LtbXZimzL
sJhYtmyjkGEGQcfvK990RzT3qUlMajS+gGM4FZ3soCZEOXpKrBUZiVcs0c11CCe+SfspUo0zYPs/
CstpV9IlDpoZKo1DZaoKgAVtc6f4MJuEUzRGd93s1HU99zkJOneHT4k44rIoFg0a1JVZlrs2O1YZ
V7Lt4ZriRoLMUpzF2LDcgH3fSxNnJ9sKm2tOFMbH4NtvuvmzG6aPNitv4I3Xtl3eTbWjH+oQY3nt
vaHd46eF6WDofvQgS62GgiWTHIyLo/XdpWfG7OCfioJuXQfaN1UJF6lCpS9Z75AUCE2S4uq+B7Fg
psPYi1xLdjrUOeDe2bFS127NnLUyHcZ4xWN7H1neSPiGzmyD0kdkLZtZPx82WqFtkyJ8aLRE31Tu
nSk0Nob6+NwNAKpqna7wUD01HRMRp8d352c1GCAFXmdIJo7ePwd1840ww7omcbAL71yqfYpgnopd
N7wIk3Kgxa+2CJTGnn1X5XZw9cng03KLsQF7lb5Gz5t334BHoOn2znEbd8TDfvQuDf0iogXf+dpj
Q1MgNxO18M3MoflhPRHNS7c1adI1WpA3jdK9CuQIOSwU+zSKbpoo5nhL6DZyKvJFruhfGx01H9Q4
mv9F9qlb/Y+m09mxOP3OYO3ZxlkO6zP5gaPc42cxl5Brg4JQVve8o4irCl9RVdjJNrDAeE7lKtai
XarDFqo8666sVXTI0SUvrRI+El7AsSCEGCfv0ijx2gRN318KrFmiQsgygM4K2rdxzK88YSN2wdYC
U0kIEzVDB1JsxiivTzjL6PqrqLjTp+IjqtGCNEH0YJKMsgxKWq9BbkPoK2mcYKBrr5mzDFPtnV57
/13zd0xfkbFr4tLVjNmmIXuXEj6oFJRGVX0hXIZPxdCnrQ/V7hrOLzbdt1RThA3OX+FTee9sOg9z
kCiPAvcRcMGwSxGIL2IkEDSI4o2rKciCVTeuipJ12CuMx6gNI64D/aUugn5lmKZc+tbOdfCMiUm9
kFULVKaip53XKcR+j0Im7Sf2QotqyMt9OdSPnSymrYkBad0BUxpiiMYscjisq6TccvPgInaxKDUu
3l+DSRxbONZYB5U9lVecr62qbi9d4d4nGSc0m/CrFkZ1aVRTLOIQJCU/jwBeaxhvlH10rbyRJj9t
RhyFP/rWgEkqGctHrfFsOaVE3fG9KDNvGwwYrHPQZZW8pkzEVljYkROjnPcKbdMxYjUSrV7lQMsi
TFue02ENzw9x1Q4kEpbAw7wLULKz71CrUJahgy3gxWpkd+YGemhVFGxyhk+WXGBs0r0zrOpWtjFt
GAcSx8j8U/Bc8pOGSgBvptfdRR6u8dC2ulWTpf5GS8C/lYb7U9od3sPmeWhQmomK7YYcUdjWI+uz
NX2Iwd1VFnTW6KckwGs9pcl7Sd4jzc+GvZ+G6j8b/WNvFU9VjJii4eIy68chro+qQuGDT3ONzvzJ
iOEaSCXeRVfhk7cM0HLKhI1uypPpF4uE+cu68529QvJzKKLhyZiw8PlkFdtJzgmQ4gNuwLYlIBWn
SEJSIiEEfZQ8Qohgbipx8iMjR0k3XjuL6YEtvG/BHQoUVpWl10/r1mxWWledAY8lW2QZ+7HzrkXN
gFjSi4gN8mrp6UUs/+NLmtmf1TScBXgDdqnEFwdHDMnZgqtTQxBUb2KBTyued2fMUa5OFGDpjmsM
m521K+1mb0BMatPhQRsn49yiBTILm8dAuINLYbN5tz7N2AJnDCtCy5uJPlfMw4DzZpZL4qtB/LjB
sWGWRs/tzRRNc0L/yWrvjhutadSqhqOsxJxfGd6SHC6fz1qfV9taGHuHuKRFDCB5nRjF98QJsdYN
2JVM7dO327dYxD8aiMpc/ea2L/lcRNgvYeLEG2eqwdXShIyidK1pERM0Cz+fmYMEEbjY6DAwsbU5
zR2aZYRPrLCkjURPfP738keFX3Ll0y+gTUvTv1Y6vkPKKtv/HOrhvjblZ5E0L+5YPzCFgEIaaT4n
vWHujLus9CgHhDGrd5ijaniuHQHeSA+Uu2jTqaTkJ6Yb2ZF1LErjh+H1YJYydGLzNCtriH2lUgMW
lhX7bnCOHVx9a9xK7qAM9V7Kwu052qvVhj8rEyc2LOuBTF1kbR7u+eozk/WLKny60Vl+LcXG8Hhy
sqYTbqJ2qejOA0AJvLM9w5N164ZI6nRRbHw2qmUhk7U921xYfD6k+clA010HkzoPSNJWmSHek9S/
YRYODjCEDoM9fRnKzwWAMDbu6ckBFBhnZbptRltfI5uz2V1AbMycrdEP/qluinLj1+U9PrC1bhNE
XcTiUFGU+k2pYZQHPZCqsmGFx0gWfQYQ1zAtNHsr03jf4BSFQxeH7S1FmOMDtO+xQATqSGdjOdQE
CLh2aKwHmT0GRXVnESE9AHXgMMJVj4925dItX1b0/ByAuYuScfkyHGHoSSs+RU5582HdLsyhYGI1
MMQYyIxGObUlwhxASXFtJt2A2txtcE2AV4vZlBX1Ls9AfbT0hMMM8k4zZGs3mM4h/OolUdHZWi+a
g+9Ge8/XEaqjODIAMK7h17yEFIvJgN+lq9kCND4cODb9ACA+fAZ6ZQRYQflauNJG881pyqvQm12q
knHdGOx3kwZ3CPtqbUl4NKzt/q7xrR+FOPoWq+YQ9pJx2E+FxiEnuBDrjvqUY/NG80uU7jMTlO2Q
+cxK4qNFURr4bCMG37zKaLgGPZLqvkXtYewLP0k3Bu0BJ3XuBhMzHO2paluU+gGuDGizynypB3g3
JQ1TOwWz0nTRUmXOJZusB8+K7gVrysaV7Taupq0qjIPHk1y40bIlU+5AkPE6iuhGYoGLsEiY5WCt
kFHyleuz2SnQxdTwjPUm3Yc5qOrO2MimYVdCs1GR9LIotOQkhurDi7qPuGZWQXa8Ud4nZdty04xY
YfJXdPcf4WB/tl2+9iCdW3pSbHVtYF42AjIsqdqd4ActWQb2GMhonmlXK58eA1s+R3LY6aa1x5RZ
rrTGPIUkwoOXRaPT8kC0a7y2p59oqdelXvDAqKtlp8TGLnnC6v0PJOt3SfxDWDPgIN7T1L1hCTP5
/PKXyVOrCvQBVifjSeUVaiT1LWiRtjPpPGlgEhYI7VqEs8PJTt0HvFY0uFP3Sa+6U+vl16/szf+f
evA4Fp//+NsburNsFRIrHb43/5JhQPwFOQH/c0zpy1sdhJnf5Nm/+bH/F1NqOH9XhmWztXOVZdtC
/h59YIq/S4vwA5IPCET4Z+qBILtUN4UrDRc6Mq+/J5QK+++2QGjHwNmEWmtwdP/nf78P/+1/5nd5
MvrkLP7y9X8xurrLCZ6s//E3gxTU4rdv23/842/CtZXjGspAlGMwPZrzTv+reH+75x3N3/2/pnwq
W61unVvM4ANQejzu6wYqhA9P12/TbJ1aFMu0mnlKGDEVUH7MdD3H1Yi+nNoalC787ihp9TMzqJ9/
OJP/PNo/Hp1p/fnolJqTWHUlHE4QgbF/PDrfHkQig0bcHCMHVJmLM9NWeveuZuPfN2658O5tI+fx
mEfIU3PaVBLMwq71a1z8qRuuY59ulDfhr3LtaFZfKrRVNA3hsgXX1gvZYMCpmWD3Wbn34z8c/nzy
fjm5qKB04ilcRzp8/v96+JXfxDgLDXGb1FB8q6Y8upTQh5exnPe3kzBXuPzVXaAvEMd/G329uWsM
85gyCz+BnAzZOcLOxRV9YQq6BHq2btx5NSgq1jvwjlnqIaIzy2rfdfU945T66BEMn3vz06nQ5SnV
ktt/eE/zKf/X9yRNVOy6q1zem/HrezKtEOl1lFg3LvRsW9W6XHaV9IEIY8QzKfhkYNhIzHpjU8Su
u/OIVTjYRjDC0vL6beiWT+4wlkeZWhsVlQYtRxC8YctmKRb3TlKhduWxCQC/Wf/1oc83zZ8PnXtH
cEdxV83xw3+8mrICOJNfKPPGM3KJ5y+6H41tn5YA69PQW0q/C46oJ5iZjfG5a5PhO9rIxu03KGQ6
WkOGWqP6xfLpT8OGfSOq1LgPtwDtlyVv4ahF5lnrAGCMEvSKWWXB1dWsNXWofgT0Va8kZceSFpOa
M6iTDddGyx4wgGkKp5hLsgadmppqXYZTtIwhNG9KB+e81hf5TlpX288BtYucmtabCBDBRFF6VHKt
pox9OfoXYrDV+eslxm/WOenWdgKiHWL9PA5luLdDbY4wAkbg6YCN/Xz8rjDCgB0KXzotb88RpIQ1
S8WwrVFgM+Q0wLvqTXf9+lMfd3dx1GCEtLT63jKZ/eqlh6hWbd3ZDNjPJGcnfnQmgXRhiI21ZogG
yUlV7odar1a9VnyMeKL3aVi/mhlP6WlwxS0wYLCndbX768/b/HeXqkN723ZM29At8Uv4stu7VjvI
wLxpZnvqJISBxK2qrUc8ctwmYu9K89JbAt3mWD8F1I7rOAX5msONoF3sGWdAL9sWeYfB9uQET+nW
AwSaceKWGhkxoQpjPqle/sNhz4f16x1Gqakc6bIk8///epkCBWajZVfGbbLBQ+lOcO/HztWSsCdN
J3U3JZBKPnh2QK50s7MgkBF520Ot3nSl0xnVw5+un1e73qX/WaeK3keQrq0ymxDwt+H2rw/X+Ddn
2TJcy5WODqDD/XWN7mjtxlA/DZQ+bnmnj8iJx/g76SKnoM1bFDEZdV3mHtxMnAwyak6GHz2RmNHs
//pALPHn82YZSpfC1Tka++v2/8OjDGxCw6OJT4nB7EMZG+JUvSRB5ODlJlZb19rntPsW55l4CKf4
7JuDWjZwv65fp3KsG3hifXKpskasphFN0FLTI3NPv6NYVLWBpyHSTnw4PVbdbNcNqdybYXffxSK/
ZOV46D0D9aaHp7ySJYpXLRtJsE9eo5iS/q/fqvlvLhHLQvpq2YYk4/zXlYwWZa5K3dNvbK/fRdtH
x36Wtk2VJVdJZMPuiX86uXvTtDJaF95AcJtjnY2xc9ZYQKZNEeGFHpFz7gNpokFP0VJM2rCdMIms
Sg09718fsPPnB7mUbC54ZvA/JHLzZ/eHz8YooOxqVmfeqrpxVybY4S2L9HaS7XtBpvDVtWE5AJgE
PC5je82YKT+mcOSQepirNrbvjGACpZMP77bbuScD6tcKhud3oaON4gFM8pBrxXuMzeRAoD4xnc7a
uwJZse/u9MAidC5HH5jxG3ZtbaEawBaQ0h3ZVMyVICPK9NSmY3qiP29hMjlKc7inw+CemrhTazeq
jJ02IMCMGXtMbnchKYLpbudeowFck56Zd2SI2D+1qF1mYWHctFYerKj1GZYYD4byrSeS4yqgMrk4
0Gdl4p0OZ5Sk2iENAHPOb8qcZyp/fd7FvFb8spZAfJKcBmFb0KF+WQKjBB+cOyrjplQxG6ym7n5E
fHGcZFXtHM0Z7jXV9fR48uQ0jhPzlH7c02NSjBHSir4uM+S2Fgf4+FuRaZe2hclgC3iuJJZ3+6hE
+uvm47Hwn9quRgfnqg3lXrFy6EOA6WJvmI3iwc8ctekiULBa5jy6LqMffHiT1ZpnJk8gJkavP5ux
ACEc7wo3Tx7Q+lv46MUmRdK2GXgOLvpIFuvUjhnz5WQL/PWZMths/+lMIVInTExwvmz9lzOlDWZL
3JAwbkORvYgS7BgIrdcYa8GxLg2xQrdIudhXMIvCND3ajMCDlk4vIJXiOHoJ+QDFeM4sYu3/+sic
X7ctDqMj5q5sJA0bjtavRwbx0Ix0+Oe3vrDyY9TH9Z2y7Qx+z5NXau6pknBKSXJZwCur8HQk2dYr
ka+7Ds3Fr8u3sGJEIiO+ycbUrHPlYk4I204/jZ46z4PRpe85pEQytZ2tjnPa+0RXuQWOn1k7H1no
fW+99A7PRa2ntQPGXuxi2bxpGahTg7xYBHPbNLHLdS4wCQxU0GM5KbS2hDIz0qMSni9+y8mgyoP3
SGEYDF4ASCpUwcaQeYXjIrZpNcy+vVQfVj1IA5qo4yWO3yLCFE5hu6a3JlbsPRgu5OZzjB5/07kW
tLiiSDfK74kGULNEwTcpvUEorK2QBEOZhcl/Wn+VUL9cLpRLOjeUxapmCum4vyxokxsrWYajf9Pi
HseQBgQHtTYtjiygoa+dGHh9hN7QbOQEo7mJwoOysuCxmbRqD3AFFan84TL3vdhELpJYK6dpJQpg
umy991LSHcVINzYbmxEtiu4fSe1T20QdcmjV65e8DjcYVeI73fjWNKVxT/eWGZWjn9v8LlLxVe/o
Q3HC9G0QVe9hCwYIreRAG8wOQH+ZzkPaaIfY8tuFGZlwSwWJK+GwcbmlgTuF7TkbeUudoCeTR7Pv
gy4/T5zo2EaQvobkHmhWguudXVLnqJ1DTzNCSnQoAjiWjjtmW70qCCIahIlQU/YnixbK6bc/me1t
SAUQw4EZbOh5JyPEnRIP8dWGwJTmGGAsrZJbmWTEgbRQOcFKrpECGjs/Nu9xVeCLXDLbPGVOPwuH
ohejl9UuMom8ZPjMYJbufzWNXGnJVG8DlLZoKsMrdin0rVHRbWVUyy3/rAUEJwIo1XsUYy0+2tge
opWeY88Y2PQyHnodK8PYt5TXS6aByHUHcG6kpZ7oV5F3Wa9rxX6g8vrh5rnFjNtsYcC4TJsHTzlr
a0jfSZ4aER0FvE9bXAbRnjSbo0FT0frV1QqDmTdbQwe0emsxAGhdpHqTQ41GzWZ3n5HZJ0cdGW7a
JfqWrIFhVbXIvietvaE/ZZDVcvcWqfwwIs1DVoBeZuoxMHh6d4k6Zd11TfS9tqa3zM2CDW0m5zZm
OEyolfad69yJyntFWj/dhXm/EUQrrSqDCyISGtNRGCm0VJONndcfIjHN/SAnRlSdqz+SWQu4Xp8w
jGOS0dwck8No7Cyb0BUAKxfok9M6KiaSceIEwdjo3MGEmXZDoZpzsaL+8bYqC05u3n66ZK3RS6ij
c2KM5C44Vr0JvLoG7BPWl4TG+5S21R7OYHo01bimnYE6wuN5C4Ia61Hdp+Qo1ec2lJiKhDvcZM3w
uzC1JQi8fsOUYCT/CpF96gYFct4AHjGNZvrjKea3EaZw51GF+dMeXG586ZOfecINNiRS7QwgsPCo
zh5brtyvh/Noef6qtQUBJCY9nUXJDpwFGcQX6YLHxulIMK0UhNe4qq6YueurSCaMvJbJaQ305Fgl
sGByoHarQDhcavrwLPipk6YjLSwmzX0hMg6n4LQraoXyfhL6XdI0+t04jf1dtLezFHNjw0mqI/JW
2hS5UqogAMVB6F+Kzjs09HZPaeC8tWCK1racdmEzOFcj6cotgSQIFWzNZqwCctGRFrbqSr2PjCST
zgIb7mrg62s48UMD7kxy5a+HIZ4OBCWy1gbNp2yi4aLmF1mA3yldmkLUdvLoBViJuiH5GFPfv5ua
vtlrpneXMw/Xykk80sA6V5Xnn0PHMhatqrqdEVTPaRmbDw4E/ICR0iXUt5LeAz4+k8BYLtsf4TR9
jJ4mcfQBCDQa1Z2IxMLxz0oJvBJlu/0UFNRC8RQgjxHw4NUk7772Mn5EfsmghRdPVhhfvABeSept
Z8Ee83OL/V1XiiULgbMO6i4/9KDMSwccTpsP38FfHRJGgg8iho1tE51JCsmrHYwlrFIGWEZb4ibr
ZP7YC4RnEhMKUCTWqWAFimNXmwinZVB7Gxl3K8uBO944eMUNUKS7oNM+6e9ae4LN7izCHBgatuLJ
MMwnLZgGoPQEHIwhRMNFS0l3+MMfqd75ejuYQKSoZktEim15oCwqfvvSrIc5bHj+L26krqzK00Yo
MsLtzJ30NUK34vDb1zpGZBQ+mJZmDFdpDv98IbQQZW0tiXHntLalXf3hpcKMERb2XmZzljNKiHot
XfPD08noFRb7Ikd6MKnsOcNzfpEQdZn0yoXmmN2uNEJMbEV5CPoOwrmZ7iNfG9fp2L399tdBeAoc
M94WTdYeIDC0h9SCVdmGEJEdYUcrQgTqQyrQTFLS78JhGEnXmjONv14CgwQJTeelwdhNTkm1ccgV
IWWhHtfIQkbmNMmTL/ynymkrVO/MjVRGsnDkkiGRjAkPoCBQKwt3CUEK3CxT1enw8sYHM2ChTs00
YSt0yNrB3ncoDXiT8T9ffvly6qNsNQHLZTpcR+tewAjGYPJsajP6byKk+etlkl3x25++vqxGTew6
ApJUFJSUkbzwLC4OX19+/cnvgQ4i4+e/REO+qXDlLS2ZXavBeIhmrhf8CR9fuyQlk8V+ZQYj8hBT
rVomXFuyjx6NWTzZ+STTdPF4pxPetdLc5liVpClK41MvnHPfkw5l6ehlKolGMXbR0jaIXbGTlXiD
BEDtpuwxl/fYVPooJ6fqET5HuPFBOaw1M3nrVb1Fsm8zr3aAI3dIKLyeaELH0xZBgYwusAGkj/ls
jQoxm5QpJ4p+xaGv9J84tN4UkWChRsgasXcgSZpkX0WoJcjfHOqYNJ6uh2gbVSc3HrO9jbTPLXn2
Jzjfd2H2RvTopnfxWGEvxW1j++1Sy7uTOSRftXqCbFB7cOwQTbQHgLPyCxuIFcAvgH1HWkM7dIhc
EF9IoXBGB8XzC4+vvfIR1H79VTTThL6+7+tPX3/3+/f+9rP/43/+/V+wA5qDTacB+Pnld6ZftKDf
fw0DtnA7m3n+8G/HX9+Dsj+ZSbuHYpwlPr//4wyumW4F5WdVF+YE//v/snceS5IyW7Z+l57ThnLE
oCchCZU6sypzglWWQIMjHXj6+0H9bXn6DPrand8ahBGqMgQB2/de61u8i2olBWUDDFI1s9b7yyRa
7vl63vpS1qtZJE1qfjKdoknbiSYF+V0ueeL8QipPWPz6WCB5VfcrTQHnjhawhhlCgPkXvbPyg5aL
2TShmab66hrngE+auDkN4L0N4JaYHc2th/FymwpXv+hO5uHVg2tAr5xmmDR/xmninBI9FudyqMUZ
vzKW7VL4OrKB+Fl5Hr/k9e71omcddPZANW/NWmLULK3E3q73cBYU5ylNL00KF3B93HrTerFeLURp
B5oQu3b5T9bbkQL+syVzna6BDp//6wlU8nikWC0TrzF5gQiBVHhad8JUPJ9Fw8kz1PTW3OZQTFGk
iiD9HqnwWRSCNKblGBJGopsBjbFZFlo7kwPjJRzWlhvWC+XohMqnEWUu+rl009eWvwsNzgDrhV8B
h/i6GqdhwQnBZmT4dSPwoH99zNfz1kd/XV23xqjN937rcYxR+mzDjAN+vzWX3TOzScdaavaXlUNk
MgP4h7W24ofWi/ILwLZeX1FqX3f/29X1ji9E23o1WuFs//tTKAeGjWtkeHV7eh1/4WpFAXv67yaE
W2xuX3+sTVBcC045wiZmLSbTJvTQ5P8FxX097OuPagmf49fVdevfHrdOw75u+5c3vt7zb09RPkrm
2br5lkTA7NNw/PvHR8bnhvzLopMhgs7nFe8UFiCDgvWTkRmmQRxJ5O8VrgjW7+zrG12vkh7DAqyo
ci7/bq83fz103Vq/XmKIopkmy/KEAVPJgkcu5qOVJgGOJep+Nfty3xJ8XbMQ75fDXIM7E7bdsgeM
s5m238fleOGvhw5Uu0tEl2Lh0y7ijBIXX0vxVJrjPxdN6yG0/7oeIizfai0CZGmAmSJglhXG8l8v
/2m8nFGFaUT0JYiU1Rj0CywYie6p7fqprt9LQ+F7MOvqRbKq+wsSxXveoeZ+zZMOKcl/4wa/vp31
tn/5iuS6m673/8vmXzJf0vcfXh/9dHHwnoVIqstUzSOuJQ9+cu2Wj/0YXkb0q0tq3/hUZVkWQaq0
HnA4e0gFD0kq3aMTQqMalxmmnakFBdnHe4nE5EguHNlblJKb1JybGyOIG3Hm9TfxAG3UunrlY2iI
6JTh9gD9Q6RfFSGyiI3P2Wjtu7rSX4QChGF2d+R/LoRA+7H2GjOg0fKZHBJSRe5sN8v36IwQr+RM
idq6gaddO7iN4pe50VxKBPsFT1+Kc8n7rDhYbfo81Un2HeK9RlzDFsTSR92UBpoGhCOjbYUnfdIu
eShpjTn6hx97zmEw0yUwzngXWTTvQU9sehMpfRUB7Mzm+tD02KJCkk0PoF5qRhLTj2QeP0ptqC5J
SgdK11k8MWFaslN950CWNSv8DIfYaFXjCc/mz5kB8EGhy1worNGD3u5j4AWl3Tym0fSGkN89TaX7
qwyJutPb3g9CoRReMf8JCmfy5LZzfZRD+joUdrdnOIxkcpIRMp7K26eFEj/MgYaZBfH+2EbJiRh1
ohMrulVJnCMGS6ob0KRvYrKxTJShj8h0xO2pN7hjPcAbTflTAxRyGyTOL+R+AX1Q+BmMOkltiE+E
utyBuhhOuZM92r5evJAIATDCtj9Hc9LfmjzQyXS/oJhyDz7skR0Ss2PvDB61y4BGyIv2aso4Faa4
3lqLngHfx09CzwAvSHFJ8BfAd88OTIf+FBV9ykwnf09vS2MrgEVszgVzoGvRe1AZMtZi1guJxt6P
PEqg15i9GRhVlB9d8o0AHV0zh4OCMNr6wWyJwhCtcSQZ3L/WFRCFjjyuSQtnfInD/TDB0nWNcXpK
4iYQPZo4V/SPZodgZrQIrEOUkl2ijrgmN09Z6HGi0zz3brbD6EQqYMh0CPwjJOq+e+z6NNv1g+1d
8RS/RYNrnACenmok84d+ooeoCwmEKQTV62F1vYxK++iDPLMfpzHzr3mMh0cv4uGSGJ8asYqo4Bgn
TG0EvHbufJgTtThZDjS7h8FHyu6B3E7knU8Tex8Sw/mr8KPkLvWNN+Y3VLCs0A+GoZCai+purNmx
JoWhqmjQajXucywt81r8mBk5v3X+pymnp4lw5UcjsT+s2h4fojEU52qabozwijuxkMipVYZTU436
lhiNtwYz0bNZZzcys9JrS4QD1ntUkX3s3CatUFCGmCP5RL8QXtm/4BncKz0d92WRNQGReG/K8uSJ
9ekJUQQJHtZ4HeyJ+UUyQPYVrH/L5jIYZEGZZsqr4wMGx2trmGbm11TmzQtZA2lojg+Zhfkvah89
krWbyjlrichpFTMVNXKXEikH3D1P47HB/HtkaDNuKTajTYxz9AqeqDpCcMMusahl/cTZlgJKhsl5
tck6rLJITy4dqudxMJFktbieBxOSLIpufTfpc76zQtu6UHiN27Iw08Cora2S7jYEdgU/Lf2O+RIs
4OxBeW+671qFO98cEMtrbvl76srvsXQPPKQ8WNhcGd318lKDXXlCevBsNib9BK7CglmkglRlzOI/
/Xw27krp3fVx1p4mV3uHuY8tWWIZnmJzi3siOWf5jHyx8H6aevXio8nuoongK+kGlZhvaSG/Ywy8
c0QzHnVQB5pPIiy0wF2FlGaf+gTyLeNHw/qtpydl+M0PA9BuOd+0WNs3zUm6vfGSTB+Ja1mnarA/
lNk7QZ8OhHWkf0SWNsGYMzcRFd3cIt4NrGVfQORA3HGn5lRMTx6yyz2CUDwNTjk/K1xc5IXwBVhO
e3RZteYABl4NUw9cpMh5ar7ElrcbGQdcBcmLhM/57rYAYb2ZiGu5TEQpVzD3BjF9mwkn2suo7e7E
UKZEUdQ+dIFnXdnNNUKRugUmvsPN5h1JXCXnV3OjY0o/CgUpCIkEG7KeazcBIa7r5bPZerS0LHkf
95BzvMQAazh/VmpqHj3adRiBnynlnL1iejDmavputdnNsvIr3rf42Y+cGMhJWp/rtpHEVKv4VbPC
4dFF3Z8Q7rObZqcnpuBnYtrNp9YiJ5bEvhGzxk5LN7JkGa3QaLvYJxsoOPSAMvk4dZzTvLyVBDww
6OMH0QT9/Dh04HPXW4j0bC6EJPwmECwnfL7fFlOFnXYsr54tNBwi1FDmnMS7NuQHI6v0mEj+jp0O
8halY39QQvG76DFrGmmWvk6gIpuoiolHLNJ7PEwNu3XBxAON8E6NJRkOIschni8YamvbOualbzkx
uI4E59hNvxzR4dJGYB6RA6DpjXuKyFbBdUYveirhzDUUlZRepKrn3UjrfkL00IMKoYZ6cJ3ueAZL
J06jh4VGHxbDtW5rzzmSUc+2/5RTr96kSM+Z7iQIRcjoa7FVbNokQsKfzg+xn/2w4qm6tQMBPS1z
6nP3qLkMAR1UxSkH+iNjF5bytnuspzKi300wYUdX1HROQ+WoV1or7L4aqvBGWAAYIvuM7nypldQP
mvP6MU9Zwnu18skB9hEPEarsj9l416jHSL7zJ+eT4lM4kE7zPXbAqkx6LLcZrn4m99a0ILmRaPPJ
bGXpEqOQUV5oCOiLJnQ35Jx9wzgQMtEj5iVWZntonInWnM5sV4YYB/U23s5UqgQR5q+DsqlgabH6
IfJjchowAMTjS0ayCeIyOzsoFd2PDd3P1OFFpJrloqrOA3DwHgBzjeZKBNze+cHwziD0uD/yQSLD
Ve9W2Rp7B+14hO548ULZjyMkI1TO8dX1H8ZocHZmmT9XEbvysFC4yXvJ95Qw7BXTfG/MVnr2WSur
zm3vsfy2ewhvbwmrZjrIc/ISOv0tQq6+rcU0H+fJx+RlB1bq/0rqMT/qAz/XDgHRPnVbQjtgssNo
IMfbdr/p9h+qujzwTeXuSlGyu/TyN8OcJ9GT3AA7lkYyKbucveQ+I6HdsNFVydx9jedi/hFHDqGk
KY701iJecRwy72JnDqnEZq0dfRenliaUf2qjM6dQ/U2vy0+XfCU/IX8tTMBFTfas0WYL++scxf5V
OsU9rAvqetQj+yTvk6DNWGk01NJgAGgjA7jR2qXyCvOA9IDsmBne41yXTdAt7RJ9TpiyEb9CaEkt
D2p0dnGE+6FF3LuJC4UAIoUrEmap8w7q7sMjhmsDxR52xYLZRKN+gcqIJSJTetBltb9VkUUyauE9
CEJNccnTtlHJhZFgQCub4D17fq/9orrUHAxAMtQ7o6cNV0HfRLpNBEDdW08gNL1tLpwuqDX8kJWT
5SeGVTx7ZGCXU+zH5PBtdd+8IkqgX0z48CZ9lURcICDu8n3n6giRfO9Bjv50zkz9fSxyucsNTiig
+8tyHK6UCqQzc+ILpDv+qoVxP05wYxyO1YUbXurMf0AFem8aNFuMujyRUpQRJNzukkK4D3VavUsj
uyQ9PjndMNuNNuN0TJm+HVvFy6GsStFEdMMpNoqndNKGk7+YkkbN+0PBY120hoTaxrfn02iok8O5
7d4Em9fUiqpi8EpauOMPp2UAY2t98ir07L6w2/M4hpRNTjsfkqbO9hlwKq8C/EHSO8zgHBE5DjSA
Xh/wJdzfJZ5Cu3pPLH2EBqrfw7d7x/Dm37u+/Fb6mXHuTBuGpmwn6k0VMgUUItCM/oL3X+7jBKlf
XBrFzalZAXNiQW45FHdosc7x8n8WosPZvHVq33gZchlAjCuYtM0eCXqC0ZfuPeEm2+cT0aZ51REP
NaGdQ1xYHHU5ELWG0WiP2vYPvfGnOC75sCoCfV1i5x3pTMEcGe+VCm+UR+3Zs5xjk0bznZ6gNmjG
hyG7ulHxXtvKeDBjn3CbupY7UVXzPUZAZyMtIhY8bCIhnpvK6KxjOHUPZKD1p0yQNmE/O3Vu34yu
E1tcRNXNXJAuKRlrlZPc/DCfcDuXAwnhEs+bEW9dz4uPqzwzSnJzbxNQcuD4uqVf0jLkEA3TIKA+
VTzIXbMU45k23n2ucct9Gm1WeUlBtLGn6+6dmtqfhlehcR+c6+CpQPfa+dQ7gEP4FCZGwLj3rTjZ
rfs4MtldFhXyRG7KH2SIRxBsPBefJwqSnPmoybgawT4HbPtS9/nvOiIhHRkOedSMjs8O6lEnLIwn
3KBvsaddmdJUIMs+NIlQ0wN08IAgGh9Uzfl+vcgQu97qYvqmMoKtqfyK61yIoPBq1mdlXGANQomU
k5IW21MRsLx5gU9JYfG9bWykkr4BP8+R4cFGN7JX+EkgpyOhqczhnKrQuqVh/fZPayAnaSLKtEvF
jWN25XHDYUJuOgvpX0vWI5uUhfMu42QTZL73i4l/wMGgv9Rt9lhnmUGykmMfIERdJouwPVI3tJvt
q3kb1qazM0btyVbTb9bXJMtM4tMcS2JBNTCzKl5wlhoLdyG+M+CDF5jFPoJc/Vc1w4JzQcMcdFu0
l77H68LvJpBDlTER04D+aT3pJCb2VwAPBOvZ9IUqevB2k/vATuuMuNOiPtECNk91x9VYjjY6gkk/
a+5CN7NxI7YltMiUwceRFTGWTn5c2FtlfikrUJxTMT84eaGBTYXF2DC7KYnQ3CxJu3v0Caiv9u3Q
BwwirG+i+qXP1EfQP68dq7ETdfg39pn20lpP4Fjdx4ywUU3SpelAJJI8oo8PE1bNroudLbspvqLI
th8FgfT0F0haTstb3lmHMiqswNExurIkJFJcEqEah4sBls7rGT9Xvx3ylnoeWdchgmBGvG7yraWn
eBMN9nMRdZDGQSrt89gld2XSce145MBrLnWmRPV74T+bbALN3KmeAqd1ULs1QCm0pUGyoLJlMoS3
UUYPZjTcx0noY13EAJuXOIw47+Jdk/g2QeFB2LLMcwmoEZWDTVQEQsG95ebo5ES/Z+pb3xU57Kgu
s8DuTBLHm5WOuwqfKlaVJ5zfvyvFjDVqy/GYhaK/+kXmB8B/oWB3xh+t1a2b2+Li75v6XmHj3zlJ
cp7ZS7dj4/VB6TA+z5bhdhzmxp1WBFlbxVfJyAshJNxm5kPjuXJ99RDP6dmhP6PF6l61zquU2s2x
puRguwYkXV8/Ie6Ybl3q2xtg9D2Blfm9VmP3dpYFSVSL9A661re5jw/ukAEPG9xNUfgA0+zefFUc
Ev3OSV5wNzP4HVw4wWb94WPIIjHnp4k3ifW4+VwLLQmyEBWF6VtLKFhfPPYOFQkcxkOoSVKkcfxS
mUufZkX5gPzSOoGQgkkr4z3FGMmcnZPuXXoPW9Q66Q4t5bJkUD3+JMdtwQsqd7iZI/GwZWXuXez/
AUQbm14Wg3PVlDN75MRqfSlKUsNISWhkjcD4kkm7bIIlsRW0F2JHYH4vlph4h4z5GRgQ/zimeDG6
7EyIE7zd0NuRpxgececugXNYGFpo8Mzv9B8+FZSoGz7jTH4fYP6fe2GmTyRSeWjoPLuZtqslwfNY
vOg25vVYRuVuiKJPW2QDY8aniMPFHaDvP8VkboXFktzLRqQ8MViHaUBw2fYlx/051yHW4K9kjoLz
N0/OEQ7tLYjC9Ap2HjtyybpxCkmCBXDsta/g2fx95iUgqovQQs00u5suXOJKK2b2bWG756ybKNMw
1B66KjEYONkHftElQkl+qA2zvFC7N8txmw2NvY9Svb/oGRjkGHVTTizCGJ/kcphVE1GOEATlsRrq
54zEYkTgN3BPToDOmzzV0j787a/p7VPqU1E30p/up5nlQqPl6WEuw2+TJCcgMj1oNrls7y31wNko
uWqt+31tweSuWkzsphFk71aVG8xwEQRV246f22yPDBEHfddGWX/Umt9JA7ZpTJT9UA7DL1E4Fz8P
1b5NdZT6OehddxTPoi1JuSPw96TV05KA6D8OMEBPmWxYs1pjSJdU/uFtP1p18gqT19y1tEy3mIJZ
SUpwgN1AF0UtEo441D+gZ6Y7L8p0ZLcdxFqCnw5w+517s9eZ9NmHcW4SXM4MUEBIzQctDuvAxD6+
YQTHHNyS+ZNp5K/ekDz5Y2SfoigZ9/ZAAeLoQ3HQfdieVSHuxtbtL5Ihgn5nV7AWhLR+90gsrkYB
3cFIu53vo55I9IbdzXcAlRawiqOMM1xCpbKbE/jbdU8+OV4dCowBjWMrxS3OhuJCqNG9KnXMgqDQ
lLyZc+xdrYI+UpHiPhHp/CvTFuq63rM/NXN96pMkpOaufq9i+HD0PkuJG3lDryrdxMILjzpvcg90
Dou/IjfXfBXjqP5AX91OrJgQx9lDMBifFFwJBk+Tvl8z5jfLqx4GJ6HZWOXWIa2Qp2b8mrd0m7eF
6ptbpbwryNvyib4toO3EcXdUU69dWidHxs2oBxLhXREcvdtSNpc6wiPRu3YCTD804SjmxGfWLYoH
b2T00ThXJ4SJqBdoklLAMEOvM9n2me37UfwyMZJAqos+hHDwbVoDF0BV3AetblznXNq3EFk0uHxl
T89THsuTiJvoQFsJ2+fSekyjGhxe92BmI116bcoOdpd+r1kMY3vV3ghvjY4ems9LlMn7NlnEi762
My2mpySTRWflP0k3dYmt4iLXbPa5tnjKMTGj3LR/x6xREQ6jntsorfwxpXdUydUVAPv4LUsAImCf
L40Ye0OZ+S/S9p9zfgiXqAUC0/rLrzqjGTfmtLgw4N6jhGvvTekd/VDPOcbvdY+2q4bJxvXzP7U/
6HuICZzIWkmQZqFfGLJ0p2luKEiquDsLNP/QfK4QufPXZEyzx+bTbOtjCdf3lbOzcYWlArELuIJm
ps86ynqot0t6F/GAN98AlUBC33FsQWYNLZ7VtbdgwMZoai3QlUyAKKMwjJl/6F6TBPqvMdbiSz1w
tM8s7bnsuGb2Yjd1hn+biuykVYmL5L6pzxjgPpIa/7Ox5ExXSwyK8ujyJiOBzBS1rl0Cme2IBsXT
YsGnraHd2EkwpQXMILh0AQoR5EJTQW+p8Lzt4EB9YDHi7LSwftZbazwqIz50seU+lS7p3h1avcoz
7ooy++jmRUEzyPapzBampAJPw1rtIiuC+tKSRqGRVN2l1uJjNZr6fVxWb3wEhKjMlOCTZTxYMW+/
ZEK5RdxeHGpvAXuXLvh9KuIjGt2GPOiDBAKKZM8xr1OufYJ6cY6lJ2c4n015kMlbh6E1IMaZXPPS
GWisJjdCHONtBKfjmnugFMKxL+6a7NMHEpJ4ZvEj5WhKkkyzw/ET3WTWqT0MIPI5jZSjkZNUOzFi
4tAIy/gu4BPT6viWVTkpka32YslO3mF5nrZQQcIj1HJiof35sRmH8iEc/xB13O2HmNUFLZ/pwYnD
9H4kslJ3y++NLltyrOcaaZ6OjCaZBzSyZQc4Upr7QbB+APRqqEHcMB3hLfezn0UE2LHyJu2eYf8z
+QrGlnZdczcufMQQLlPTPHPO8aH9F+6F9NuwJe4XtLsWDP4Tfe/sWdP+5FNXHZkZDhCXWeoomV1H
OiO3XAdp6xEod8xSbMJOZt2nhO3e+4Zb3OXt698r5sB+gSR7qyUI9hy7BEZjIVjVSsJbEtvmQ2Zx
9pKYip3EiCB6djAPhh6SjGpmN1gNF6aiggIGK7aMiqqjpyNvTB3vWg+MrMyIOBA1pd96cI1wH/WH
ioFVG/fOPh9rbeuCIaETRdSOS/XEW0D1m4J/bTu+35TjvSc6BLaOezSTud+6Cwc6Tmjejen4ICJW
nFH42MTGeM8roEIHG5ErM99nYTXu0fweK76sLTWNASoehJoz1z/mIh0OgAvEuY4M52A32Xu0HE9c
N4TD02mPUYs9XR+mMUDHCL5zcN1gmOo9i+rHvLQUxMZOO9YKYzlchuZRtpz21YKDt+HfkvR3j1Kx
D5DEpBvZc3Kg2eWRtTz54Bvglw+kb+iaQ/OJ83BttGiy3HKfhu2lFmQfthLZ3DDgN+M9oUnshqPX
05CLRuNtqFiW1eonDcwsmOwpPoSq8LaGbEBKJMj5LbOzrlIZF6nP6T3rZMlSIBFbLxbMIkpZYRaN
aLh2wnihoT/Q6abHGghXTS92aqePEYesxRE/6O70rFrBI3Qg72ift4NcyjPwCeFsQuNBaTqnEOun
avJ2YQM7SmKhmYzYfHEt3ikS3sI2sddYtHmVJ387VmafNOriu1LJLY04KDqJ82HhUXQdeCy91XFg
6r2LsRw8C1fvA53vTSOnuZGTQ/FnZLsGAkBgVi79u+IyoObDRRsLNNKLfTKhRcgQ61xFNTgr+hlb
Z6TV23Zpd5bILZhpOmCHumQHhEpcG8f8FjofY+R0b3xZrwkxi8wrGrURVo+6wBlZd+qxfYht83Ww
qk/brNVd6B3Nwm9ZP7MAkqFP/eEUT3OMIXmE9yB6+W662l4VyXNhKoDUvdM9zFVxsmuA5SIG47RM
5kDxKfQOygs6A2qabYJgb2rTuDMhubvTS28jQJ8qYmQm4mruq3hEoOWod+FZvEky2c3KCjRWStfc
/tSQ4x4jCBMMJWpOm70LJoNEvSl3wKtURFUAgg3firgDPYF7pDQgOpdw7/dJA/TGi1Aw57Md7drJ
kgSS0oLt1KWfBvXwEiFWughYcUX6RulU7xAzA4DKGn3fg5j3QotRieZYJ7MsXpFKjxffHtVlYlI0
tsI69yqrbw2ClaPvzZ8udKuLblrFZd2qhCwvKjPeohr+aAhQ4RxBcTyvW+MMyWjUJrwGeXtzYWI4
DkbbTqATaIxw2pomsjEvgU889tWTwj7EJJmvuSQqjYEUXJbKJQBTz2bjZWqiZlu72NibyLM3YxmP
N2BL29VeVjJefZ7TnwixYKKEznvLeiX2jXc5uv2TRbr3xVU15ncFHdfR3IuVLaaChGZgW803wpjV
o5V+IEsUz50NDH7yBwRmvb4tLpVs+51RmaRbd3+qpPgeU/kfGT/Q1UW9zkl5dg/UtmdGZtRfRXJO
ovG7rYNGN2LCx3zPYhFZpD9WfcQYQSwKVVLfZluBYo5M1OWKqNPa86CukuAU+6l51WKOlLShfvS8
kBSt3gY1xR+jEySECX7Gje4sepXuMtj2W2GMT8jzYNrAJk6TuTgaobaEExhEjYubHXoEkHW4d327
36XJxMLQGy5gYbSLHxZk8ETZTi1kX7ui6ra6HruGX52ZGb9G+N7PlEnOrmPKTfeUs0NHKPyqkx0a
8y6Rk3VIFnlyqXmScSApZHlftKR5R2KPvts7tGDFtokCYzKVMbNk+dLnHqGlHkeJUg8xnjOdAmdD
sEbWEyvbjjTMG9+graig7wxNlu7boidVK6vEY5I4OfpUcUohRJvhq9WCHBUc7QmDR5GSuDm90XIi
jqKoA12cI01zbrSyKPvJ+01anWSo3P1d1OiiOG8eCyYvRd/WqN69BNclPd1ZkI1TTlWAsEoFCglC
GdN4rofAUroeaMUnRhciOKrkPqYhu8FZQn4LEPnWUcesT92fKmirZq9m1T9VZnPvxarZNULLiYKi
/wlYglyLbADYlPkGlbZp3NdDd0ttbMtF9R14JSgB2wbUZcDvM6XbHVTIKs9FNDH5Zb0PfEIeji0M
2cMY+SOKviK/jWX/cyQEKcrC7GRN7mttMCIhfkXbjHaKW7yDT9ZJAqWYW2ARrMgw83zjxgLlsQEK
fZaieY8s/c6EZPbQwYGyEhXdWs94mPp4plEL25YD4XSOIwz1eqkzD2P+xPpv0TyqO8129VMzt0+r
n4Bc5hcEntUJDlRzZ9uEoEPHC+bSeetsEto66U64VLRfQnGmKOKsBvfj+9htFDY9pk6EhBjWtey6
H1FTd5dkmBYBqfhrfP7/RJT/CxEFdIL5vxJRLj/K9kf7rzSUf57yDw3Ft/8TDIrrYmYUNmNBA2+d
+t12//UfmqGb/6kL29Qx1HmGjWf1C4mig0Thn+vQmvO5h9fQVn0X/9d/WNBVfJyRWJwJHDGc/0ck
iq7/Tye50PkDlu56YLEF5AXH+TcvKFAFL08jGFtGCJE4zfWrsnv96nYKHrs3byMdGGQ5yaOB9gmt
0XIUs1e/xeq/6F0vBg6a0Fd2kvz05clYt1afxurLWK9W9BWGrhHBeq0MP5LQZvaxKCCNRQu5blnL
VoP59jTUcPz/++av+9bb8nkRfX/dzZEXB4WVXZpVtxszUYfcH+1Fne8LLXlnXGIcAEoSTaUtx66C
mT+RS5bT0NhbJZ19myBtB2o5E3gX72enlkHj6/T8Cv2ljMYxgG20U8sSNzfpCjmO82fo+hrzzhDj
vy/awOsb/PSF0M/rRRviuZm8/JuBt3gzrdpcnc8bmNRu/RwpxpFy07uCMCfPZq7LM39Pnv/t6iit
D6QX+p78+HtA5xQmUCE3SJBu+SI6NdrwLB2jhV1Wjuf1ghgTah+v8Da2zVIydBdLhvCZSKTNeb3Q
ZoP0gXVTICAKIAXvK1IYwRQT1/j1MtbXsjpo1q31gtfRHVpdgTv9Hy6aevHTrLd1RDiNCmRhmdZh
UCN/EImszgtN3Kny+uRtHZHHzNpAWloenVX69G57Xi8AdVJKpEMwdrBsumIJEu9yQN9D/Dz6CV32
UdCa1w8JVqizk7j1mcP1BJrkTK7Egs6Sxq6fgfqOM5F6thgySO3tVU9Vf05AsZA2WwXjfaQN/tkH
UgONJGXq0oOsA4xT7fR2wBupz+ekxm9VsBQrZ18/29JMN8iCoPuGiX1WhgBXBrzOr7zr6qUJV036
cmH2hc7kb9iuNyWg+g84rG/pqlSOFq36ehEuaut1q5rEQJLGUzjb31wysna0kPcJfb8csKPjIeM7
5X5/8OIwCRDAyMAnkdcPK3r0Tg6MfnEDKeoRhpwA+lc3UIyRf9+Z/h+/LgDhJXhqaSEaZ/n30bKI
aIKsj7Tb32P7HhL0xBQkGFI75NPFbtmHCAJdV98bg/lTa62JXRTdTmW4PVDBTp1rB4AlOD9AoJJ8
koIB164IWVrEi7XImTx+S/WAJGT9GERmyIMu5dO/vXd6a3wKIfE3XdhoeN9JW+hWAfZysW6tv02x
OlPWTex8G70vRdAj57IG/2QnYGWHOj5oCNha4gnMzkO20PrYFWMfxCIikE044aydQ4PZEyjDbYwe
aONgytmFvXxxxnRiF3Ods9sMr7nmTIesx7Adl/UxyxJQtpQRJgD7FgA1rrlwPnNeb/XaYU1QyvNq
anKQYKI+jiqcHVPLykygJFQjQ3zIIITaTmGzJxwYLG8KD7sehApcUs0aQ+Eks7FvMvliKLRclcVo
MCeMfhDJSikbgc8zGz8/aGP0GU3soNVA+kDOIChALxNkMHshamMrQhkkjh0MdKPR6rO1XCSW+c/W
epunDHICnfTn+uv30Jid65qyfoPkutgPDiPeWA7xLhTE2yVInzbE/TR73bCHvdfQqvv7kljcBVRk
u/UYtN7k+hbZH5rR7Ib8h9GP6gyURp0zLx/ORHTYKWoPWIEAfognJikZt8a6L/zdtFHPVAwpAti9
nBCy6oPkWDg1ixkO3cY0RSbUpQVfP/pUP52YKfsyfzyDlr6LGYMcTL2nlR0Zu8TyHnyDvtT6UdpI
/ic42jDoEf6J6NUxH2cg1DRC6bwVeN/0vJk26/F3Pb6VsX7B8JX+PS578UIdRai2cZukZLmOOCSL
1KOW0GqO8eDQ2r4lFTAUmRC7WxB8S4SRi6S7qTJUn0m0a0a33gmcWwQ3KSTyeIMQs5EyvmxZJB1t
XQ2oYc9ozyafEiis3pz/D3vnsd040mXdV+kXQC14M2yCXpR3KU2wJKUE723E0/cGMr9iVnbVX+uf
96BYNCATIoFAxL3n7BOpjNXLw0Dvv9dq2W+iCJgWejhmlhipjxax2SI1tA0rrgy4uZpekPWJe/KI
+as+TknGxHu5u9w485M/7unY8wKbYRN1HksBmyjASMQzwAA1SAh36WDMy1epUoAQWp9f9COmBcI4
sWt31rixUUSuCoxjx6nuEWyTW8dSnAGlI2zpSIdAGjmuSZURNuQo2pppflewRKw7o9ywirstxmbf
yEzf5WXX8RW05cFx8Pjp87VgeQ5sN5yl2XuEDHQ6ti5VXE2dXZg0Wi0EDRrNnzraBV51jRzJObDm
uRzw/e9RMMljT5oJRTmcSwHOyQQRGYIRK4Tsqh1c8MQyMMMdlcbhIqn04QJj9aqeNgQioStA3mCH
pUJDdv598kb9+UstDyMmQjvDmY4m6+pOjgjo+7tJzCOxedXFQ7jvCaElCrczMtwiuDc5BZYbar/J
1qiKOZcEA+U87cnm+c1ys7jP3Cqf7c6EiwcqJusfL3g2wwIipeyzmcbr3KnGk87ayo8Qpaa6TuOo
0e6SEunV5AxveoQMuSdMr8qG5zgs30TL5M0YG5rzSk94kFB3k6ltXOHc5xUrK2006NoJ5xgH1SaY
xqeM+joaj37Gcj2LNGuJYglOjVINqwp+i+vNpzQAHS0ylH1j1c/5YD/AZKDvgJGL5bl4tzI0E2Sd
EA/KckTElx160Z2O1KJ3iXwFQd74VuyxKIenP0q0AYZB9IXx1er2VSmkdejnFvDAmrzTYvnUoCJb
hSS5GzIJGKDrJ3ug4BdnT043kXnOHM8QRB7ERCdaSWSQTuVctal6UvH9bOMwenXKrqaU520M5k+b
QabeKsZelECJWdsTPnRmjPushvOdgdVcl0Cmy7acrwNvVdnCAqkQ03eljlqs3mj7Ke30mzqy6UkK
7AF0KUjiCGLisql0c/VB2EjoOKy+AO27a2LyYLrab7BFQ0YbCYpBKErN2UvXVTxK2pLUPVuuSaiS
v2yTnFYvUz461cBsktXrpkG+FEhyDmXA7G+yv2tzCk7sdQ+ahn+3w16xo7dOG2HQ1gnADjSk0t7k
MqYhPWdutJx0WngxVYcgaQBEhHAXYjV/nVrjmxCjdjsQ14TncNVP6EhsnQQigR0cj+mFbjUHDy0o
YxosH8txKEMbxQHlDV+vF7y5pXWkj0b+kQO8GaAC+vYbO++TuzQGv6Yb5Gj3AKQMV9AQtsgYm2hK
Qo9cYR65nGy8/QEThy32w2oluvARCj/ZmGLOySgoW3RAY7mqbomj0v2ysI1tNpnrSDpob6PiZSgV
AAcJl7yE9prTkAvtWNk6BzyAxm7A0QRYx4vUJ5p5knP0brSqnBAV9yUViJfwDCKu84xVe4lZu/dN
g0KKM5XjZU8VsOiHtVOxpIbCBU1Oei+ZO14qHns6PPThbWrHF5FNwggjHRmqERFRhogeTdfw6aCr
rOPp6MVxedMZtHpLvE0rc2TzaQJmbcXtq8N/YwLRXzQbi3YRhyj51DKooIwnp87KmJKCVF9XSuIb
oyH36KxuSfygnAywNWl0azVZ3vc2bBgITYI4zdKBXDkE6k5R0X2WhLoG9vWQlB5nMYkcWW6SKkFG
WwfSZVf1BKOgJ8V6YO1AjUcrSk0CtWhwE45z/BlF7Xy4p+P9XVGqXaXxh6s4vYws2RDf8hxOxXsY
9ez2iC2olooH/NqhVeJE76WDYJLgkBcN0cU7gRNvQz1sRpbLW1frv1G7Yg3lWInfFclWhBa6Wi+L
kO4cqCOiScqn/PiLR22YEvh8XDZYYlngALfLBuebs+dtee6H5+3vHIn/+Jblhd8+5rfn8ri59EAP
TSLyO4PZUTivaoz5iqtNgIj85fFyE8+vnB+ORvqfl23mjFvdc6jMFrC6JJO95V5nq9VsfcNFYl8q
OWuG5enlJp+3Om96fm65Z9sts7d/fPn8MUkJ2GB5KO7TgWn3+YMQjYcHEak4Ztir84bLwx//wHJ3
uRnSYJ4umnbK6vjPP6Bk5rwLsu4gAbFsZFU/J/M1Lp6n8X3Qxuu0IV4uW1bby5PLzXmb83O4iGZL
9/zGv9uGVJEYDtOcRJFAd/pzs9+2TZcFw2+fH827dH6u6CuKaD+2/Ns96xFPAQOYJTjnj8voAG7R
ZN9WZmPIDQadG80Nx21BsOlxaGdCxZ839jzrWh7WAvPjGKDgjJe5Fu45sBXn1388/vvXzD8/Zdk+
bZBqdrAQRnrOAXNy9s7GyDioKCOWpTCuvHS8Xu5KkwAILGoKdHDs1dYMYljunW/i2Wd9fqiSmpcx
mMId4A3nG4DfqW+3E2m6f33D8v6/e44zBlv3+ePP26ied1tVJbEiiqEdo5xosagpPhU7J4ugUtz/
K2F+cvXoxL+VMGF3/QJhW791b//1441Xbzk06P/O3t7f8re/lDCXt/ysYLrmH2AMQW967szCBWj4
ZwXTdf9AsqjDBaNw+JPcDABoKVNaVDAdy/FcWKS27XjOuYKp/kFcsOF5FhUyoFPe/x/UmVLoLyw7
HP2W7RrzblAQ1bkMz0S5X2iLCas8szUw+XV55211d+JCKT1SiMdyX4VbLa+KfVuHKtLPmQdP3qsv
hyD9F3Cd9ne7wfLWATFtqK6u/7YbeJQbMciB0PIKoajIdPeC/sG706rfMb0jwE50ltKVsulTUlA6
VUnWkT4Z/4KB/Y3st3wbnqYZhqkDbAMOw0//67fhmlrSeoMR7NUG3FKQgbgVmqIflMA3BueA0uVb
agc3SLq+ZaIBS1J2PmgvutxFoezIWyeNKKZ38ssRdfODwfgr25pq9l/hjPOOOYZnA/WDjKkZUKX+
umNT2lo1obTBHjnpjPzqy52Z1NdaibQtdyw6GpNJaYm8vGMjdSYOYtLobuqoDdCHzZ59u9xYtmnv
4Bofh6r0TtqUNSfH2aUIvE+tXsg9CdY3Y6mbJ/HnTVY5YOytkYm2cEH8jSx3KetM1xKiHRcX8RzU
eUWbcCbdxkp5CfEDplupfiq1ax+RTYd3NWtmn1XPTsxx24oclQOSty8vcCfmixD/YO1v2q6lrJFd
BhoLJls1orkn112qeft9mLyVJZED8GcXl2oi792yCRCgfQQhJeg2KbcTLu3wGAxjt3OdDFOAGFCh
HTSXpf0wQFGibIlI4MpJvnsivTGTkSp0mnk7FhpoAupMXBT6+EBmVUKlEeVJ6yG/IM2G9eEpU017
q1ExZPZOJo87QolNk0MTFWubC9MqFa651Z01ScYHqvl7+gF0GfMvUav5QaEbDjrC++zmH2RuKI/x
c27Z4Ji6Pl9L1haEV2EOl4THj+AzaeV2a0SOu3GYNUYi/gTwEbI2ZT3i1V9OIW9KL7yp8ftRaWTR
OtS3yX2R1e9kQDY+5SYMJSWBADRErlMyvSVLJLaiiBdaAnkus2UmGqcwN3fEppLI0EuByd7ckoFy
I4Nm7xS0nTXPutcM297pGuuHPkpYBVGZrIjupJD46OrIhhVR9xsKatmxmup3W1O3cLA06byGjlS2
FUrgFQrRZ29iTVNpaLkUQ73tpu4KzsAnKrlZv21gzGK16aM4Iw8RkMC6cF606j7W5ppIIeLrRH0P
ZxBkauH+kSs1gukF9lHdGen4ORG+Z1VMplqsFYgSMBHjEsi2BJlRSSqmy15oxEaEvXFj5lCNs4bE
ZVdEu6lpEOLk9ocINcsXidb5pRi/Mls3/VRDhJz1CHI02w7WbY8zRyOfmF5l6KwTs7Iui6A5WSlA
wbgmw6bS9IZ2qXEse8NaRzg/jwrIkCPJY5S9lrtL9fx8k2MFWtdJzHpgLqsrVv0u4kxuljpgNUXX
2Kut7VK2XJ4awobC3fJ4uaF//qh5Otk4c2Vz2WS5l87VzvPD5d7y3G/bNdYkd4lCBfjctqHQ+ozI
0t4sz/XzRG+5Z+rS2Zgie0YKrMnNUlEeERIhM5rfvGyoET9EoKRDD//PqjOeqkj6y+MftWe+Unxm
ilb4yxt/PPnjdtkqnlWccjSQYs8fQun1Z/16eYhl1yXOcXnrL3siVDXaB0LbdBAXV2atJT/28Lxv
bqjMgIJl+rk8K5adXz6eIESqqMtd7FrsLkNI4SfMj007I8s58T57YkRWrcLhqYTa+4ioY4U9zNwh
9sMdHNYXXRS6+I2CG2Jvd+Oowt0MacVPzXiMpuEhNkEF9NdDIJInGy1jkdvoYQvcyLV8Mo3+q6Mg
VGVl7nt071nMI8DBG5bvDdlKTJGTivAziojqDl3ghkjg1PDOhI22seIoWQ1OckdeHUtz4zpIVW8v
6u5WD10iJov+lWjFDQgRY2W3LPyiOZndCiuSdFzzKipEcCqKV011MZG4UFwTYnsYv8kk86rPbqCg
WNigA2jRE07VkO9kJdBIVe3eKxCplkN1pYBmPcooO5iDkA+6Ue4Cpf1oHUFP09Q3TTFOcCnRTjth
fYvzz6X13k7rKgKoExtIFwlrs9boyBQIVPT1KFusHV07BF2MbnIE3IGLQN2UGbUGUkj9JhbuxgHt
xvArr4lfwtKlWS91fw29voT+BbG6+w57Cil0bGM4s4sE7dyEyaWbL1rI7Xsb3GvjEnPY9v2WRsDE
YiRH+bfyqlis03J6FGDtwS7rWNvJE6Yxc9FOkXXjyHA/6mAqdKJwEKR8b8b805TyfVCbR0tpijtl
cBDEK97eS7nUoZOba6u4W4ywdYgDRZNtfjHf88Adk9BHXu5qiCjr1Onw1s5lHafpNdBscUl7lOuo
2sA4TJHT0j6bWs6whnTUocNiPYDWVSRhvrlNjbYeyK0P+nWb3cBWLDCvOiXh89EX5btjXmsXVlN/
19xqpFDgbqr6Gkbht5jMsbXuEEHv1FRpHcprY2w82/1bMcT6heZaxNNQeN0rpXKv9aT1DGaOxjOm
LKfZ73pef9oTNo8qrusN6TPESKEYWZfVhWZPl5lrSqop8koqRrSSFpU9XcHpTafWV8kL9FSOAL02
ti22GS2x9sLST2kmdkwx9ipB6msO7GsbFN1WDZlvmnZYoenbarqOk2+YNvCeQLp0qXJTMps5DNOn
dDi80iCU2ySQ27AbX+MSy6sZZmIVRrdZnH9wih8Gy76NUydH/m0R9Y6BzikeIbqh9C+bB5s8nuEO
u/7Gnbq7PIAkoTT6WzPg48Ruu8EoRuiDG30zYmCYqkuscgF9kSJ6IolerWHUzBzKfAr81KsRVkO2
O8UNDBoEnExj7gbbuBP58A2zn4t3cpoukAlvyYJwfN2+YeaHDRPpi5zKvQJNhvXtdNdoZr6152gk
RRpf3gwug345lSTYQZ7B81Yh68rV16mGXIfn88MsUlT0DlXUvMePUmNvaNP4fvQIZ/EGREH9rkDp
CmBhwsPNFQqSb495Tgt7hDwHEq2POnZl16lvWltDVa/AnRLpC7qZS9V0nhqoz5SYOA6VI3jzilFb
3EwxEjKIF7cB7lZLGx5Kdwg5PACFNmFGxLDi3TkB8skgigz4zf1mciiIJY1o8afqWI6H54RCIFLD
BNMwFpUhyrBR19uuQLZaG/HJJlIWrlxI+XofTeJkAy0A9aSeioyULjn0F428w++hb1yd4lsYVK+I
GvB8A11JkIvjbTAeHHmBQpVfMYguVSJFRWJ/upP6hrwrVQJomjbIsuYKTMcqSsr70AP6ionyZOKx
LMb8Gc5PtlLjvXch+pLyd+6QRh962ZWTZRRoCkFJPattYxMXgtXU/Mry3I+XNYouu9AWm7SsHmou
Mvts0L8tWwXo3jfUFClncvm/IoKv30FsL0Bxu9TvA/LgkjQvruj8CbiE5kpGubgiTY8+tZJv6FbR
d7e9OdLcpmjQVJyNOlGXTk2BlvgN5Flp4weu+oVYuazFyQhrB610cdeYwQFLJJanTncuR42ZXim1
aetAnKCthZkZsfk6UKvpUlMeYmdWiM97YqqdxH0R5IyqzuyyUtONZ6Sz9HtYVz0aNxIm8NxCqjBK
biZUoeYwvI1RM5CU62X88KJap+4UXPaOMC4Hfm/J/8sSa47e5ZdepX/q3hj5ijLbco11hgGSJVJw
SrrJPeRqedMi19sVhXlZWNBVddlfuTkYW9WovtDlXaeOgRSnC69H3TC46HXGFTp1WkRZdvmuQtnh
LeVBLWlEl0N/HK3mEu90iw1YvaX/DGI7bxEwinyNQ7jlvQ655POPWOU55sUsClaqjj9ZtJrYuOCH
/AoxgmicTZij61HQBgGL9rDxVf1V2o7FFaJw1JjpVQuRc6+J+h0IxtEwg+7CA9l+pPdwF/QjPC4S
T44a+owwT78im3300p3RDvwzOUdWOoOGAIRfaoOYp+DWc10w7lsUzqmjrcvOeXEtfhVEBxVrPzFc
6Y1KL0Ddc11CYOcW11mqIYdlLuybVoHwTsIeDTxlA8SNWOMWnbAnokNBsM1VNt/AePgc3RbUvsqB
bsunzBOwD/ZUulkMdcxcYIgJXw2C7so14ncvnMZ9HLh40ptynSPOOQS6/O6WKPO9dztec1iMx+UG
7fR4VEpHICKf77a9JjV/eckIe5eLFCs6mraVCQt2uZdAEqJP9+fj5UkTQ0SGU4wto+V1FvI/t//b
J1vTW6eGJK6wL0e/i/i27VbUWPW5F89yn398uGzSzNst987vXd52frjcO3+UawrGqgw9w/LJywcw
flsomQ5QHxta24Bxl3vnm398jqgUoLp/976agT+2aaEHJp3+80c5ejJb0OZ/abmBO9D+uPfjs87/
FA22/2xpRhd5MJgHbCqd6iQ/tv/ldfgYHqL/+UMhvw4/92h5vHxeDxyvcQVOF7XpVL+c/820xgy5
We5mQ3vIQv0xQziz0rHN4CbNmHga2bNtkQRZhtr1qJCUBKGnxVheZVCAcXNgIRpWheNCDuvxwuGb
vYkS0iUnhzaA5KjuM0Sodl6uG1jl5J06zSxRbXEcBdmlS5AQHkYIhMvDIdSyy1ih96xE1rQdq5EU
mtZ4SpAh7qTBUjqzaKuauC/xM9o91rqGZrjrGicna1ZSbe4dYsgjM9n3ZPCekijOTrR8I5/ckG2H
dc2XYzsc3Ea9ThxvljnPZCXB7q1CVY+2wsOzJcsT4ulHFuLyNBCWcFruQepjklAicFgeavOrheEe
aQYkB9TJPzcLpSaxGohmm2rIUAoDTRt7Iq2XOLeLywTJBv1k1gQ0d2tQEJBtOvzDKq3wxrCB1WdB
eOrmG43aRZuESKDrWsOpPIv/r0wFzDMrlWNY1MaFTiIhFza+Iz6Q5TyXF1lOJ0ZTYgbD/KHWLYdx
mS2aUBlPqQJiT1DA3rQZ7VPFIYnBcTMqDFP85OhNdSldwmyhvNF+NYuPyEMdjLQIz0xb793IvMil
al0oQ7cPalaGEjoeQdVJvrOn+C2oqeaTnUBjzI53MNrortJmOC33lhtj7rh6ljpTSdHCJ1a8pfaj
GPwE9LP1ck4nURnnvWJLZSZbaa5nXdR5YV8gMAXJ7zproTkfHsv5ExG7DamQHcGwPOrnI4X1BXVK
E2v1+bnIobRCi7AdxrsKft0qkbl5Wg6s5Z47jOE2sfRy1Wu6YOLYnfoRppeVS+PkjbA50iR5lp6p
V2sIWqmlnaBuGqfldXuswD52+ybKmPTp/CnxOG5CtZQHq2JFKbDg0cQkutyC3jRxkpx0NSf/Y76X
ha7LAiwuNl6O+iZHsBq3+7i3lHptWEqxAX2Dg14/NjZ5wVhaBG4O0CK0ttOT4XQvjbHDwoHOfH4W
IHdDjAveQqV0kxNt+p9bLpsvN457gUfwgUJnCp0vRbMy5N7aFFyJ4/l7jyAt+u78HXbzQb/caH1c
+lKbOactgojISi5kRIDRcqPE4UCU/fz4x10yemkPE2my6hX5tLyAOC25KJO+/8uGy0vLpy2vLw8d
lTwhY9YC/fbC+V9dNj4/9LraWJs9U97zc+d/tDLa/Cj6ZyNxu5LOdpz+sutVaLMEMD1YE3/u33lX
zrtXL3ueDVTOAnoB/vLKyAHnkVO+O293/mfPu/Lb3i6b/LYby8bLdkMXf2Q9DhyklbvQRLM7GaQR
W1V6n/bOyR2jHiAWug6TaMybkoLz3qiMb2VmKlc00Qs/pPKzYZY+t/oi69IjC34EonkVlN4FSJwP
FfmLj2iEs6GB8VZYuN9LAiJOFB9vQkvae2b1kejkdZg8tw5YL2oWG71JP3TmuRvX9jwGKVa6CA+C
lcHZaYbUYysVdDRry+jVLSCJ0e13ZeuCVUHAZMaA/PKu4gjWCSTq3ZegEOql3WffItY1O6obLEeN
iTh419EP7ATohnaBLibuVtFuQinCSxkUr7kq3Ochequ6aFvBTL+mQ583Q7NXmuEWxQiWn45QQsHi
CRbY0GzSIn2JFC7LQK3Hk1lTSBp744OY1w/E3OZhrnRshgRtQzclV505vLSBe4PuGf/aDC8nMDzR
nlmnwQcSGUwNzGuM5wHYSWLWFZdgzRqyrdJH3j0iQ2QdiWAkAp2GA6xeB2AVmfeTGG5XWxmgOqk9
8x1oTOfX6ngoOAXv9DK1qKDPXdCwSXcelLd1hcFxmhujRdmNVIMnXzNbXMpQ4LEZqu9j3b52qqVt
TcHCQpp4cqpvMrHC+xzxuOvp9paDBBA8l//SxFxH0uHWaaZrZQiuBkFBh1PZPGZ7OZkpSzBl1Xd2
c6t63aZJ42rTD0qxD6AcXFhSrsb4mqz5dpeoQImI/DxNLkF6ZUlWgpX3oBdfkwAL6TiI6qHz4iOC
exMqYmJibw9agjx6axspWoLxsbSvzZ7lUpmj6gYouR2GyrrTknBbNBD2AM1djjh+L2HO7pIqN44Z
MKx1FkTuRR2Pn6QPih03xoZ5tkBWPaIkLLBYOZ6UuyDXlVUb9O1qAFF8YEIy09OVDXICsVEJZ/ET
R9GwB6I5pUam3FYiuurdsT/YRU6VoyfoyOorfV+K5MuMXPJ4zJK8Po4oKm0GRb4RaUnYA3odxm2U
KUBgsvGdVd8qmWwJH8OCo5O7h1Szux9tuf/zrfxL01cn9IWO6z8n+V6+NSJ7K77/2vb9+aaffV+H
Dq7pOCqOEJN+sKfS0fvpXHG8P4D2WoZnWThHfs3yNbw/HN3QNOIv4HYRtUub7z/GFecP13UMzbEt
B4uTQ1f6t+ze/2eWL3/NX9u+Kr4ZVXWJefQ4Mc3Z1vJL27egFtlghyIyRvaAYwdJYR2QmnBUP4Ul
6+PbT9dpNgMBa8/yh2nEAp86AH1rxjthf/ei/GSyll4ZTvJv7c7/1Qym920QQGfp/JmuuaSc/bJz
XUZojIJcb6+AttAdUouMgaaB1SHI6GiDmHnzJExnZ+ZEA1J9wW5ptP8S8qb/NeTN4hcC5cWvgbPI
Nqkq/mbs6VhGDyxQpr3oUHph9SZ6rhox4lV8KU7wUNHZyUPjKmjsz/cE2/TGGmhmKc9qyi4yihEq
o92XFAv0pDN91Y1zv1Kz16x7NaEH+V7LPis4FPxfDsS/aRbrlvW/d12zVZ1GIWHL/B3eHMP5y/fX
9zgHBiIu9xYZj4HXP3OtI7THMPbM7GlqTswlQPdeEIahrkO1oQDP2GTLlxh1K96B7GacRnIt5u9a
UtOhR9WQsoSRlX9vD1/WnTkNj4OmPkx61Bxjz6ZxErzwJRn7JO8uHNhYrKXjW6J3RtBgFhXEOt2F
KubJvNcx5dZuvI/dgnnZnrY2Jfap16nYMIMTZWIgviWCxq3uEELoIDq1dEtQ7Bpt9LiBvdv5YBex
CgIclybWgPRyijEGqCCQvYBcZ+ohW/Dxid+IYFiHFmpLmLJhqNzQrKxA67FNltv8MgUYvtSiDhsT
WNHwx2fAzlA5VK8OeIxusuq1M+TAD3FHd5LykuWNRzwP8yR5/ibnrRs7p4N7U3mYcTtJaGqioLYF
wWP5rYkBWUtDkCegkVkIr6PWdtHQfgPDSgUzqgtyqUwKnXr4BdEO7G8+5Ih8rWgHz/I1HM1vpQvS
lGoi0dQ6dhaST6Bme8ZA3Ev1OsakoeTpDHz9oE2drplvphhUQvTo1jVvF6sIAw+Zw/W4dnLhY+kp
fOq+kBKTJ2av9Tp2lH3gIT03S9axCbVr+I83tR0BKG4pv4Lm2BUeqnJ6QonfvsIiMCL32jSVFUJT
scPuDKVydGnDavTC5yJrS83OdmifdkrA57pIqoKRSJz5j1BQ6CoIXVuXf4TTIXSth9rEtuI643Nr
J69Q9K6qgnAsL31tVDCCNZTUIPce8H2wUIegWDlmu2I9vwL3RbeLnwbf9sU42FDskwmQePI8Wenr
8kqu8TMN47idLPNe1PzmHlC1HtyN36YSLKvbU2UeGuZKEMOLsX001XZci8R8Qqu1Idkp2w7FsE/N
Asp6io68ngEkFad1LaMvpwpP2AQeyWfHgWVFPk0oSvauNzdDyUZ00fHpcDCd7jobYdU1DoNHQ41h
RYHqioIu+LTRxbKDWLYzQ2SvhYqLsJhWY4kJa8CLu/wFYUxBoyzEvTlOgx96HKlgeTgxh/gmnX93
OZhfI94PsyE9LxkfRjmnDmno5UJ+ujKl9NAWO61iWGqUNr0j8i0iG464JucAwAXatd1sC6NXV65R
3WD3gUfmuGvPAjMZ8wlIHIq1iX22L+cDY3DCjQezagVqcvDTpqSQO8qXZBCjj9KogPY8XENocDFa
s324oUlc73TK/dugnv3qirgeZPaUWJp11EfjXdd0CrHQDbdhXj42je0zcnyGPdCYBdCVjONTISw8
IvT8/IjISkMtodEG9ChLg6M39opxXcT5IwbkDGU7b0Rbvm+ULlvXrcdP6mLmWIbxUqUb1eZ6CsIQ
/EM3lidkSXDyBg4lfmYnwqa+DH7wQFjOBzpetydTdT9IceMMhDjf1IMfNZrvdITdef1TrzGyuQl9
geW3qXqOj9LLXoVUA5KSdiVoIzBzgAF6TpIxTjw05IyukV0htai0S3Q/703OJYIWGM0Lzh0IKgg5
Jk7n5HpwRqaRHZdfM+XUXn6RvmNgRgq/kZPyaU3RXTNxeomCod1kr6csyf1472pV77PYB4IdYB4C
QsDoxqdHY7rL82AdFfxG6IW/ymo5TG2O444vpWKuTDdyPZWPcoy+m8x25Zi+akZdbZZ/iFkKZzRO
kt7QYfuDBcvU+Kl162sj4fKyHCZcG/RNOIZ3Um9jv5CcGpir6Ga+ob85lnX4bTlE6PgPfqaGX21J
iGGGhhajESLngX5ofBeN7KFTFa9e1rCq1NIvXeUCVEGIXPXJNJGTi+9+0LJrgk5LH1/DBoYaqfDz
1QvqBvtLT9ejN44QyMRhiXhk7c3XCiUX2CP0j9CgmA2VGycrx74R0O4pzIxGcckX6qI0WckO6fdo
PrcZfeFuCg7LgRngTfXjMP1SgkhdK9AghEGoQinb9w4zCGac2aPW3y9HkeExrJihhIedXjcNTWzE
SzQO+DnrmUDXpvDeTJmfhE5McV9jQ7HBL7q9BFBBGx2oCSOZYpeveuZhBAjTbTPYL3OCg6czqOTz
EF02cp3ntoZLBS9ujUdgea3KCXoL6w/yRj2/TjIWYjGe17Gmj8BQLCEjqB7fqYLNxM+HmvDj+ImV
ucrFuEpXfXqdG8VrxWUVN5BYwRl9GFR+FStX4LpWBr1njyFZJWebQZ7z3Ruod2Ys4sKQ605SJ2tN
kdeaWVR+nCTfQVpyEFf1Y8t3GxDLCtclrTa1xcNOD08llz47onlvpoavTijEYo+w6vmKjXSO0Acv
+kzAGrZoOoBWxYlvoe8yA+tx4K9fD27+uswDlInjflK5TPKbrGSuM94XVyIkajxwRiYx03MHWwea
M7qSOQc7rfqXynRYiiukwnbo4GYwBqOLTNKvYnqgzUPGSR28EgHMmOhU89T5NJRTueFSy2UQEjMx
Dqu+YiDTZX4oVOFHzFrW83dmqOHbAJlm+UMUWNgkg2Kl5CokVSbSdeN+YG2IPaoI88gpR77TWNd3
DqPNqmr5cn9MQbQYPV+dr1nItzzPYdG5zVpUNlKP5Jqi7s7WjS1SQBcFQn0/dPLJs48TJzQQ8isj
LTZxRVPRRIDqO5PF7N6r96YNlb4lcLvBVrbqAwXNBb1CukuNcSVq5TuLkoGzk1OlD7p0l7n6BQw2
zkFzgpFOIEs1D6sUuVvmPnw7TVm9elTU6dvyRv3Kbqk9GxFhwfN30fYqkkKQ1iCIA5CjzrgKc+ZX
hsUuJBPCGYLVllNWB8AcJlZNPDHnMgkSnMWO+B66dApsk4G0YylCU9O1/M5SPj2scqu0n/YI6lxi
Oueprq/KEFuplqEaMJWnkrxOx+XSit5xJHJByZlsfLHe2FIjidYNl2BR6N86lHBCkkfqhLdtBKiS
mbLYyXkeP5ntNu+yh0rJ5NYQ/JFFGe6jXhxanVFZsdBBpWDeO2HuaccyLYoYQCmBhBxr4XVpk4Kp
5xwwRZt/oEK502vwXHXMaW44fK+J9aww3SA88krvX9p5YIcUdUGh1PHNqSfrZXxKe2DO9fAVZJw6
pC+AyZ/6C05BFDp6B4QQL2uQRV/Eh7FQGTBswWqzVUrEmZ3f9A0570lxUynv2RTXvh5411SR5uso
bhvy8/aOyyFip6/g79x1UXIdUhqkZQkJ9Ump6pu8Ny8EWD4Vzvg2pFKEVCkH8l8yRcR7uhx+3mBC
hQHOXg6bGauVyxC9oHvpzIPqMp8rp/xmmQbF+ks2apgn58E40dyHZQ6yDOIJAryVBsQyMDrelkJF
V9PmVQ9BsPJT9n376IEPQJXCKWIU7kOVxzdT0b4m2IxsnUrfRMv10cDWHkqmGd7cwc3VgtDxNv1Y
5r6O3UFPg87kGspFPjAHr0zgLYwHFZWY7Eut2Kt5wk04xIvH8malQfZG/xEc4z7+irX0NQoaxks7
vyVT0B+T1ie9XRPNjSsDPKWC65/LSjtJ2mqF+w24EFNUOQ//Mk33YU0ViOsRsw23WU2O9hIMDAEN
gadRa72mORdSU9j3mZfeFgnf9RBnr05rkp3Z+IYxr901Xx3dhz72HqbCYIycUxSE9bpcHaXCwlW3
+6t8jI81U3AWFHG3TqwbYgte45ZZTenI70xQsGtxNGd58KCH/Mnz3z6NEUT54WaY5w3ERjH/RPLo
lskXs0SWIVz3LDOFIMAfpM2XAO9/CDuzpbiVbYt+kSLUpqT7WH0HFFBg4EVhsFHfNynp6+9IeZ/Y
cc6+zYNtXBQqUSVlrjXXbNLyAvJBEVBfGhxrII1AH48JTSp+9zGLxFyKc5GZVxwntPT3cu27yrQp
DnDrWZ6RxRubWnk99FQxRd8+53Vz5xZqf0lnipb4TdULNPG3zKPpHmKuGUKjN7l6b/CgZIyH55Ez
Dp9l95HWbJjLxzxHj2k/CT5JSEKNE11DwztodnaRkaIO9MWH2XKuzNpIxyGMq+Vu2FXtF2Z7xhQb
LNbJt2qRcCdVC9qznFntlutY7cO1bR/0idOCc7MhiO06SPBJ43HSRxLiE0qkyex/U2p+QAHrd+1g
7VBFf3fWEMDPnrZY/NDnygg3/RAeBN0SBOvxCY20fZTdpdLz+K6q0rOGukMB4buaWOeDptXvVuy8
dLr3E6k+JJTymiHJZGFt0auJ7FfhuMMed6x095DqLDE1nMRZYMccyWGP25pq/nTVpcSlyWBYMqXc
mDgZjjNu3CapreRZrEHg8elXRaXCAIyWdr10RgR/BrFYquksw51AC06ZR0Fo4M6Im/wbUR+X3qqG
jadRWpgieBFskCvf1Ub6LzZJ8HVg2TLe1zbxHjUxVlVsMFAjo0UP8BOrDch0UWhBo/O/B8R1q1Ri
Up4yRSJDqay7fTBw1/RhsBsxzlyPfXFhs2bsRyXWztnRDLFX8xvCXTDzRexUjBDvjOkn8nGPkiK4
ue5AZlTirnQBHdHLu2duRlQ+Pvm3nQuXmIK5JJmn1CAkFjlBquPslpvEg1Xmu0qZb0ESkNcii0rC
dXLPAKkV90Lp1/7+q1LWHnoxQuiSJty9KizjDUsDD8pwbauJShkTuG3Xw4ulXno5icCkWDk06meX
B1H1RtypRrw1leNJNsR4OoWCpKl+gNRvDSdXuWeFlttDKFcasF5xaJe/dMMkDMOL8GH710N/nuIt
FNglp2/5FiF7/KBuxnTAAYSiGmXy3z+zfPX3k//+Btj2X2l8y2PLf5evloS+5as/2X9/P/j3c/7X
x/7jqHFegFSB1Pz16+GdwbkOTgJZ8u/XWU6vxatx03XYby7fWP7CCfYUQXIFNSRp4rwcPO18DNGX
E1j+Sv1fJS4pRwuC1MnQy1VkQcVs13puJ1ujsYpZRQLxgQwSN8ZUOXUs/w9d8dhXXr0LlP2CH7Tm
XuIiUXcEEuvRR99hsMV7KU8IMCqUZAHEHGhEp961YWwKrxMnzpvMUPXg8lddZ4pYlhBjFVraCRSM
iX6QYhrdju4pzBLG/+orllPU55W+hvttHAhiu3a4iO/KKTRPWlOZpwhA5hRMw6OJ5dwOaw5G8E39
lVL6VgENxzEc/HWL3eU6hxYpjByJdgYpQeoJaU0OvyAh93jwyxxde3Eo/eEQRNa8F0WK6ZpN4I3r
20rr7f/qCbKarFPTTDVOcV6L9+awNkwcrh2Ri62dxHdDSSt/9J0ZZbdO/ncNd3UKAlWDaNUOpprd
RfdOi+19VGgWezRDaJjf3PQxBURL1zk4tyQdHqsBkpjRFvcaoUzrovHvA72EHPyCCPSEeQ4BfdA3
WdC8nDicOThYhEphK3+XCnmJ8eHfZK74aoP0WiHCYt6POz5+2LQ0sDnMNISm7szU4UH4MOrxIzLV
66wRrKSV/YHR+HPvpelZZjGxSbVHmJjl/TYn+8vDx5b4cuISB5n/8tt+WLV194WGYBjhrY6ka6jR
6r6Mu6uT9PdthWFLmY+XMIJCgZcET3Ek7DnbOzImuCs6ucEOlKbUkqQ+9b8IvR+e2rbFwd8OcNTM
3W0dccqCCwLbuUOJhuY4OtJadwTeNplVPow5qU9cQC6YmXvIm9hYdSS1HPLE3zNkg5jquSnYjlts
zCZ6GnMhKFpS+6w7jYcci0BNGD5QadqkIKTg2elScpby6c2MBjbowaqYE0A38lrGvD4ZAjK0wXxh
Jw65ZhzcBIqnrI0dZhdorIlncbzwvcaEYmu3mEf4aLrLwZqOQ9Zs2gohCOgtfhPDh2E3mPCC4kr/
2SR2GlKreTaRxoDbykvVWR5uc56+Mor6UFleDh+aJrMKul+cAf2KEfiYKVdnoiY3BVagigo701pF
mK1Oe1uPsEbRvU0YNZDvfByc4/Q4h3F3S3yzvCfe5oJDSxFAKSvS8id4nI7qxoPF1DlHQj1J/cY9
sG+rL1rDQ1iZHzZb4z6lEitqifkl0aC0MWCIScNL1fEWOBVTnNA4R7rn3Q9g11xAkPsbveYtjHem
PhwcMeNygFW60+K60DvGh+cQn9eE9oMug13Rah3XvYFHhiVfYd1dgRFeBJ6jvcViIaL6Wgr/jmzq
WxAAiTReQL1KrL2GgStJDZ80rkAqIjn3WvnDiPoIb4L+WrUjWJZy97GrYY1uymNUXH9mkoQ96cPh
ngiMAUK9d0nxwdsCtX/XSGcTjkc6lU+goU+iG+4GgxifTHAxFPfi3o6SfteEzEkMSfhoCE+5DS4a
HKKtiMdVMWqPbZ5idoMxS9uGXLaM9wVRe0RarToBXBVCQMHCEctj6vJDU7s/ptHNHkzH2yl0DhJi
e6zL+ndO2MCget7ZnC5pAYqQw8sO/JjAVPy3NnMgro2lYhN6a0e+xw3bfVI6iYGaeoU9+jDMhuFu
UnIcmNx7K4YrC/DNjZoFCEHIQGlx0gqUyYPEGKKvIsRWNjmrnEDktHvEF4qHnER3ppyOyajFxy5P
r7JLK9ZOo9+WImrOj9ZgO89aTHeWiGEXRMFV75QqIcyIaJrEq2M7L2NB/BbdS9kOWMNW686Ur9Pk
X6nkNv4gcBVynAl/MhzE25/BfEfo4a0u7T1L3Q0S0HqYwf7K4IfLcG/tOuaPbgDvrZ1DJ6yTP5RK
IYSgEbsBrGbxvMKbM7TqZ2UqXDEKCqZDF5c7uB5MOOgRc2Z9UWyuzWq42dh0zqZ7JfekXeNaQgT3
+Ijy+wsH/G0clPdYioNaTfgcrBAP5OvayDapEa9rL9tLlPvw/r+SaASbqLF56nL/0tfOJ7wgZgMg
jEDrTEq0TZdCtQ/u59YkJ48JvzA+CHt8YLYl8Oo9BkP+6TMhdNQljZv1jrAgLbp0pbXVWmIPwoBd
Or90FVEy7bsRYGbmate4wifTtu6iOr1NGsuGXxKuM2ywxviMTMpgs0buohuvMjQfXVEjIuCjt+D4
VMKBfIJTHWyfmPiC+pxCH3Cr/mAP3Um953lTHuLZfMP+5opY7GLGkuwq8APHBWifS/NU2gj7spwU
wgxGHLUazCAsJ8IEgvpsoD9II2AqO5nRcbhPFj0X4p7+ms04i0XjNmmaV023zjl4RGHbr+qjUYeK
XXmAR04iX8rifZd4bza2AnTsFRTw4T3wxNdYu7d2Y/s9a/LovmR8HP1YvU/cQ3Ket57x4gTRp9OK
g++FyF4dJl542xPmeQxncao0Qq0NDGrTzARzkXdg8BjjYasLBA5d/Qg1e5yGckO8zkrZrqZRuLHH
8Cd4ytP0NIUZPaOOZQeIp41v0CrDbyWasSjPmVCwLHV76Ga0qudZQ6MneeOnjJUtdh9bL/9ZzOGp
K68eoE7WNkcnqT+0BC2EFWk/W1ayLgFZsj3IFHDFkBNOBC9ozr6560bzIjXEEk2iqxys9Gl0pt9g
Yj8oVTZ1VX018dlLuAwLtisVK3/EHCrd2vl5JEZ7RLOgY+IMKxpDI4PocPRpjySxfrjSieiw5QHD
QmtbpEm9zgz3ak+FvoasAy2xyi+Bi60AIUlnAbxGmudJ42aWRJsmnrstiCQY2ZMm3NZwMgk+6rH+
XSFwEl3rrxsjFBvd2Na5Rm7tpB+SClP6Eh42U6Zq03njZ5uiuGzZ9clXwgM7ZcRKNrxbXTDq3aK1
JLsCI5LSvYyt/CZ6K99jrrBuHdjzQVHRRjnhu9S41ghsYLBKeYAr2FaiQ9nknkPaak8wWe9G7YqP
46i5yYs10R/VOZZTIxa/aVRUG7jtwOlN9mpLC3N4rGBXifYEwv0oNKVPhZDliBGM1kSOYk/yZCTG
00SRpJCXlCBAA0CZdjDCuYwsyUOi6edkTO09q98XhKdXGDV4OVfDe19Y4Q58aVw1Y/9RMkCNRj7S
+EquGVGshcS7hz29moaLLUlI0dixbXuvleWPweQakUn+o/cBTlNLODtCaOKVAG5jc70zJ4trXvbv
UxTteh0Rj1tiXDhDfFgXsfaCnRfvSVa/aMN0J+LoBU4PGjV3XBEWgcGi7M+J6eylMIn7NB/SANzE
1cOKER72QQSCQIsdvn0fXIXgEGmtSi+61Y5/xZX9Bf9dLM8/7Zn6mlpPuKBSUANRu+bxYzLWe0kM
I/TP96F/QKLqeMZnPTN55Q+RNRigM8yUuEY3ciec4Rmf3G7lofPCxXnFjBdUrFbOgo4NDGsjqEu3
6sc89m7zr+8RGYFOi9FkBoyeMHfy8nXLBaLzEoLDq6PFONvUlbGHBNcMRHr89aNmVLEaQRZRT/GZ
XY358nKl4x/UIXqsmFMSdie0ZTCfVlTy6r+mVWys+GWer+q4YY11HP+qJwe8Rg8dbxUYKSshZ0U8
7eucEpmd3jCzakqAObAzv0h3BhtSFYkNaTQ7S0u2y9fqe/yp8C30uXKsCo6geg5FqoFWuUkALCCy
4UaorSwrWv6tGO/SVUDH2TeEzPiIrQlZAL/WsEZ2d+prdTv6HIc8ortmaA9WubPbs2k/sA6tDRC7
odO/1YkV3USgJkdIYvlYJSbY3LDr+AkjQdthrofcB8IpuHH2lU2UPQ+p16ui6hQRUaHO1WmxXJ3z
4MOKkRHy4lXTb5dfgMG1lY5HZsljXWzU4dR5qZdFoQfwSUyR+t05Ru3sQ7ot9dORpz80TLKNHMSE
bzcSfcpfv556C//1q/qclUlSXghuVuMbKiCAxgzWSuiXrN+7GmJdzmMtE7DJVdlAGIvzB8tDkJNP
nbaF8Aj8V4ddSziqenoc6ns9DtYBh0t9VDtkwhngWCAUdYSdOQ+FfLtsvYN6ClHKmxlv8EmHo29k
X+pQOoLY3OBsAN2npvmUZXFVh1TP8cv7bH5Qz1DnVJS/o/t/nVTIg+oMMOc7qpfiJe7kkLBSz2SW
GsvLqcMJ2R84jEXmCy3Kkz+TfEdOZJ9g0Fde8uYNMvW88oriOpoAi004n4g0aDZFQr503xC1ajLp
CK3426XYtrirEqnh2KaJah+FusZ2P12XAX7VJd9stzdt5HLNnXqHdOsWJiY2A1id9kzMTQzoIpHo
XEtg0Tohdizh+HUHwbiHjvBd+e1hHJlmz6Ue7wosqIR06oPTQAmtkws27gmAHpuN+Ui38JkPY87A
3X1YaBDECpBGlyOMoinq1VDErm8ouIndzt1207RTSSPfFkdcICIzj4448D/jxHoLZg+2TmfQN0k0
OW12asvhUf3BjMDcVoompqhgLaQhM1HUSixPWyZYbCJrGUXfejCUu9j90uBLrxtn+oFJKYYMDhC1
HoN8z1RsxH+bW6txX7CnI+rWxd22btZEpB4lVnpD9TE53XMaUg/NDiC7MJk24T0Owj7QxiHQGgmd
ndSG1STo+jALydeiovb0Qv22wN1YyPFMFZ+jbZo8v2hqXmmoCQyAXbZu4IWasXWYNDJy/IbAZTBW
Lm9A4Smfrl2PK2mSYW6RUdgKNTLTOxgUbZF+2U3cbsuQ7tGUnH/xu/RKhrVW9g5/YquTnsfQxQDA
bYyDnjNAMmOc6tGI1x1ho5VR4BedJpugIkrIsnezAZRKwhUplr3+XCFx2DBM+whKxSauCw8dD4rl
EBvb2qLXWYaT1M6Y2oIdYMRG8Ci8Pmwkrf0c4EqJKcE68QFVJjntLRLed+Y4nPUKFnLV6GccUXFW
Rva7lmqYiRLhskD42TEvOc2FeVVCFVvpKAoy7uuY5C5MzsCyyfTFsMKA95ahkQwoUpcL3XPJ+e4L
sW1wkNjaY9DvcjqZyR0I/GkZ+hEc0VJhMXfu1SVfafjUz9Ihgqe+iMmxCP7jUyXsdS1T6kbN8w6F
M8k7l2qJsYrzQMyqX2qvczB+xR7ilZhM2eWl6xH+hSAvZDuaBf4hdlgcdeprp6jX0BksejKrvP9F
K6j6ShceIzcrNDdFBysQx8yxxCPDO+cx14XUxWs2es2aoBQTxq2zG3zqljl+CMio28cTP+mSsQf9
mjuxj26WYmZI1ugEXcmoGQuTgaiP+pYXQM1k/WkrtOPo/Ews+odjBq16E/9wgtJb1aAbYmxmDLCi
Yi/HLyrOcjslk7mH03DuENsGo/mmGwwnIpld6APxrBhnpBSyuFpR+cW8m9gDSIHbyK5wC6uvfRtd
DJF8e9md71Ma1VljE7sO6qzuhaDn2tby8QWuCzbMgjXAINXbHGgiDJ08HeNIIAQekhHsrbxwVkJR
+v6MU9VAcWFJ5SXnQ5G3buf4Q0jrzqDed8lM3pKUDlECFS8UsmMObBP5kb5K1fTYFpJRF+nxCQGA
vZes1bhoGRo0GXM5yo8P8pAZ/ipWg/ofdOirMztPOQxChj0MbriBIUzfd7316iQ0cFjv6Iwc06G8
DKLesh3s9EQw85F9iiUJEwGS11ZduUuD66j3ALgEZM8zvLjCoipTL0IEHtiq8SOryg/il57TCB6Q
YnmxdVA9MiybuwJ0iBs4F1xmGUqlINd/q/nZQsyZB9ZhXhSxELwJsGKccALmtPRodpSSWXGh9wBF
Un3uGIK/WQPs8iT9MI38alVcC4UfvWuSTPGWobZJwgMxRUQYmOM26np94wRs+B3h9Ze2owPVxx8k
JLxHCgZyBpg8ceQ0hBrCkYGEcjNmMKKC3xDt50hPYqXrJArZskOIlX4Y/4IgRjRpYqAkByLTQnRL
VODeRjSkUfQoipAt+Jdc8/BxMS92OjzNjL6BDrlAxMAvEasPyQ4KjXW0QcVXtlsyl5+r1q9PDNk2
cYmvoTBgepSJkx19YT9YpfORCPOr6luEt8yQcZoitgSKfDzwEfg2/UW4xjL7z5ixzqNThO8EpLpB
buD0dOswbcLV4Cmelhoz9Q3dA9KOnctMKmc414Ttazr6+8ThnWtcZtpu910k3u0PeUq2PwtEwfIx
Lo/oJsnXUbxYNfLLYnE3m8ZJV7TOVjE9U+wFutgAN6kGCDVtA2kkRAzCxE6oIfvI8GY7TfG3GgoK
r3ptTfmcGj5gDf3GMHH1AgTH67gSj1w3TwV2UbpGCPwyO+thiWBb8NbI+U2OLEBlwuyz9iMWYQMf
jCFL/hi4fY3/Ff4u/wdesPUPCyndEIagMbHYeSx45//OCm5MbjQ4sKjnKjgUU78MRZn8el5S4Ezk
PM+QQw95C4xokxmezP564S4kPW8Sri1/qIF6x8I3srErrlIdczWUTXnVFJPRDSmLAt89Lv9zglFd
7tkH7wla3BCdX9SJu8miw9GrU5L19G8D40hfDfBqTP5oQJ9mlUH/fxOinX/Syf/82pbrYJ2Fxdi/
/+LQuEqs1QlJpk07ZCwc42zc+S7kUY2teTU3d4RkltNIFJmBYr32DLKcDcW5KBNuCDo5WAGUKyX8
O/K0WIJhAmyZLH1ThPysW1WAzf6nVxNmNng7NHSMi9UgHIBtTZLfecjY1swofx6agBsBCnKgxd+q
bIrUdYr1IGuCxefxh2uvCA5FARQU1NOVKutdNqzYaoXLhUlLFCEh1WvCaaNz9Rvp5wMJpPb/86ZZ
BGv8h0AAX3wDl2rhOT7D3f940zzXS91Bs0iGji0IcFVwm5lREo3EWqZmuWPz3JmMxRYy5UKPYOpy
LG3gOLW10LBc3NLHKsTRXpCx3oe1uVvIMQutaZ5ZPFxBdqsRZ+e0a3nnBJdQpEePwKTvf9hstvUy
mMxxZ1okRW4IZXyY0+axG0Y21ejYlLswApRWd+D/fc24/7xmLIdFAxWGB5PxHxIE3CJT04/Dlvy6
1tzhX6UFHjGapMeB5YbMt4YY5jZrhW5i3dt68Xkh6WkWH2WcKxK4YpNjWP/gVChysVlg8TvMgqUu
H45tBcVyKRjGenocYRqUalMJ7fxj8nhnCt+/FVnOCxrALXAgWH+0c5BLZkS48C7UIXyaoczRVmQV
vke5bLfSxWsyxF8jTEYYHtjLu3pxSOZp4SEl0sa9vK2OwiNzW6i9zY4Mf+/EyKYUEcvDZWttZIyB
LOCjmBZ87zewP9MPPYB7FE4vKdSE2W0FegB2V8ZVFQU50UZLoWwm/gYeNwAYKnGYWP+PQyC+Fv9c
wAipRrSCQaBvCVf/D49Ap9fIl50wPk8I2tgMFKt7zI1H3Hjg7BTyXswCdXrnspViaCNEbW6aIfpm
T656iM0m3siT4tRVimdV1MWZfOI7zwkFqlV+SIuLH43yRymYX/1ZlFrjaIt+RZ5FstUM86cu519u
HH7APdvJNr6ZJIkSdQzbQ3sGZ2FDbUxmKLDK0kboxH655C31H3NeVeS0Yt6ni/da8TjtAGxIG6J4
i/3PNnc1DGgIp8urXj747rjtZrS7daeT+WVuvKZwSGOTzpnQ2VWaWvmhYUwScejLkI+nwEeL2DgF
rknS3MR5/dCC1R2sMUspvFojoIjRYZPDnUXjB9yII9GWpQ3xRvmhOPhuLQA7WfAUM2yhs1kdDHTH
+qUIsU1GjaSKNNFk35kf7jpEliuHLM8/TKrl+yaFnNVoj/oQfhfIM7WEeD+z/bUUlKStX4XGBLMp
+nC16CwUcatxnRtq9ovqi8MqfnOT5uiXwQsr5YdqTemirfWksKEo696k77wFOl4hiOW2zRAgHfGb
PTDkpZ6puJQ6jtZ4WIVz+a6IQVT8a1uLKNOc9Nsexsc6z8+mHgmaRDj0sUUVPvu/piJ8DZvssDBV
u+hnGfafmqmOFdFD+Dbx1EginDwfaTe17ZBypcwREzssGLdaSica1wUpge4t1VRiMyQoVXG2WYvX
geotIZVfvCw6eiHWGvoffluv+o5i4KbT854+sqlJbi3B4d2bGwF1KAKdHTF2SnXQw4LTNdt83jF7
gntvV7fegM9ft4TyqVaYSnbbQozctb316AXlW6BWIXfmxfWufo1r8225waMGJ2ynGB+jZIABUIUI
YGrzWiUjCsuGHr8FeAiZ6MVe88ML5dWxNBYb+p6VI5M9IeFY+DSUcjnln+HTFhmu/jTW5VOFRfek
dBMdo+SO9thv2fz1IJOb2A5uGuD5JiAdsrGICVja7g5bpNVgAAXMlPeGoj+WGj+YjEei7y59+BOk
X9OWyzaKzobRsHswM8os71wJGP5JZ8XnhjcZcwtIEkXxJvN5W3sI2VLJ4JrJ+AtZbsa5h57maOVa
yjS+JqY8TpMnD6XpA/S4uVhJ7Ex3CNKALPr0qSwG9hPdd/b2HF3x2E+OWiqwLwx0BoCeJKh0/nTS
yXxOZ7DkdCBFDy3YjIilc1+8qGY5anIdYQCIUwzfE7vCTeNWHfAWgdlxF9u7ImpJNTGtYUuH7m1S
hBV9n+1Fp+FGLjCFLH3co0yro1O1Gdx1itgDSbMg89TZLsSgDlnPFONf6LTb0YmCE6yyk5VW9S7V
cEaYCTNpRt3Ct4ngQVDzfTRgVmoVxTHvJvM0+/NdVNgpIlXzqvVGxeEq4rHndD/bxNdayVs11TWb
dx3upNN+jyaPOhoYQ2ka1glKmnVy3favrxgbkhyZnzRTf5wNYe6grx3QZptYIVo34ZPV6Hevso4F
+BJUFElmdk4Fz5fEYGR9h5dcRCZkB8/4bLrNGcoD2SjBrJ1jN3FxNP1e/tOqR5avUNQxBG0wpUjx
WNqyj6OGtby7GfL6wbZd/xz0c7L3CutHXPsE3oZ47lhzviEbxWE0NekEYJZ3Pf3PoZTzfYj5Pr6d
mYFyhEBGbM9yEqoJVy8HbL6AEZ1zNJhXSHQY5auzXM7CcrHbKqz2uwyU/1qJ8yaUOUYqHiY2AW3o
upSWs8+9YW9iV3ZUSaSCmEACpRKfAAdeTi/jc6Hr3aHKwOkNhodby4DH28IQPHv5a01ep2ViLZ66
jThXqggJDEynvLEd94jNHu2w6w64whOjBaSSUncyaBlf/UTfzbjZjab5y5JJuk16sznbddecx8j4
wvIo3+Vj2Z+jauxXMGTCXak8qcbBOBIezTAHlPAsTdtdJyFjQ9bi5yD0XtN4iBHZ6dBZsAsackFs
Mz2kZSVnOT3iiHhftNwuxGJekUV7HogJ/EGtTQ7jc1jMBtmw2AUaX/0cFgBDgbGH5DTsWyM7hf3U
7fVc0CXX9dyecK1oQTIsvO4YoqyTybgWyt0Sgn1yTMoA7jHKBTBCAzcJ2sIUkQl5krgUQ8Z0N8sx
Qqi8B4ksY21icEGXF93HMMQ3ptKo0Ixhg05pVrTGaWEApzj4rks8fTP8Z9ZNGwKru9FhkXCRswIC
nA7foYCvA1XssqxahdJmQK/+lUXiheSJl6W6yIcJu6PR3kuTcV7YtW8DmZw7j3EfTO7sw5tYpkgB
2+hKz4A/IrCRjRtJsF2o0dk4xvsIQdXkYFHepJ9TiKRf0bMLMxNrl0KacV3DzYhoTQoNPbm1W85y
IUwriGgO8usYbSA1nozIuDdsHN4Yqqzn3mf81d6WOqmZ2D4ksbBRAt0qC3xCy3u6M2AaA8B77RTz
o9o+Fw454hdY/Q1rP79FAkrxNAegv2j/P6SiBuvQzinTm9tc5x+KD6vY58KCgY6wiVHiuGmRBMSI
IIMSvyWFmstw2rDrU0oLjlRJqDlldmkDqssOESLObYRq1Ou0zk4JuOKqV56sHdTnlJS2ldbXtFY8
sohk5rDSVx8Ltx8T2S528R7IwAjyVO6NXt5msmWORZ7ii29Fd00my52OM6zSbC0E4cX5oNHpRcmD
gkZWoyyDSPltVSGckhacE6/aZFWPM8Yp2NAZHcrXpFQaVN88jJgLN7p/w0aCWaV5pbtFGyLkzYG5
m2fxN/a+3KuMoHrtlo4gDkKgHWimj8GDodLp9dac6mvt2odiEghNnMPSQLuKbdy37gNsiQeZt9Zu
aGFxdW5zzBY0TekBfe3YBM2VPG8q0XBCEoEzTl+eWr/azJn1nClAs1LqGi0Bj9Frn7CjnqIFJxkT
3hSd/tCifOHfWIJVTi7+OAxC14lep7s6AEUzx5MVWCkDGVRUYfB7iCR1sboi5sgCi6SMJAwPP1A1
VF3AFoxBq607ZD9cv9sTyPyGNO0YMl9BV5zKDba3KIk46faY99BV7JHqqQipiwSCAaufZyS6+Uer
abs2034sLxA6WGAotrJVjB0GPu1NiXZs1gdW2/qHqj0X/IAkj02H6/RG1edt3TynjK4RyVD75oA2
SUJbHxE6HitXEk+6T9lk3ddadxe7sKCDBqZz2/g3PYwh1TK/FT5vna9XCGeSe8cUHgR5cMneuUlS
+Nbh+EM34EObLm9HJ/l4Qic24SHwRAP0ea1P7i/ALfj8UonAcuwdOoHn4OCX2wEv8UunpKixkiIF
OoGtmDGvmqVF1DiE70Z3GCn+0sK7Es05aPWLbgXflTan8CZTbFh9wgJdsuyQYF5lwbliNRsyPXK7
tT2UDxnzVlYfpC5jto218NMoeA9VlcqGvRWT+zHL+gP/Cf9dz/Nvw0QsoO5bHKsehZcfhq76reJe
DQWA5CC/6Hr1Yzo1vwaQU0ud40j9W7l9skl8bFRKzYc5VNB95HNJGF5THXPLhC4mbJ1Gg0xcbh0/
sJ2NpslNNFiIGwl92jsRbF1rTL4XRMSD6RBqWHm4AIEbnAY3y8OkFq+CwXj2Uu+nN/r3YFBbVS9F
Q7/VB9xh4FrxDii1Xxl+FIRSY6CSDoB6Z7xBmQkp+LoN+aBlmXz4Y/rTC6PfRSRq0OgKJTXJxIFK
lsTcaIro5CGJsxy26CYmpqGWpKi29hVOz6Bb6lAalMahdndKtKL6cdWSOBPtNTUZL5JG6xr+zJKA
vujrE+tnnE4IBpXCY+mPqohdO4xwuio7UtIG/7YIpxYFhqEuqnrSXnCjPRTIqRcAbsGtTVU1uy2i
lE6ivsFQAV5piOSXwi9XOLMti5TYG5xzASIP/Yhb7JhGfwYAiz5HR+e4CmB/Ge4AlVZ1HTaB5XG7
k4Tskr5HvFJ5HQyNsFw4Hf59P3f7vCQzy4B7coxbAzKW8JjixNkpnqKCreWltwUfhnNO7PBo2KaD
Q7uLrZcQ9GMQ/xHpavfDLJ66qgjWjlKVaR0Zea31NalVNqUHlV0TrLQG4jn9GnoyUXETFQd73FUR
lFYiVTGkxry241NcFLF6PLETFf4WOe2Yke9mFDT6uaTbW07BTlhxZVC/2xFuvOrm1kb7oR0LdldW
pCSnWaxtVPsuAK3eUhyk0t7WwXQ1JgMCBqqLfvaLo1XpLtlKCIkQa5wWgagMD7bT0xp1G6SeWvGw
DDiXJtfEnK6y3EuvkWhHvtuqyct3q9N2Ib64reRGXVS3gcu80qnHfmd99v548zUckjsbgVo8FvYx
0SW6RfGrRAax63L3UhUQaCcXIL+adOtYBp92GYE9YASUhcFhsemYem26M+3XjPi4dS4HhCUK8XFC
G81f6xUXsOmT66M9GFlCG5zPy1SD/+mm3HRlss6yaxLDEvKomkolMVw0y4vyJJrrIyvazbfr92Xk
Nk3sdV43vc++cUn0+XHICQWFCg8w5qeKpVBsaj95X2ArlKLsqxHRDsH8MMLblqV76+rx1c4K8r3E
TQbDXVM6e0/1rz1QBawxNFvK1yEItXKbK5WXGjeLGrEsJ7/0k5qOX4PUMI6NyhTIBwdlR9QrFAf+
n50vqZpr2zM9Zpq5UwrE5e5KLeKh6/bsFSbUpfTFDvlVyoQU8x4OXdCtMlXekRFgbpdbLlcTmWWo
oQZF/fDpCqMEAddrPHpeM5vevePispJr7Oi/SIyH1KhFu0Gwcvo5bgcKOfZcuK66D+1DbcleGn5q
SQlVmXf5z0ha2a9CiRJKE9XP2iXQnOdl0rt8hlAtmNUngM4Nw/ymao69y2yidW8MmthZVI2E77Ga
ayGXg399HEdCwtQwXtO134M9vHWBfAQOY+CQhgRpHGLB7VEBYCxXg9ZgxrTcFwuGoDFgYeTDAcEn
95PuPqmaGdImge5qcrEMsDrnZ+B1z4uWyEfavNIgNTpz0m5GD/ckBDiv0ahBaQiiHb55CnvkXG1A
Q1L6nDWjRg6fAkHVGY4WehSgHuDNAUjExkDBGeN8CdUFWfX0zqqW7i38FOhBj/huXwlf4R5h4TUy
Ft+WmikONRgP/83eeSy3rW3r+lVunT52IYfG7TCKUVmW3EHZloycM57+fHPSZ9HWXmevuv1bZaMw
A0CKIGcY4w+gvVkIjTeGmPFcIJ9QudM7sR4zinGVIV0j+IJoQ4jYl1hpaSw95acch+aXgXWnOxLw
kRQv7dmZkegOEpW8ZKMwi2G/yWpH87vDZAY/Ra4PR7U7ZEnOZR9v5b0skdWdSzKpcV09sfH/mStQ
okfF2bs8+aUkFmdiHGfUJ2y3TVHckjGgEdSJjDePgQbglJyEyLqAP7OXKqs9MrjlJoZ7WA3tvBEp
TKBm5LxcHktW30Fvfm3Y3KJ4/gz1gcQFsQwQ9fopScNX+RuqNG3YOGMNYcUp1kGBqmwLw0Ro1AhK
nD0WfP3d4E4SaV1BwBdsXkd5TwlSwGLytnBLWGaIX6bbp18JHKkz+2A5UnQktLUJQ0gWStiQiA/j
RaY45gxRgtJ+xOat+7Cmwl6MJnOP75zh5XzN2VIvPEIX6DOQXsrTn4aTf42y4S7yJuiWgZCiTI+m
s6kMsMeSP6m4rG514QGRNflxEmIC2EDkm3LcmvABCpN9g/iyThFr+1ZEp8SyhRxZtJqadiNZhWI9
FwkpBDQM71rBUZSwEUv4GQpb+7IiqQ18CramcmM4xdKGFbTOI4TJiXTyI+eHRdpnb40m2vvky1Rl
GjYmZOehNG+MoPgpAQNA7MmZ4mczGEG7+lrXCt7fbNSiuWOBEthf4cLciI+Mke5V9aaN2M5Egltr
NiibOqyORfJbjHpx2a1B++dsjgJjMYzpu4hBDh1rSMngZv54CdDSQcmB77WbQA1W4fqIdXpJ6LeD
Jzr71m6w3Wgp/4QQh7ill8+LqghtcOGPMoORi+/m6PpPUtcigWbNHAn6tw1uCjQBklLtMObQvyKf
T1Kc3xVSxja4m/lhVEicVagX0Y62ANuQUoevGjSKDRgYTosJ25wtRLUItOphSu2KHS+bv47H4pXw
YzuLBBpEYr4WcrECE+ouz114tOFP8YmKVwuNmh2ZYHQ0Om4NIiadmfqK7Fm5sKzkmBNBnq083cgw
v8rGVFvldfbepdFJrJzmhCUaa9tNGkewinO+O6RVXlSNMIwQks80NEv1+UvVQcB1CHTYYiFh6aaG
fsd8kGNGI3jpcQygKYE/uYDHcvDrcUNYfM3bZaNHMv1Ci2dlM3YOW2eXWK6GwlJtEyYtxnlastpI
oFSw2w2ylVC+IExEekcwHNDU+1BJeCjImCz1noEk+wl0lOCu7+w6zSOewg7MFIRbq+1XYMmwh0Ta
CzRG/8OO4634ussxMYkjXq6LNzIfYquw/lOHlBJLMLnMVEMXKL/1wy2gQHTZMTbDcOm6ub8np7kc
KgVDRGLgUrLAjawN+6izlCrQBCk+nIjyFhZkqYw1pPz9hIYDgYMw7yJLM2Ndz8FRrL1Mh3xoGczn
cUj8ZRPVoPic56lqsO91n2UwQcYxlGYKQALpj1Ico8ZxCf3fBrQnfKA+YRh1vZA9tOHsw7S4N0K+
OTOTja1j7tA84UhAHgbruU3mYv9Q/pxMBJASdMSXlWU9hmTAMcGb0fPjO5DnTOyq12ubIrnphMxL
5hQnpTPRILGnb+7wIVnqfpUAL/H4zDtiNS6bVKuMjiFMXRct14U2w+vyBr1aCmBAy46IMHy5THG2
WhY+YciQccjwK6brqCWpsA+1jjxajiDm46w6RB97MdUN5UvLkCwiK1lBPEYrbyp2Ro4H6A/w8E+5
gW7n5tEwupce3cOlzvNJkjTaSo0lPARfsdoBjYTQ9DCGbM8B3w5sMBw7+UjKYjelKktAe16Y2HNe
AvWgy96mKMMAlyGC7Fy/HGaVsQ7Ilu4AzlAg6UTV2iwBcg2pfYh8dQJSZ95nAvGRDv25qvWZfE10
Nl0wWPUMDi4T4KkyYPFu8askOLvumVqCyTYX6Uz0DU16baV6uBMIyEVru+w8reBos0hZVh7jsT9/
OCxswebAeskdrH0vWdc5e80q2BhWjQpQ7XC/ER8RfqEAuxJ7LcFDoQ2WbgrYnjY+g5KZpq+jZVwE
jrT+W9w2yy7iLTv1V0MnIWsByV2KmVzkxKTyTmSTAKksbqqYyk/FVNcygMKjrliVfJHiKlFSnZSi
fxTzZgUGncB9d0ChChq52MLHZIccrLbYcqY/iu6LHELleJbHXyObTYFRgqU0v6RetPUj4gN2P1YL
JNlPDrnXDdv8r8hRrzFiuw+rj97tvpUVeXU3JrmS6izZcJ1PlqMDAdNIjo0pwEkMNFIqhMV4uUDN
j/jrV7G7ywPvxo0GFC+NRyO3CfLg4TwfdXwWkAdAY9cBv7wxS++gKP4205LvUpQjUxjhMhGahkOw
qAXoI/DdJ69lBeYbrMBchnMR/XIQBZCYjmEO94MbvYI4JLg3LmSYsyTVs4RPuPV6J7qRwlAS6TVg
kBUwD0jggEj+JTYgWjdIPoA8sTLyO39hVsmHFBaybGYUrzBWzMBfutj8iJv0WQgYiWlTLWJIGkWN
wHxzAkT5LtN1oP22U1N+mV3WQajulGi7CN0GopwCM9S3oC0bMruh+PHVbfEERXMnE8AaPtJLAjQL
0/Pu0AK8FWqra0gZDLXYVUat/yi2T+PI8h67LfCpgm7WO0LBitVhJiB+nZmdbHyxl3OufMjgsG4L
OvHYE55C49NG3qyweO5aAxIemWkw1kJcpw/AyZCfg1TUbXrAb0v5JSUx2i+t3l5mjVaIRPxDF4Ke
FZ8+X25wPSQgs7Y8EiY8CqwS7AWsVfgT5N6tUM5R5q9nl5xmakcWnBEH/lcN8BFgtoFAExDdaIs+
67aN7S+azpAM2vR7KCC1oVavvUYnRco6xKjdB5c97T7qyy+t5lYr0jtLz27PYM0AwgspMbFLG4Uk
Enw/c2FGbyLm22cp0gEKwU8RXi+ap0a4fcvtTSuUxmQatev0d8vM81VnvafWCKNQyEmInY2IjkbM
gHmDHoMxOtAS2bKlNDuCPiugICbQkLh3b6dOPYUF/he9wf7MtKo9ap0Mo7nzTfwg4gxomg6vRqyi
JQAuaVhpOXP0Vt3GNRuKTPyhoVgBtN2tcmPXWY7Dt4tKiNbcS/2uZGa6jtwNuHmXHaCOdh/p1rUN
NLwpjJDfsq9s8gnitE7Kall2EDd1+0lEx+fCec+V+ptQtBJ7RhIfz3BabjDxuBOaIkWEOw1BD4LI
rBlHk+yp94hs6SssQniYjOQMd4wrd6iiP0ntw1S8fQ+Bb1VR11UCh7gRanQoiWRb3wCm2xwIYn6T
URZtZOQIm5mNaP1cEOeHeBoBA4ww2OAjnOak5C1jhCPAPEXhGyRQAMGw1TLS/CXF6Y20gIRQio2n
/OXOQl1P7MFk7IkYxd5g9ZKa2Q9DxE/Fp+yW8ykr3T3OO+DL7B/ZUEGTAaKr4pYnNI8c812Pxnvx
eAzLTjYh6U22xSQDbL6HPA0ki3NyNpXD+pBnalYPUPiY0EnjiWadJdoIS2NRiZWV+JjliliE0+X+
enT40Uu1ItEbB0eWJyLsKneALfIKMI+TwyQGCjGDwzlKWpT3ujEGJFHGiLLhYQSDl6FQWVsZ+2F2
DV/hJb9ZDQOvUtssuNGp4ZOYxVLbFeF7tC5v7RG+mkB5zghAL+rKfZAzSQ/KB7kjlaU8+f24ZCXC
V/TNRrAwm7O96QdotjFEdack797EWCPnfsufzwbAozU4UXPaCCm2DjjOQg+inz46GAtLjQ5aibZh
lJevbfE4GdaTVJASi17bmL+muXeAgSfkB41oMQfBl/asNuFbqRjv5b25SUwEoeuSBypWFXKyUVzY
oNO0ARLp+mKpKqIX+rlBLEF4uuzifNhBk7oFov/SDN64gF3/lA8PYUYmGUrEU6XrBonEmKEr+SrX
t0puKtj0LaLGei7qarhE4zSNYIBlwWzUA+OCgvz/isb/oGiMSTgCtv+7oDE2tk3y7Xc548sVv9SM
Nd37F2K46KyjQawChwN7dVEz1hz9X6apaqjMWrqnAxX8r//zy8TW0f6FAi3dHdO1DJQcAXT9UjO2
aLJUj1bD4NuJyu7/i5oxi84/0Iri/Wi6ZpkAXF3+UFB7f0I8XaefsqxTzY+5aX/W4xQckYiMzn2X
piuv1uZvUWyTHG/j9yrvYGSEmnFfx028A2zcb0GwAmkdxvsg7Od112X4eVlW8QjKr7lniYhGXUr6
WxyCrmUiSjMLfs9EsSrNU2e5dw7pd3javdcusNbo95fOhCb26KMxGCBABpMuLbGQ7IMTqzK/gU9y
PTiIWZzg+5DknCJgo82AwNu1WZ7JPvKs7x2igmSLxE1kda77L7WTdRszIKXShJX2mjraGcxO96EB
rZi0DoJjPearfrTscxok6T5RDdT+rTZ6NNWeda7D5tKZc9bZalGfMt2vTmbrlzc+mKxrlayXh2sd
3O51A6URXjkXKZHdHIfuXjEK219CBxgPuTg0STAeZJFvWgrPJvu3etYl5C+KktWg7C0Pl3IxJrTJ
G0XusCOB292goy3CjJer0Gzf5RZwUKdueuh7TXOP9iTiOkh+QMaA1Kv0nYWeS9Jnh4R9wb+f+hEY
MRNVt52HC1+CfaE7nOw8G0/ybB6KBEnGpokPolU2tFURwPJoXSgHUDDqpK7eIhLjK7/vg73pBe5r
iXRc5pVvnl8G2xGDccfrxnOIOsZiQIrhTdMimKY1jEI37swXTS+WzlBWb6OO2Ipj1EBwRLchUu+L
wjQenNgefru8ClAhUIwg3LLfRCAAqDY4CLe6uxT9KDHPtqANZb7do9miKjrb7FusKFHl79BmYr+h
rCryk7eOhlCmJQ54ER/CTjMP1/ouJBDg6MG9rJIHsrTerQkvCNTh8OseoReQxQ/GbNPkMUgucehV
qz/OWZ+i/sb361OD7HKta6JMcLubYl0C/jk0hhluWRt/kaVuNluogqLhczlUUpqwAXIOaYoWc96R
Irr2JOwjrAN6/deVsiVqp7VfBUgIYRX+IA9q2m5rR3HO0Hbah67U2kOdR6AHvfi9xxZsAtH1zUCl
apGWHojSJjPgOjj6rV6GSOKMWnbw44FEYhSMW6vwukOglsrwHLK8QKRaz5Rz2KD/p1STdjOiCXh3
OaQ54SpsMX6rEo2KW7HZgFu0vjZEvRfdvevjGP66VnTM4sZfxzlI8FiHJlu1lbuONQ+lzpS/TBxM
nefc2aGJfMn/1KGGcvRixThl8PgfajPtjqqrXC7yozjY4bWZIwOKKbTXzfkxIQMgChFsKWR7rqcs
vvGN9kp3HdQIgsqWQTTHuhL2hPv9EXlUzVnUjRqe3SlAK7AyT3HHuNelVXhuRb0VaNT7LhoBGCzA
A5f9utn/1Z7hB25k2n7qw3artKb60BAWeoDWJ84vh0Evt0EDPbCqEu1SNzuMjolfHwtRxYoyPwIT
fr1eBJaDrf+fN/UvNyiC/rYKEDUJVIL7Li5Ts6p3Jx986N2lKumaTTwQMJFFso/kI9gKXPte660p
RzlSUdg/8ZveZzNkCDB+/mmACroMRysj+EZWPJ2/qy2a0EqXJSd3Sulg/ZoV/rmDFWPCaQX/IIiv
qZ8nWU/1DB1WAP8tUzAD/pxki4ZcV0ug5sNGLuam5RM/jkatHXULTRLANpa9rbL2WdE1pDkzcqZr
NnTFthSfeecqq2nU0STveFBab+G4N4EMq0WjrEMTh9gNDtn7eYisk5bFu8ysE0Ro4vh7OqOtjbnY
tpyDb4nONzTtqxErjXwjS/IgSHXAJ58uBeJyajhHd204KE8WeaQFTgjdUTaWWTBA+avrnSyqFeln
G1SGEwtPvNRS9sY8KesyVXFfYj8WhFn8rqnRa5J02nNhRwaJ7sTZTBru64QNluUQq3dRjCcBckvR
3m967QQYrFzbvpo/Q5IEYdmMyXZKo24FFC/Z6wNRpbDvzQel44BPRA+qxPF30xiLYp+eUcs8ypLs
5hIqX6UlLz01jvlw6Ub8F02DUDeyu8JtzC0essrWA/z0TGL91kZl5DvpfQ1ojjffzVU9HzovwPQL
6N93/zw4qNJoWeOAEipZ/rSJff5tEfk3pCNd/5NHYvJVcDwNCoXlWrbhetqnLw34pTErmjp4HxzA
vCmm7g/4rM33RrBOiO4kS0SgRrJy1Z3tTtlm8puWzdCYPall1h4dARgfSAUe8GjnGzCb/oHxRDmw
FiWdBdRjVRW9f7g2yDNZJ/vJ4qe667WfGv6u87WOFaa+6Ednl0Z6vi4j0zqVZqLsgFz624SI5V2G
5/0yNBXzFcWDR88YzJ/1QEatMYIfXQiPHbKdYSE2CXrWkujZWnXxJBXlkCVCJvKZ/3Mqa21sKOBN
RcdLd9FR1kM2hgkQdShXxnZ8U+nAqEo/K2898GxoTxreq1u0t5NW+B+RgvA7oddd5tlkmL1BPad6
N6+HuG9QMMoothkeA/IUX8LbmH3qXvaTVZNvk0zPYqY5XHOZGqzvY5V4x9bgtzYXWbiGDm6s/VhN
7kmOJvdq2arUsSqozSJB8EhJ7l2CPNskQmZE1sl+JiJpN4Bj2YOLy+RhcCtl38XT67XKHPuMWKix
M/jIQVcPWDWoSTyQsDaeE+yEs9G2D/JgGtWw9lPyDblYIVwb5Jmsa6IO0Y6/a+7qRF/gZ4Fc7V83
lGetHjRIEDTGtzkd6qPtBR9mOpKUJTjy4qTgO40ggnEZDCQVCNvHlvJQquDLSs+AztiG2ncbXB/w
WR1Fpgxboj5IdwN5l0cmlx+yg56kH6VlNY+eFVU7czJVIr+G8qXu3K0JBfm75wcwLHBCvbUTtzwy
++BsLBrSbZBjrTHr6LCZhk2eYQ5OyZSHp8nWC5x1Q303NHpwZmkcPlZ+K1Q31FOF4POjBlLrJnb6
cCkb5aFX6jvALepJlq49sN/lcnHVX/eQPfQ89y/3aOPAJC+coQfvV3MOssF395fTuNDcvWK41P52
Ot7Nw6Rsnc4IEf/ulBe/D+cV2zjsxUJXeVENAw1iMk0n2WrX40pxXOUxTHLlYcg6AGP06nOsBf5p
2PpzP+mATWc7SYIBOyvPZl/751Tng0aPlCTNP2CB9XeF3oswld98L+HcCflJdE3OWpTVIWHaHida
R38m3Gzu21g5hqkLnjEyRhVWfwpFTcx4bpIa+2YKgUn1eeFt4naYNrODroCd5MM/GOgYf7LXUOK2
BG9Nw95FUx3DElv/3w1gFC1QHNzQjB+BoRxs3BlQxomSntSyW6IYLMpeFIb4PBAxHOO2ILYpKt3K
LU/jXMs8ACYBoRHezepsr6aJkVZe0uIYu6xx/0JoYIhvKzx4yKjq0wocYHwr6+TBThFDbyK1XMgG
S7Q60KvIRs4+6Of//MBE/OE3uiJ/MYEEyzQ929LgtvLc/vyLUSisvNke/XdliE+Vlxcv44R+I+rA
r41Rdrt8CACxGIb5GuM3tuj7ii0UIYKnqsh2iLqZrwZ+tTdRgaCgLPpkD6BE1XeIRir3DiZnl6vL
3NkgUBlu5b3xk79v1JMZdfscu/ER2Dpkp+aAcTvkOHl6KbdOc5BniVXhe2mVU3Noiw6V9SnvCbCS
uLgNSQc0Fsn3uLN4E2a3S1wLa5KxT9xDlDrO5RCj6IQrsygPMXF3aBSIZGSgE+V8T8xwHbUtKmAa
EvlQvEZIVSUYWLd8lx1qxjMEihQXRjcCX35Ro5Q7es1bihGOGXnJt6YJkw1UAJQ55lZ/nrFKQnSw
NMBX2r8XUaRG6cZQHjPHDE6xFoUneSYPYckGG3PUDmDkHw2YO2T7//z4bWFXVeB6VuS79//7X/Lx
s8s3VOZaw7Hhkv/5+DUk2lRvjO33vnFr+2xFHWlnuz6NmXqLPfSEmlrLAZnSFUJ2IRw9irIhVdp1
rNvTpVvQDP4uDDCNhWO08DR1R1AX9+17BGb9+6QO0WvpspceF8J7cx78+0krk60VeJgWp4WD3hfx
1GVix8IFiCtkRxFdZUaxDvIKWY8EtbirrEB7zJV3lSV5hbxrpoX68nqXcKqR8rDwopL9oqTYVwHJ
cKOy9jAgEnN5ORVleSYPgxta+8Fmx7OQpx2KX2ptWDddAkTmPz8FKAD/9hgI9ZmaZ5hEcAwChn8+
Bj3KEaOPLP09LZt6GZEtv0Ud7MFDRpyYf5DcykMPUOA2jmBZFqVbbmSd7CvP6havpEHzSPyJK64N
YzW0uz6cXj/VT2OdnMvh8VN1Il5dD2I0AaeQbDUl2UMeAO0aCz01lMurXxscoyfD37XK5dWvDQ3K
dDd6m/HT+esPkWc5biOngB3dtf76YoqG4GWuKQfZKOsj/Ifx3q7TLVrGPZudkEObeCAOZPnzqezg
2xodPp/+dlmIXLG2/LebiZu3ZP5Wdql4q64enZONLe5JnjnZUje78YQI7WM0Bo9GULvHqmjIbw1d
sbHCduqFNJeLTzwtgLfdoyxOROQ27UCqM0H5m5RTODw3uoZRbRM8EHMbz07hIIKmzOpbmnmgcftE
O86Bmz/hJX+Q9YQP4s3QuuUNSoPam26jC9fXrzZxuV2p1cpK9vqbu6L0Ov8Tt1g6yv05fnhw3VXX
BrpDCFtufX9zTIuLQgN9o2fvhHl4wrZPuoYcpHtKhnoDoBf4rygVMeiIFQJJyElOQUtGksrfWpBK
Hf20ulS1kxqpK/DUHotuGAnXzuMceJc+TZkA58IYuA39bqsOjFt60m0jbWzP2jy492DIWfE5Dgqt
uXcvq/I2b/amBSDERBD/XheHcsa+KYtxspB1sl+CjNCSjGe3lXVDGhwyViC7K51Ynl0PkmJsh6C4
GaIB9gnasaOjG3M5/bvrfmu2kmG6UTy275FvXujKn259Lf7draqGKXGyV/JdfOrqwVbap3xGh1kd
lSMyxQq5Uc6iqHnpE0vZfqpHHuVXD9nXqFnze4UpFmNEzq/Xf+o3gP9d1oNtrT41FEXlk90Xd22C
vFu5vFuIYn9VyjvaBAVvPCKHYWeZBx8E+YGgHHbFHmTDpG42Sku9bESdPgIUhW7/pd/1CuKN9z7Q
mu216nqZvGdoYpTwSDxbPbq8F6ExNby0uvVmiGB/MtqrlsjKN7uPIddaYbX1idXejUG6rqH+Qz1z
5xVQKvZUXeUcw8aBhmH69ptHaEoGOuwUpJACDOhx1IfkBhnL9iaPw9WQVv6t7uMZCYL5RWma4LZM
2zcoNdVLHCQlQq44BMliF+ErliU1En2yL6Z/2xpG5joRnQeovc4xizDTCcFI30H5qHeTas/b0lKi
x6EgiA8ey3lXvbcYpiM5BHAnaGbMD241u7s+JrNZg91mRu/mh9JEMcaOa+VG1lnIkN1NkZDK4gJZ
RXqjg3ZbdasgiOcH2eAHxr1XFuFJ9ujHgj+QoN4azfsBt4OYuDi2cvXqMuKNeEksHJ+416RVBC8Y
D+VBtl5HxmsDuh8bSycSf60a5E2uA+r1la51srf21+39G20n5+2AXPt+aD3ETOW8fimLyX3SLLI4
mn+6Vl2nf0SZ/201IPtdFwefbne9lo8Ah2RZNrUh/IfFgiHWAn8MuRabK1v8012LzOInNQejToEC
xkmDglqw03FKOKalr2+6Kv4Ya29W0QNryuPlNPC+tAiF7Rkp1R9wgp4KRvEXLTRU8BiWd2g8pzmx
wDWBPheoPsAbPDhAjhd6Y/enGeDxk50h44Hm9it01fymd0x8SZzQe21NAFV+Y9+lRZDeB17wRlj/
/j8vjEQO9PPfqlme6cB31VTN/hw51dCN1UddzYFjAtZDf8B+8MHyzUmIJrUoqQieb2H3CIuRCVPI
zC7u8SYpceSmNRvsep/qiOuirkNuvopDpJdnH2nYyofVxFlpDLe9OhOIEiUynjaai+JUHizk1+15
UvcDFDqSErYvXGDqQ5u06raH2XobRiNTLlGIJzjsCNoLBG5Xo4AQNnD+8c6IgmNgcyCSqhzkmayb
gfDDP/C316prN9kX7lXQoOLNtUot7hVF/TmYouqZRZi1AYadb+a4Ul7aCd58avrNXhZNQ/uiKJ51
K0uqvoJ52b6AJDHuumq+Zz0W3/znx4Q6wb89J3x5bQh8KmtbXfscrPRhjo34dirfIyHQ3+XKVyPt
83t58K0R4bU0vuNteoR1okw9RQKfM9n5fWTF+X3dBdltYmXwMSuAGy2gw7vIhU7aRxNZ5W/WoPi3
8l6auKtrdqQSzPp8fQ2EgA+jy4JL3k/WK1H9HGj5CsH9+b4r8YFOKt87dL6lwQgG+p/6tv6AL0sI
d7Mfvg1YQGTArdB9G7Z5arvf9MHGgdHygscpntsNTrr+QU2cdt1jQ7cy7eJ8TQeZc8VbNdBAvtZF
tf3geZZxlCmiycu7U6pVf3tR1LUqlnhc4IgL5D0Ud+xO4lXaELrospyS31/BUkA7Wchnl1XRPmRZ
1Z3qqD5Hido+yCp+FBP2BkaylkUNziS0vDQYi1UFCOpo+vVHDqT1DhyLdz8a7iOMO/u1Rld5043M
frnf2a9V2J363osfxyxMb+sBb6tS1PfZGK1NfPx2OdAWGEAYDxG5Kw7mlG7sdlBO10Oo2r+KdTs+
QzAkxv4Y6sC9iWP/Oui+aRzSzvIQUQ8ac5dCoZN1ssvUZsYhbEJtm6jsnOsYPKj+o3Z64wtCHdMp
q1QS16KoKCUIcmOyN3YdGV9qJsjF0OfB+dc1RVCZD1oQ2mDmw+rsGpW5TPkzfjTImMHfhjIBHcpW
+mNfd8WjPbHZV+P8azVZE3LTCtyvoZ2eAT/cZORcvhpkX9aKkWS7oouiV/TZWezQPwtRwJ3j0mSB
RdEDMMjFbzlKEjcEcrt/UJ0CyaN+jl3xq3MsGbWCtONeslC/LcXBVZZ11tXFd7dhR2OUrn0Lksm+
xW51XLaZGm9k3dCVNclEVb+pMZ04XvuFCBYfcJE/VoPR4jKP2mznjNo2AO/9pQ+GNeIn87fYy3Ck
UN3gaBb+BFIt3wWKXqOwbzMh5fYODk5zJ6taE5MMFO+0xbVONlizzQ847U8+InV3VQ1TGIKftgEj
ytYoQ6v3QLpgOGiha5J4Bkcii0GAGBlRuGk4XE5lrW03On5Xov9vtWVJzidGFEU2tKL10ltc7UH0
WMR+Yh96E1gaom3lozmGQGsTl1gfYuQPQW0jAzhDBLZiZ9rETREe5cGn43EqUcYkkZGvrnXyzBWt
/2udgcDKwbefrr1kV3JkE44uPSbHZaOSguycNeZUKHDCMsDGwvb1nSU2K77Yythlu2nQhDnLKtgj
xa2SzSvoWO69rGrAxu1JTGBJp/vxne4MTPsCRVc001tVp9Au8SzYdKU9vYVReMAOrnrCDM8k7WdU
S9mNB2Nhk5BE5yH3jYe+Nh9kPWiYYV1PToDLD3fT2eHEc/Ym5K8BMGEPViQH6OXYrKEJ/tSKA44j
I+iex0tNiHhikI6oNtu1dZugaXoIrfagj13NI+CgmDybNBziPYIo9WODGvAecVqIPKI1nHvQDepU
Ap3WrBVsbUDzk1Lvkc1B1CpPcAScVZj6ru1/Hyr4fq3pf6Bo9YWcdv0FFjlcK3FRFSpIxgd2vEmD
CI1LvU7YKMlTRyAwLweFPDw6RgKRqfr+toxrZNSnsIJBa5nufqi9m8BsE3VbBoiQuEp2I3M7eU/G
0QLntJWJHxWNrR0AmL0LKucLiwihgeilJz9050cCmudcbOQDP7fWSauMK3N2YwhRs3MXmq2Hrqyy
k6WqLJw7eeaqxdJTC/vsphFZCXfcJOoEmUeOuS50rZtWj97kuGvlPsJnskGW8fZYgfzVD5/G58gy
HoZutBZZHJXMUYCdQ68Y7kGmF6ug1qPn1CPRi5dk+GYW9ruTqOWPsZj2kGRgLXrDvZJA1uigivNq
vX+WB7eyYcP49lp1ehgEsk5RLP9c5NprNBsks2WD0uELV1b91ss99ehPMwc3046y6OKICmtElHHF
a24qp7y79BNVl1ZZ5uehXi6R/fiK3clbjU16G9VpsdKQ/oI5qPaP8qARmgf29WAXZKD8uELYyk7q
rWwLirA4lVr/LEudn/ePVR1/R7ZAXWpYgW5K1/Jv5cGrYGu6wFDW17oOOd3bwfdwZW7s47XeQY6G
PVz/wSspt7pasQNjLEfbYbS0jayUndW8j3d1nJ8Tp2h3AEHS18nwblorI/dFiPWu6+LvsjqGVbBN
srbbyGLPF30RM5jd2vmFaoDBLle3LiJ3ZNEhpWhu+pogZrOckmjALjhg22cX2tdCQewB31rziNeb
d1fmGZAy/Be+4cWDELEaBvdgn4AtGEihT2MPT29C1Gb0lfYgD4luG5g0/lVGRClfBkMFkFzUZbI5
gIB3SGy9BWfrpLsOKsa6go9353gQLppaid5bqCVjO/4gxzui+BZ1OGw2NplVGFhGkjovYzbey56R
rr7E+Bw/WxoAWyX1070Xqp/uFbhmQmi5hNs5a/hOaU61kafmmBjVQp6OJhSgsgt2qulqB7v/0Tk8
mcaz+50T2NVzlWntykZZ+6YnzfOsQkNaD8wgG5at4MBRxtq4KMatZauXDcz7UB7QXKPVcetk19i5
CaGPYpMxpJngyLGSoBj2an7ssDm6FPOW7URq2g/BDA3czPvwQyjNd/7QoInlE7pwXecrFibBMtLc
/HFuGgDVvubz28CfRnHD4GbQlohGoEjonKupDNeDV+hPsCdhHzrl9K1p1UNXG8rXRDd3JIiCJ7sJ
3bvZmNYkDIQBp5K8+XaTnXSw1k+opvdrqzODZZGb+Y4U7HQoLGaYCZsYccDdBFjQX8VOc7LjIA7X
OsW3MdewckJBbQASOo/X2J+S7hEH4sDtAb8jEj+ta5PeyVxlq9Rmd2Owfb6Vh8LLol2ft9+uVfJs
VmptY0aFdqNkGS4xpjF9zXTvFiBO8tQ6UXWQ9YGoj1XlVkmmx7GvjcMAZGeFvj/6F1NYnAmvFmd5
pjo1+vj99Kt1EkVZJ1u9FCjM4Nfzq9mE5VKfVOts2GNzqkkAIX7eVN/7WlnOpZ29TZhdbxod2Uqr
rPTH0gi+6TMrYOCiN6HX1udiiuuzPNOJfq3YZNtLIkc8J4hBv1pcGwH6JrBqhmPqrg3y4qnBXcdw
pnwrG2Td5Q6WHj1ikOdvTb05ekxjIHSj23go/5ux81pyXFe27Rcxgt68ypVKXuWrXxht6S3ov/4M
Qr1ba/Xd58R9QTCBBKRSSSSQOXNOctaVa9zMUcArI00Yn4tZIuXQ1zOp3VSP+6bsK+IjTnKZSmj9
TF3lrXNchrR7aC+iceJZnggthig2XnPXqojQZRZVTv8yQfb3G38kyJVR6A4jAkooxouqF9FnZ5gD
FNkgis0mtTdD1Zj7IlUptkD1FZ1ktbwC16AOtbIJB0ch6oNOlZ47z3zLI7SGjdmSXVEepOcUGpWl
3cb1JrdIhfOxMJyFCWLd2vzB1tXRLe3wifrRCe02R90AaW4/wywFTma3L1rUQRGhol+uUyH32Tip
Qq1ENBwj1IieG908etRDfup5kW2GSAc8Mk8Hv7NQujy+Vgq0aXPingCFC78ReXvZOCjF367kQCEz
/HcfM/VDqhgRDqRm8lk3402Xds17yu9znwG3gko+bN5joy83PSJdt1H+lZAOVr1zkKNqjoqfkbkv
ZlP5l7wC1xeP6rFAagooVgF3tyfiY2GTzZ0t2SWbnMrFwTbOJkDBy6R45WOSehc1yaNVpWfFo18J
8abPIihNVjt7aab68LUZe+skrdzXYXqt4idpuco6cIb2GTIyeMeqakXlhn0QY28f5oxVt6jmS2nL
Juphc65qka7vjnLgL7N1CgNsGHyFf9a7L/JX339bs6nICKp9G7IPSa1zS7nH1qipJI0IrCTrlH3z
zAyRrdXkfbRb+0fT8bMyDWgICaadqyhVPoVnwVJnGMFTP39bu14d92NaEocuem2jjWqy9SnL3Q5a
nu2tkuR0zV3kS2DFyIgo5Yvsj8Lod3+upWeqjv0nvfvaZFF4qQbCbmU51N8aqzo58RC8Wb5gs55z
BhOjO77VxB+kg2Kn893fHM7RGGsHe2pLfh+B+JYjZjSATfuSKbaJaItb7LQw7Z/sAQIuOdVFRT7Q
s/J5CITxaLYQzFA4PnxCALqUDkat+MuBuiFSc6ZzKg1A1fn8rnrq4cKCGkgSffFCicGCS0C4bCT+
W0LF5dV94C+/v0zpXEVhsnTtIVjdl5JXf613fw2dDT3IPPgrI1tNNhYU1FtqAJtPt94UXZt8EbYB
BDbl3xRrLkrc1ODNErjEQo0JRENVraVbVsDXTxDlBd60aJcbirqImhGivx4qRdQmxP5udnNf4iIq
R5kxl9K+Of6Zcu8ri6FfFEntU0b8/zqHTR3BOzvzlRYQBicG3wLd015aEX8PSys/mrNVjyiBJL01
bRsFMj8l4pGFiC1ENksZUOLjsVaWHfn/CDm5Q7SnnDC8BZlcj8hbLKL3WwTpPuFmx0qwF7Mzxa7q
ip90iNKWuiTf1YacHaffV3OfYsbVLxOxSiAB3gGOYY4lcyPNe0MpGTJd2s97z19ekzlYS5hEemBu
KAzVhXhKZmzcCJYIOF/T7qSpNYrJ5jLxVl6f5y927ebgrpTPuAdrUxkz3VqRakdFS2CDKrz8M63q
XZj49g8kDt8MO0AoNbBR0aiFvo8zRz1SXaiiDkdZfF9myk53MhDavgaNISK1Z9vsfjeDaaJawKnl
wUaL7iIHGqVvzhAXSwNFGd9ZOCO6UQTtdgJFx7wJagpx1eSn1uxKyER+dVH4M1KhtleUhFNBOE3H
kNQUfJx99jC5ffkENBGlLB7Q31K4xeQk9kjoz3r2hyrMeOWh3XFubYDkBkJCWlRvQt8TUJxNzbeq
20jEc1S5znLIqugEuwKaS5TljDAEXk0lpfTSzPVvzaScwybxXzX4Ux8sFTYrMsr1q+n6TyK3yy+D
Y71OalY8OUmXP6mOy0ahMtIHacoB9H63GTUZJ9mlOBm5bNJijfHOaRkUgFb+gB7xvc58il0ceEHQ
3xt26pRMZ46GUOHBxfTdLPbulFQ/sq4iZetpyTX1leqRty4oatazl7CJkfqeXcRoPxiN1n9SymGv
gsrxD/AEogfO427VdlPziWrDVr4uAXG+qOxRn0qrttci9/vTYE+/mwKw0z4LkFX60++5UKosuhiE
/8zAv7w7332oOYUfcoT8uU2sK8X68QNyYuEbWz11VQ5htr2ZrnBntssKcRRGJw1919hPp500rQQW
gY5y5D3BtPDNasj2V1qCyODsTPnzBwFp58StNHrjGHwqB6e93BYi7RxkQfIkJ2qGvfD7Jru247C8
PbczQGd9Qp23fGjLvraPySHW9vHeJfsByfUV0eTGhgZ1CGMqGeo2fACu+VVrOuCj1ZhWj0U6fQc4
PG1bVWTnouKHUhVG9daOaAImiYDqmZSrPsIdzm9PnFoiyXC+zPR8U9U++f58EFSA2tp+n+89ghcP
qPM0V6Lq6lIFcLpKKSBf2f4IsqUCa116VvwkG69NH1VwQaebFQnitLbyaE9pcnNwFWt6MGL0oWbN
x6DVd4qVDEfZ+HqDkri8HL2Pboo3kwj8t8J3wn0vKCozk8l7i5Bu3ui5E2702fR631ny9fIe5Shy
Qz/K3ISNY55qpd2iRSj2hcBH+WSk1s0JjQqdGm94i+UceFrSLXrmwVptgrVvsjWBmr8+9PAAwnxX
OtV64O60MGKBpLlLOPSgxgVVaXKo8AqUE2Z/Q/4LsrGEFC3NkBhkI3TWWrfbxUZ2lRakIM353/2q
3o8Wez989TTtpa8R6uLmBmb1H2vIftk1RGN/IFT1WsBgLg9DZLHg2W7JKDt6Fr0PU3rrh/OYMuyi
gFF87v+3v+zv6qJ4qQOOHLbh79uuBUU+X6F+BQlxSq2OkhAsH0YoQopq4sb0Z9OJRKtxgDNxL7tc
x/Uu8itb+7uGDN9jVVZKTXqlf/9ft3dyQG+sn6XQQvZF/9pP3reCbdKjumch/iTsD4Im/ScRcNS3
rdhbO7MJWfaZ+CgboTTWj4Eg1SP7jQQKRrWeeLapdv7Ssc+vOW8EuvGqhFlEkZtJdUmmKp+Jrnyp
/c66Gp6RwI6L3rPst102chzNSwJaXrfWi87e9VB17PjqEej+U7chNJhT0mRsthLoyn5Dufg6rD4z
7FXWfpSxWm+mXh9Wsg+te309xa1Ya1WH7FetX+qhhuEsdcqV5dVzqb4BP4trqvsKccRFUCrms3T5
M4Fy+JCjcgxg0VMziOzFetKd6KrPVoJGDYJP8UusIB0shLPr7ImwXd4M/ilzMp8yI5h40A/YkfXf
5Wna7LsAVYOpbI7jDE6TjT4fvBLL+fD7TsAaPoPW5gNaODc2Qa0l+Ed49WpSeMrkK9Q4w726yotW
gyt1ON5MGSs0k/KIDoy+k1Y96dxQXXgEyBMi7zD4z7IB4PhuDHZFWYHnP0+JNq3ZvDvrejZbnx2L
WSpfTCrS62VQlht2V+NF+haR5y3jqVVuqxnRHHd2Yota0kp5NnQodKbvkM7a8PuOBZREZtTthqa3
Nl7t2Y9m/JaDVkGrjVoVz2o+4KIMVk5u/7AjYUKWDJEiCowNSQzTPqlaLK51btZXpKNvXXnecR6f
PZqhcU5yULrNXa6v7ajtgJdbAsooB3YPjl2E9SrSome1VostG5oJqNkMe5DDN89Km6bVYBhi+Y+Z
0skKgh9J3yrLgbDaUy2Ma2aa48ekctQnfNRtpEm9wJeUm9dFRNPNS2uIqbkNsPOIg+LcsKfhyzh1
wGj/9OUBBBJkSCvKGBsT1Z50WnRobKAVzba0F9HeH+wQoVJM2UxFkJNWSgu4s0q2wrJTSxX0ROVl
AiLFXspLObPZkN8st42wqy3s1+IpqBB/qEyn+xEInrCm3n1TUxUwQG0I+CTbfgddAfGH3gZo1ymw
OYnuhx7rHNK1awYP8C4LsjZ4aDvYHmH7JY6b1yGVq/BeLrp2uhi92q/1OjdeOyoYstRSL1auGq8D
VjJbcqyn4kaOqbPnPFbWCUTe/32eHNNmRPCfeaaXgq0OoTwVSSmg58jJqI1++wjmun/gMVA+F4YH
ifwM7rFRdTGJCcZIR7ZZZH7rQQkhxp1BST/Vxb5PqmKtgWD/UrE3KyfIMYP5X64Sy+i6KDkBuoRc
ch7QjBBWRk5Mdc+PphahsYushi9o5fAonNdO4/48BEr0FmqETfReK7ZakygHID0Jm17T2sVVZu1E
2v2+Qtl26yPHtUU8aIbBzC73UXl1nwZ7PorLuR+f2K4vhsqwPwJHHx/KJBkeBi/1P4YM5rrczL7y
mGrWOmqcO5vb8wsf08XmxgclJtyuVTx1L34dAtVKWnXjIYX3osRofiqhyJdytFMF9YiEI9BJ9BuC
XjBotkbyZFFe+0KdPIFg1ZxQFvvPSgLKi00xm/ij8mrU+9pPWlg6PGMZdLGyLKUpHP75c9O5ttHA
pcflzXG+SpT4TeOb9CD77001BVewZ5Tal/Ubt33xq55jDlQ2/GDLi4B15KUvpe0EwEnb8iCGSN2b
EYy5pTKcktoZrp2TjdchRR7ZAiggu2RjDdVSD0V7lhYR7OF6G5UTwpodQody2H2N2uP2jeT47r5G
ZLrj3gvrN9mVcSs5abDFZLIUGLi2A3845cLN3NxNBH7eIxVRAmREqSiWA6Dc1WZjztXD0paNgDmO
YiUUGuYF/l71H3YcBU+VbroUpFvZVgNSC+Ouor6ZOjAMG0WtB2iJtLdOqyqgN4O1qyYtfRzn4Hqg
g1QKc+TY0zzMXkPHmx6QDtSQVsjT1ziv9EcIYcRy7NX0tbOS8GDnkOLdzJAqJd0rkL1hsFLAsnpV
3SwnL6n2dWxUe3l1b5TIJUUi7ZhclnvzFAFE63GDnF9UttraVtoX30PAIQua/jUSsdjVg5sspQmv
frrPdQQDKxV1wSKEisE3TepBZ2dnUNxDN6QzRZXVv/aRi/yyZ3/PZysn3HGK4/FNjjVVapy9qLzI
iUngG5cxCGHcwxOeVetaOcpGjhVl6Tz5CL7LMS/nidfkP+XQAMvoq8bdKIDMdhknyGRm5ov0y8cW
+nEiovK1nd5ckWaHFrwVcDS0dv7q9+MjzIXOBex88TqFzbtaeOIkx+BD4SiBUvVBDvIzz5aZV8c7
Oao4UbFC57zYSrPoiBPkw6BuzFgj71+6+xy5z2P572YcV53aawfZPbV1SYTanH67xRpxWCgcVm0Q
6QI1EuarsYLP1EzTNtXr629TTpTjcnbcIgThhxBhEpHxdqXdqzu2A8SceGQD6bFS42C07rBUSKav
kA31+FfNnX1V+6AwpRPsfitTnQgu9vp0vDfTEKhHPTZhSbX0R2225KDsT0bi39SBe/VDP5nhQnbm
GlXsi7sT8fNojbTevKFRfnUl6DZSvuBWZ62iYrDTg2zCAJh0d6tWkq3bNtltKKvyp2h0Zj6OPz7y
UlFiJMj4sAtnHM6JAxeRHgXlrjJjgSYOT/fBswLiMZi1Xj1NiRpfpGW2iOwa3fjM7oWjRnFIZo3q
vq6Kla+TII8mxZjvWCaEbMm4gTQvgPc8DmN4cUBqGV2B0qTJdw4eUjLtgUre7GZrtXcOM3c6QFJp
XuU6LuxvaW5cpnk9RACbkzX6ALB5CdlF+dG0G5Pml+y69U8pnCUh+gzyTci+zi0o6+0QGAg7DVU1
r4dtez5FwVAlzsFEtajpG8dmPnDVcyP7FSgoQk01jtLVrPregt7zd9/dTc764yv7M3dEAEPne9+W
0fjF9yE00Ar1Y4icZju0XrOJqe2T/YFvTx9uPTVbS63aDbTR0YKNSnhAlLhfNhXE723WdU+oSkMW
pG1DtzGvsocdir4lzqlAyuXNXHo57E2Ka8E4FzjdkwmI76Jx/r+NAgiiFCcKvaWcHGbJzw5g7cpu
x+StHarHIc/0q9GmCYWFNmUc3Ci0LHJfw6+yU0Ru+1x38C7PE1AYyJCia/ZyzGa/f/aU8V2OBYRr
j7qO1hHSNfqT21lvwVT/0P2ie4mrwH4u7Y1QGq9ZstyrAnf1EcEvHs+pcJZuUjRb6dq5xvQAWYng
ZsFoNvne4c86+ijkOjEU3Jc+onRYaPrZmE9G1XxaKnPjWYt74yitQG2IBTVDv0YK3Hz2Ir8+zf5y
sJj9VWH97U/8tl/LQd+Y6pMzmmcnCwEtIU+zmNzB3dmllSzKvjSfeEiZT9AVwNs1esVjU4fWE2SA
wXkso60clG6hNpho6BKOv8+y+ueC0q2rnKOXRvswJaO1vE8atPrJ9fX4KOf4SuHu3PmFzfk1/3ph
aaIzeUjq6NW2O+1cW7VYqUnov0GX8surjelnaLwUipFSeU3lsebq02cTBS1oFQPwEY+ZTVVbqAEU
PoE1hUNQAULyGjljs+wd13rzy2wb5BBQVkP2LOamDnoqMBQQMnmRZs+ey0ZCh59NWtLDqdBF9jyz
eZSzvC6LD/XofXPgOkV7yik4MidVC1LL6R+pBoZdLQmTU+cO+mPmdGcQEbBp1bKNfC84auqn9Lh1
UYiYnKRdkWUCGafutblL9tsTh5M8RnpKLdruXBiCI0iaVJ+TMOpVpWrjTgjDf0eaxc308nPqVX/b
Q3u4tiCvJAaZUiKSTIJbqKJCu1mWT8XcmD784eEUlo+yz9A0Ar4cg1o3eKK4rXjyCcKC7kB0TY5J
rxKiB8oUqqPVd8bZmBtr1qHtrQaJ59kUWmKcIZMwzk7oXDm46Lt7V2W05inSrrpgX7CQ00ug4vzg
4R/MEgpMfkx2AjPe3CiuR6hLXhZdxWVhIiiDJhYyN3+cxND+diffa7ED/Y8ZBu3jQGb20fTj79w3
fg6Q9RD3nKaD5ocRv+CZ1RMZWNL5qv81t50HTTeUX1bnbVBbq76Nto3QQpNZkFkn3npCyfoQG2gJ
RfApzbDq4Arlwi62AnBa1spAOvszTDN3o8XW8KDNpkLyDpYk6901IPONOy1YFwlJ9iKEkiKdfGNr
pQpEo0H+SsGdddGHPIbYlk9y7hZJGO+VMB+W0gwM31tlXWb+n5OMMsmX1lSD3iI4XWrhNzuEnLVs
GoNfwxicgzxYYJQfnCs/UfuYLp1pWU9V5R9kd61RSTzWtVi36GR95Ik9LMqht0kwD9EbmZjbbJSn
CCM6WXtJ3Ww3kIz5JBQDgwc4oU1ajsGnMYYXvweTp3AbPRPGr6DUoR+2Gw2BK30ObgbhZzVt+tgq
P8Jcs9loTBDWF+h9wHqkrcFbHlSfAErHifHYaTpk1nN2u+4JAY2dER9BziYvPF72Ms1dR2G3mdzG
epDJcaq9EDaIxrcG1Pt+LOtgJd0MamGoAqvzswmTx3UcrQ+5bIVQ0xoKJKBM86u0axel7U+RwkeF
flS8lpn1bvI/yWz3xD6F4I46VQu56FQivm2BDngU4zerU+NxoRnjc5yExrYkN1k8hLobbtGEbw6T
RR4haRvvQW1Ck7KGpmtOTUcJwxD3e4KrGloet74iOjYBtM6zZZldt2E/nDwq9qjs67KAR6vPvJcI
BZGz5UGvPVuJYU4vM+fJbLhd3+6LIkNQZ4ipraFg7VDU5Omjlmo+XzNVvl1F+JG53veys5QfPpIs
JCsiVObZ6Lh9PX6HZwTizqi33uCOiWaAUQU0d+jWfTTUz5MyjFBpVVBOzCY84/bFU8PVqGlwsZoG
aM2cgoV1aPj+qdTdDpa1fcKN/Ckaeow+q1aJAcmBHFPCcjiGZkXJIoOhSPBItB+JNyaHhJKCDa9L
UitBVKbsOF9MVWaeyxahXwkC04fqV66OGfwBJNUcNrgr2a91wybn0P+u1aLcGqYF5m0w7M+6IOQq
xFd+xcM6DSmu5tb6S/fDkUr2KoXCBb6jlTCgbo0hNFa0wdnJhvINAJnyEkcui9F2dtXc/D3+D9f7
fKNpUUW523L6zawb4gVVrl/dlrjRUCbdV0cFFuKoaGUmJ7eCWwKgdniOPCX8qgc5WhEdkph1Rf0z
SBj1THhce0CqJ4GBrRZ7JRbI46l2uqszy79COdU9oNjOjnlo/Kvs66mGQCCwQoAqVwkMpx3fwxT+
nbycqocWyPPHWNtf3aJKLjUlDM95ZjyE3CA4raK4nkw2SGTue/a6HQgSgWJoD74uevc4lsAYpPD1
SAIyB/vx1ACS2KInVmzB3ShPKKFVsH0UzauRoL2mGSIjt+bX71M5DBAXW8nRmk3FU1BvLqJXKH+A
mHbOk+xu8sF7TEpEhHz2Cu88431A+Ua3laOuZ/2iSNU7yUHZJc2m6Pcm9e+vw9BPW69P3LUJmegn
EbFj2/nWs55rwdEJBXJeLqIwahfPIAdeXNfiDaIT3lqfTTB2qLP6eUJpJiaFCcpO8cmEQ3AVvRpR
GZy0kLi+Yn3mRfiuWqP1IkSub8CKFWvBB/Bi+DOS1qlDZLoU68UlOXEyy/g17QVK8U0/bJTaOLSW
0z53M8Izh6AGgG8Mk+kMEoVNKnicUlii5aj0i5toWbMBvEqrH3XYEeAYhgHCuwISLnfg7OxLCBSA
760YvmttxfEiR5nAhHaUvT3bG91VT21p6UvpUcIqpxTx94ao1VK45OP9CVSHUzv6Cr1JBD1bB4WW
6WRX0cGvRY7eqxaCFkvanWX42Udvusuex9Br69jdqS9Dcgh8EB+oZ/trdqL6g4Fe3SIMiI9A+hUs
Jg2IS9GF67Tiax7pEFM4pqGcYpCdu6HkMcPv33rRAw2S7aosr2YaxtvMUJSj12u/GzWtniw4OVCo
+k9/A/IyNYfmccx7nQqEYfhUpuLcgnH+5WfJCmnf9HseEdGza8BO1CAmm67lnKgOar+3J15Y1TMb
gSPdX+gQt3xzSn0T69YIoay/G4nGfBF6US/VMfAOloVWl5LA6atSbPwWGXm8g5pnXEqzDm0bunWT
LN08qifwU4SZb23Ap9VvJG6LlaM57hZ5r/rN1gkY2WZFcGceZTNEFW/Df0IhOPGGvD38Z2VylSuV
LTUIhehfgOmML6NRzIg3XsDQcwTiC/vcDsNXAF3tL999NNVG/CQZnC2GRCtfbcpp1mI082OmEdy3
wix/GInzXlXgkssxtIqviVtvqdFrfmUVIhMEWr7EYVAv86ierokeUeKsZM0uL8PxaKJsDt1Fq78i
PRyj0hK5P+12yf6v+cUt4EdmJ+pbk6YOYAKv4BtHhXhKKerDAI/BxfJAAKP3uLHErHlGnHOn5C+A
RrXosXKQu4StBhLraXSQ3IzNpEaXikYO3U1bjwBVufCW/WNOjgLoQqs8ZcvjozjVcyPAnKzQ54G8
m/D0ifgSEDY5rAnY5u8j6N4W7NjxkaNUtbx6nCSa4bFAh+Z8a6wiYHfUN5uqRwlJ9vWVDzAjF/on
hFn+YyvNGqUFWAgBrM5zVWsyocdEBMHqtAg9z7guFvJyDLT5csrFQ+F3p9tI1fnRvuv8KtzIy3/4
h5BkE2C5eqbYRERH3ifVyI/kFIGUzWbUBGJrGNwcNL8L3tVWN1YETaatHOVJDbFv0fZHOUpSHeYu
RX22kI59npccGk15k0tGLbJw0pRL9mS/VtIM2N7clpQmXAkPllk5W36D6k40RKvQfCINkCGEfO+T
Vz0KUjurr4fsNiI7//L5b31sWLbCa45keExK61+bMqM82ujcSxs47sWlliu1i+lw7zeHQUfBAsyE
9OB8617SGZXYEIklQ/WfqXrNR6PbCEFIv2FnGiRluT8nD33Yusd6vtLc+PeV7OOo9Hv0L7//Ngoo
wb2tV6TB0YfNNUl0Z9cM1BPCRESFrOuZprmUl6Y5seuQlzcH6UsyT1+EbiduU2VfLefLy39MIl3i
7ErNalZj6GQUCij1NuoA6mZpHVymLAio2dDYVtbAdKrcI/n4Z2BMnOBEMTmiyrjd+70EjlnuF8Dt
CVWjxjQPN6Z+BFXc7+9+SqxHOxGNH4NlOY+N76kbR6jDTk+8YdfBDA9V2myjETbuIrXwzfV93Cxz
xqWr7Lz532zdDHRwgYBAYX1axOo5d/Ppa1DY9VpN82YXRlH/rGvNh+z3a2RkxnFArznM2ealehCg
d6EplxzN0TVf9mZVC1th2xEaYkvqEdGNYIB0dqoaew/K8uYtp7C59M5J+SINcn/M6i1l45HiOso+
2Rgp2GIgvNxVUMFadK6Yg6dzleyiFzmadPCD8MvKlV3XJ5SmBuOrb2TNtVT16pqWyZtZluMHDAKw
E26qsFRfm9fad7pX4XcG1zrCiK8S6/z72jYgnsyC6UyZNgzfdqFveqPUOV9BmwRk6WdttM5Bj9IB
3n0QmqHK6SmK/eGFrW6wbdmBr+SoIor0KCbvmxxMK0Nji7QHl5C2y2iqN5oRnI2xA9FoVt5RNllL
knth+Qj/dooXI5gw2/dxeeVU7VY1U33XosnWPjRK5K/KnOgqWmrd3uqIVSx8X2n30nbmTnn1V5+b
6pBfEZlkI2ZAqIEY0QZ+6ujQdE5wbt3+d2M50AUP8VRt/hqgYADWp8pVF/cB4nvBOTPz+Mj3ZflX
v1zTD2Ffh7niUVqDrfdk1Qgkz7VBstpn0vri0TILarX+U/Yj+y0OaZSi3QuJ8Hk08Lt33a5cqofu
y8k+ueYfX9n11+p6GOw1uxJbc5gShWpmqCssv916SRaXVCK0I2m6vigeOzeZL7HlVQ5T6sJIo4Me
ltx9HN84QWhlnkx9QoYKGjCtU8qTPfoQEWtRrq1iJUbfXI6a7B/6zluIiS8KWGX+unqM3kedr1Fu
dtlamrlvIZ0cg0gDNxy/G1r8U5+hTXIwsZ74lTiv+PgXEoyXSlOid7CM3s7uoDOUTsFQ1dyuKh10
A+vzs06X4CHFXjoPoX+sSUdfXdsmn8Z3QnaLzKqhpbWRGpwn6SZnOeXLDfpQ5p9VYicXCWlgjyKu
9FDBk17uSAcw6H/1FNpnnHTJBbCwuOEl/vd1bq8jrI/7Gv1AsRjlyrs2H8EUEGgO97Xqj/YSAD3Q
sLmhsrFZ5VPKfSIvW8oVlTY+ZBSsHuRVIzunyeZwrjchJ7fZSY5HQm9++9+85IQkI6MO8RfQ3L8W
kcO3SSgxJ4d2V3Ai2ideKx661nshwKvsQ3Ow6qO8jPo8oMKKzpEfJDcNihpA+zkdGDsKHfkeRD7R
kNhH4p3oyKLIT4P3o3H9eDWHEZFCnZOOMhP535OScghAQEXdDY1ihJumr/Od6Q3QhVCgWukzmrTm
fH4jJbvZf4aF2iv96Y85RPBUo0ICU5kGG5BYpcmw7Csr2Q9a3AQPd16zxhhvLxBbZFlOf8zbCvD5
DJDHZD1FnVN/1T6RqzGusqltvT0iqQXcPuTu1YVCeYycOuN/1xrXXKTmFS03KkYURGfufR734JVI
HBKv81JyoHDQRx11Moz3PlW1P7xkavZyJdnPfXUlwI9TRsRMQyvii+LUt9eTXbVr5qRn2yc5J3Yo
uO0a/THijEXxfjkA7uN+1flexw61ihc5hB1oj+h9TKvWFsmu2WH0g5VSxsMumCeW0kle+ihGLrTY
Fev7Rqyed3Z38/9jw/Z/u4hEIKUF/GUzdBx8JvANQRvUZx84M2zDc2P3l2C0BvRa7doCmEZfVThv
RGDNR2k5SV2fEfiszo5X/RisClT1ny7pMerIe7Qw+iKmAxVx0pXKEZbVaOGH3fieTpRTDq3fPA19
Zq/TUvGPXtNpW1MT6U6HwPmA5lvwYBRNfVFMlFniLMpep6ni0NxZ7lvaDt1eaVEfX5AgcYFp0gTZ
kB3Kaq/lkXfQ/YBBqIJ/D0oPXR/jg6mHC5WDsZpa8aWYE4txFDsn1+7W0pKNwl1glxrNj24Mknjp
NFH/UHqVoGLBt1fCTs2dCCg2D6JQeTDHyX3plJpDa67vGwtMISntixedHMtKIEOkSXgaXxuoezPX
ac7SuvUH3o6zoHIgATHNtXbii4/Q0E56qGmaXl3Il1Ej6q2t6QRqsKRAA0iCqMOH++pqBhFon5M4
v/cV6ICvJwPBFLmMXLCt2vGBtDp/0fymrLkZ8qR5LMOwWNzegqciyOXZ2osppjFY2jBTHMOme7i/
59Y28ktB+PTff10/oKgiMkDz89uW7vCw3/66e9efv/D+DmLTJSUSB/b29pI5xw2AKmwf7q8ZOw6c
mTkZuPurdpHirymF+/0XygXrKP/9F94+rSh0ofqd/7rb2roVsN/hr5Pecn35FwpoxO5vsp//wqy5
/f9uH0tfUgSeDL//OjkbCcGdErigouYPQs4usvxLrNfW7r68Q9oRfTIlXgHDq57BHc31rmp5LO3W
fSJV9ix0x/uk+AbGudwHYKn51Xuh5cvSVrJToXsIdk9ICaBxd+bGZD3nOhG5cPK5y0QJWc/U1A+K
ZnyVg7KpAGMYljfe/OuOovmGAOhG5kP7GDF7t0x+3P09JPPQHHPZcLoq8q0Ke71qpmnPhmElYld7
CoNCf4Ig6uAOjXKMZ2usnH4Xxny0clC62YijLthth7BC4uI3IXQULpTH8xqy0ZtyWGedU/6jz0el
0LMdcb69yhgLYv6+vpAvI2c1ZoQqiF1mO2kO2ihOgJtvlpw1NNAZVXYFOeef9xvqPegDzb3IrhjC
hy1kEsXy/n7hDP9VqCnVqPOktInDo6OL2zuVXXC7EwdFBpxsH3+Q7DM+k6Brbx/J/7B2XstxI9ua
fiJEwJvb8t7QirpBUBIF7z2e/nzIUqt0ON3bzMwNAmkBVhGFzLV+A9g/X8thAoxf+9o7R81N01Ml
KRBYBy84izMjxk8YNFG+EUXLiFFyL1QQCIFeh4tPvZ1I7rclbMf7BKKHOHAFNx1+XeFebUaYLTm/
r3BviIvm11UySCjox7Mekls0kmU/WQJlJrTNomOlGpIGpd6LtiznEbMenX5P1tkm3V4WJ8fBKqGX
/fqqgS5YkM8xnyTf9uatlvZfDJwSZ0qvDd/CrD6Wduv+dEZyNanfsyZsySqzNPOwxlVZn8j+d0tX
PjCJkr74CQ5WWDKmzyq8HtyFHf0KdYmtqabJJ25XWZt+a+0tqbW3TmqX217iP1fLLGHDwspLcb/z
cA0HoFp5g33adFRY8tdam2xFS685E+MoJZeMd3wyHG61lubMel4ESxAVKV9Bzbec4gxYE++XlHjV
KCxPcMma0tnKNcXo7KFAf2gdVPk2KJWAmKnjnWUHPAj4Ygk5xjaeR2pSH8fKlB9CuXoW9TYezYtw
LOsdv+4KnEptkeaW9AaeVVk5qmuSSGZ43x0ztUGCttP9LY+GshTV7BD3XdHLT+HVGH0bGpgZ10ih
OvAsMb9qCUKS8Y33OFrG+6rKazjK0+moolphG8quU7yM+KKP5VqbL8chTZ4dfAA3TY85gm2Z8XMu
YatgZuA7RLFtoFyFmfxTlEapts9O6BzFSDRfjAdU0ucoBfMung52ugFZUj+JQhfla5Tb66sYm4Qj
7uCBfBIl/hJ0eV0/PIiucQcIsCFUvyV8ID0l7D+3PAq5PNPzKiBWz0HrlWAuW6m2HIPgVx1myAV9
7AqgsEHYT3QM+8lCcxoiOprNmO/cIQNq/Ls+N6ZAQytH/JCOLxFuKzinFfFrKw0q8v+8+UVRy4l5
aqHu7TxAWq+sAV5kowgv0NXHlwa7zGmMkjrxWcMqVpRsFfPzxFRYCUxDYtsgnS+5oASmvoPCj2OH
K/hRtI7kv8Ehec8D6KqrodWnso6TVx072P1YByXheAZl7ZitTDAWKzHIyGUJlG/A5gGHlT3q/e7K
i6BhikMofHmcAB+eeLLsEZUaWEKio0jBjF5ZPoaEtYaoUa9NpJVoDwfRMuPjWonGDvO2M3nGW0lU
lQ0292k88AhNwx1S2nulNsh49TkJSGRBn6XGC9kmMBOBYGcbQi4AwfxTMapvKDsA+wkmmjhmqZdI
L4y16Y4TZ65HBBCjzKXTmNXErMZPlmDEe2VBn8L03pspDWZRQJe+my5Gd1GSyc+5b5Jq0VWVQLbu
bDoUoraONE54kjxYoqyaPVcxWzP+KbvvxNcWt5mKNNrmXau/RzpMBRNi+GNTE/Wq4yA5anJG5i7q
vU0gW+7Zt7RsYStR8op/6Y/EsoyPuL/e5sH06iphtfLWGF0N+KqVrg6qDwt3HHFp6uNnDHTzJ3wY
86e2wgkqstIHURVWOi7LYQOyemosmqRYZUTSl6KV38bo0OodENGpNUdd+Kne3+ciHzdFtaL6INot
J0mWjcU/mfSWOk37NLTJokDO+LUxbAX4RaDNRFHLDWtl+k2BkHVdvbITw8op6qFPTJ21xF2R+Ggf
FTcpH6BW3ap7M/H3aTaho6deccYzB32kx7u+MfadhFO4bkjdcdKnWGB61811c+yPok4cgCL0x3g6
jGFtLrB0oss0okPIdgC7SosoqzKCpfdmUSdakYMDPZWae7mKw3nTje6pMj3rWGdWPx+00X4nBLfz
cK5+yTGV32RuVazhZAZfPH3EWyK236XJCTtVR7x2WgXna9I30HpV6z0Nh1cF8wmPzMbMd9MOXGMX
XO4Hq3aPFQudPWTGwp5FthNt8d/zZ6JLHFi/OnsBGsS6nB4jE2rTzCRUNyuMuuL5F2V2F6si4eMJ
jHS44KGLMl8HlEewA9oh/l5i4XsS7ICaEpAeHzUnWAWDE3yXzSY4CXbA1FZPPf8vxolZdKPf2koZ
nOURqoBUkYh3jch58I3OebAr4CO2eRU1g0zQB5mceiHaRJ1p16veqUe8WxkTG1G0qTqUy3xM4NK5
6VYXRGv7YzhNlrmqvRrBfAeqYT74eKwgep+wMdFq80HNRuyxLWAutImayjSkpQuffYG3JqqNYRQu
NQggRwVUtl2W4TwMo/JFydJfZ6LO0aLmcehznMaD4KvT/cQkt/xi5Wa6tSC4LUW16wV7x2p0kr38
WmEdg5RB0gVfw1H+DmW/vfpRk50GbbBmon+VakhFZFZ3cjQ5uboqxrjT9IaTu6wDChPZGp4zxy4O
op7f1hrtzKTZhkbifQl1kvNTf6mT4nWMBNtaFLk74/fddZ3dL7PpLlCY2ReN9evuWpZS8051VxUq
KmHRZR+FpZyJyGZfxhAbSTPq5aNbO8W+yBB77Logeh5bIArEabIP2ODzqO71c6OpyaLRNRepSw8T
kOnsfkgaCWfvNjo4ZvNnveiry/qLp9v+c9vqewVX9i9uX6BDlkb+sVAa6PGymy3VxLVeezU+u4Gt
/Ai17AFUXPKqefxZXZlJ+1AbuyPqFDBHdb96Ayu/9VhG/1Dc/CvWXPqzXErpys4JvmtBLZ86bwwm
0Uz3ayR5S9EVOSQcnZy8espgf69avfF2MlT2M+pR/VxVBh7iQcelvRxcUG2jbm210NmwwYiEWNDr
mJb1rBuH+KuRB9/ypHK/EUk4ZQh0fBTquJT52fdnTntE9CTDkNRE/gbGyAzqx0rPkvLD8eULZmrN
N60NPsbWNzaS6XQrGeeRRxfwXpY/IheRPbZlwQZ0cJWVqGtHvTxDHNukWZfdeiBX6M2dWCeMgcPc
kAUPfho65zwwQDFPZzDxq0UTZ8GytpETWfoojPENOPtSJSnN65V9o1FED7fW2oWXFNp1sIwsxItI
dzfM89eQWx2f6m2ImN9XMmUZ9kG9iu1WmoVSLJ1du1P38QBQLvKy8r0NX8AfW9/isnHnSG8rR74w
86gjOzwvp4Zm+J7AQ34PzS5ceiX7AHMAopLLHfJqUWh9G/UcRkbjf8m7qF0FdihvpdzAsSPEFFv0
6FvzSYOD+RykurdBH9QGvGeWz02iPIoOSBIlM0T9gJxVVblWpUDlIyBfBBQTeF31xQKTvZHiJF+V
GMFYTeS/oH+vbmPd6ZZ2LxtfzaFZBFY6vLplr29sFd8QUV/K3+o+iN8a7NzWDfCjteIE5tc4SYyv
mk1EoY9la100Xfw2xN9EWwTHecW2Wttg2TK+Dlq1EPWKwUY1rBKVmFfvvxBQ3ohLEN+xFoEUrDUz
lual4WN1xl5iL87yqXivEw26X/4fXTrd0eFTNPri09gepP0OVXccLZH4E4cyBKdcBLn2R12adNmZ
mwjX5BHwIvrdOZ4aUOu3UZ02fnyqV2sot75XHz/VuxhHHBsQ/21kDvMK1vK867rX1KjKazExFzH4
ZSvyVxWs9+qKOc2tiixbSRAJViz2tDNfH5RFjqPe1csMbVnrPYInreOsck3Pjw47vQ2s2H4v13yf
pMXdrWc6+T7J/HZTofJ5NFwUdeooJ4Mh4eIXoYV88cMKTQC39B4TpUUhNmQxGqryCRhAdi5NTV6Z
SuvO0tRw2VjfPgt52KCRwM7UNNOzqBNnbuwYO5hBJ1HSnNBDyijxi2NFQiqIu/R8qwvLBAvBRI4X
/jDIj5DBvV09lgBYXX0o2Ov5cwDQ3VW0GnFdLKwAe1BR1CK7O+RD9i0rE/mx0svmhNjiIfZcVHvV
MCCja0QbUdR1pZuleejeWoNuXOtO5D6QPfWearVZiF72yPql1FnHy7AVF7jiJfvBGMkTdm548Eu9
fgn0ch4NGnLMFpHCUW+bpSg2dfQDbvxwsZM2uqbsPY06BiTq6NoyN4sa3UsGJbhVZWRMNnKGv6tl
GtVDaRMF1uPg2MiYH0a1ERxbXv6iTRy8ri6XjeqXS9NUxhggdHPRDVNeeyBItmngJmdxUPCiX8iF
iaGdlqW3uqAeE9hKno8LqAmcceos6sQZDM5yIzckOO91ruS7C9RelBnIw3xctnFPbmTS4EmcJtmF
kJrWMeUL45Cza5uGHyjn2VE192cQ73hh2B9h4f5Um15+SUppBJZU+ec6q+wN+ugBWoumfuoU+Lu5
lhcvSpgH5DeK9gMsr6Fpzk+tDJ/Cp7SUdd5Qg3k71ImFQl2bXIsow9L0f9e3U+OnOmIb+I80s9jw
fxaGV6knBzwzlAx5XOoAC47ZqClgI8MPLIkGVF2GYS/O7gfLUJK1EjWwqLF3c6aDzzoE1uN0Gmrl
U6uSIb4bvYl6VYKnL+punX/3E633zn2pFMtY1t2NBBttjdnqANrIJMWnSBLagbKxDSsvePWj5D0w
nerMizt41acseFy9eK7VExpOHsWQsajUHSnDbi46xexgQX7B9iAKyztl4LUxdjCLjN7Sns1QVxZJ
NFTnWFHjjSIXCfgFzTwUYRyv/LJXHixIYvMOOslbN1oPBNknID/LL5JWMxcme+CyDPF1rZxDd6wf
9Io3SFIo8kFBq3aX2pK3GQt5POd+OiwGjExfuo5dcv6F35zkoBs5KYCw6mYEuORoAbw1PngTTcpp
oELORFkcgOSFIByaEY/G6K8WMYfoLvrcxoiyKtnXoWvfhkpPrv4kfa30XXbo0+IsqsKpCgSCcQy7
ei2qxKHT1eZMrGAmxtzrxZk6aWLf6uhx6/p7fqTB1rcJ5YQ4XRJVZ9tPs4PoL4+BhB/9WAHE0py1
QWBrPxZhsauzziEE3/hHu9K0Ffi26IKTlb1g4zI8ZoNRkzDWiumdm2NVpHkLu4F3pke6skexBRGD
ZFILUco6WonKUEnt4nZqeyg0u0TThr08qEDQFPbTmddUj20XgwTXXYLViZys5aZDGLHP9e2QlMU2
nSKTIYqMq9Ep40suiVC26j3pcpbMTbkqvuAj7KMTSmixRZgUNmfKUnlYu9MmagawcNl2BVJjbmat
LXuYGRPgoy2kYMcGHL+3qWj5jTuDLyEdwjhpX353ayzQhXYPYybztV/d3Mp0MS2jm8Nsol7MZk7d
wLX82Y1ViAlOYIwPUV2Xaym2Se5Hg/oYmGZ59fkFN2vfKOauCimgRZFgVzqx+miZqbrJPAMm/9TZ
xurlMYXaM3XV8ySbK2DdNqKrItfxrpGAa4uibtUYXjqFuuksUkLIBsmPiY+ypuEY0UvusetpRtX8
Uocshvn6lfdoRErCr5UfUtqy5ooR2iZWMbMJc4Uzr1yzzcB0FTzNsoqS4ipJlT6vGqjmZdii0dQk
hA5JArxDIj9mfkPcIrQ3XpnZP8nPPbt9WLzliZHPLanQHzRQcqsaHdWjGUbathkSbYNpWnsSMyL1
kyLK5aKa3fb+e5mxOuXdNcWObzMWCeidaUa9dfL5MIkU6sCitmKP83e7oE91ZMSKnZ8Q2h6NjQ9J
Mcz0PsVvZkiWCfpDqHRLWp5cgzrPnoumeM46TT0Nbps+c5cZ4EaDiMzUOEoZUne2Vu5Eq9VUIfqd
RrsRrWQ9CtSdXBN/TsYShjVWFbHuvmpOYGgK8O9a/GYH8sGYPEhMi+2J5zpfUt2c5EaD5uSEFcDM
VnHZntcQwqKinVWaVX+MK9eT8o8yjvuZriGJJefdG9QO5+BK5a9D3VTDMs5ibfap4VPRLCt2W5Aj
Rf0YZGiHOFgIJqPuHPyaMDTi62xaQ4MdfhH0P1iRIcjcdz9RPnzBUNz/4iToBMMr6s5h3BubCl4O
XBc7PyckhBfIbJtrUx+cOa83Pvbp0EAw2JuKjY5cr2EvLiozXFExlh4iMtOGy/trDGaB7umHrqrc
J9frpgdFrTFmpJi0TrksGwPLi6kzLgHmetR05Damot846Dhjhnybysqd5uRLzbMYOrIrfkDwaG5N
Xc266eYsfYJVzH4CXqQ3Ros8ZuOZaVKvvTYJPz/Vgn1D78+AJPc4PwSIDhiLPBq6DzlXHlOyjO9u
a1Yz1TKdF/y8hjmeu8mj3MjBEuHpvZNY6AT6A5qt4Zhte5A4KJ8oUjavy3bHUsMGz06rYunxWjLs
eJFFbvqYTIeBzAKZhquokV3v4FjjVqbp6Pumc1SVzBjx7YY+LZtusgAi1MkL0V4ORISzFr3iqnGP
IXH5eaH39iz15afIgn1lIsmwHkg/rUw3LedCWUgIB4UTAbbO8sk6HlirPFY4Isbqi6Xz59mRehYl
mRA6yOsnPFWri4Lm8K7M0nLhpZbxNrTZDysxkmvuVNIJeWiS3kbHc4TPwxSNvJJNrr4lfvPD4DN7
4+XS4H0JLCDUmmCOYvMFt/nulEFiWga2DZLYsbDMVLpqW3rQrV30Jge8c7DbkccDT8tXZeQHEh8Q
/N/q1luZDghL9N6CHw5fjFZKyiZSQmlDAPDbUCJsnugIkBfoof/isqAQmaq59aoPurvG6iRdm0Xe
XH0zP8buoGLKpbH1L5Pvco2yC0Fn/2KFxbWT/HDb94G5R8QbRcjpYMRnL3/PCr/2Zl4HXzQL2p+d
upI1ed0HhfPFz9xuWWtyubfZQJw9bnEeNiyyNBQcVrhu6+dybLx5RywStlARohTt+NGsbiIL2qd8
1pRmfFcmi1XEU9KZa+U5/1HDKpPtVx+t3W+2HaCs0kE444USrs0SZRRXNrpXxwSuVep++90zhnXp
FSTuGu2pTXUHlp509cx0U+uILQwWoiNDpM7rGpPpLvHtdYQm+T7rq35j2tLOHbN0qQzOfoyrdiYT
9CAQ0/SrNtDMVeY2X3wrrXF4t4NZlQ7BN3SZLrZRWB85Dw9SznjAIoO+cqS63iH9unPgN5/oMJmZ
w1A4pQO49AgYSO/54VUcEChT9lKEKv1UFUkSsmKJbSzJ7SjHzhqUo9zlX3o7vxRmSjQ+K5+gj8dn
hJ3l50xSXlAptE5qmFfHwSgvXQiUJ0/CcB84H6HcpAcZ0Qkn7IetZ6GAArw/0w/SyW1gKvpm8taB
yliDTUeaaSpKg3meIlsPptp2p8asIa5LgNp0KQwWpdz4e9Vpjkrd2GjWT4jDCZjoO5yxRPgR5T4Y
qQH5AlEvDpCxwNOLLqLs+NVXFv0pKtrDc4+30LmIw+dayaoTgVaepLEjw9dV7Ytsp+EMkkWyLoP2
h00m5IpNsHbsewtqo+4Hc1Yb2YGzq2hENL674osAXHmMvhHWp0enGMPWCaJ8disHqtXPhkqNAdWl
7TLv7eKl0MJmiSlkvhZFUzN5/TgK+rLeCP/NyYd5V0MDJcqmpfvbqcWude/qMP3mE6hiH3n6A6lg
ae53mBD6zi6thksxhMbZTkC1dvVSd7Qf7OuKmRzW3zrdaC9jnZB2ypD5LIO3seQ5DCV1PjRh9bPT
HzvbQuUn8p1DQZpphgpVu+gjyDNNiBV5IDXuBqM4Ak48zpcEJc9LOp2Rhr4kalxA4qRKNLYZRKmu
47dSFGVVT06SUn6LQPVk+H49lZHc8g5CFkoUrcAbj4NNsIz33BOYz+4habI5NAjzKc/kZBYAEyBx
3v/prTZOxTjSeOv65vvfWauJHqLB4fWw1Qau/tvBzUIpewjin4Wb27u+QPvRbvC3gXWTbAIdhhX8
TJjJJdpkbLmHlZZrxXm0SwuypdwQw/EuTl1km4yl+j61ycv5PP4b3iEk5zKkFBA8HM+IMmdLNwjk
h2aMLFyGOvkpj69lyQJ0suu9tm0YblodR/jQc+rzEEzJFycu31Q3PcoFT3oU97itA2ciyqXNTQvL
da0x9E3jjvIGrDRO5pkaow5uFVvFZDbA3dMroyvITLMuhZC8VOXS/LDz5FEZsAmqMlnGtkZadkaY
/2SXd/L5LXzzWu6w86MMiaag2ZRDfbJ5lNaRanfr3rCHi2zZ3gINaPVVJkGpmkn4MzWPZLKAjvMw
X8y+tt4sH53TolWqBxJMzaqI6wysSwk2mjAWa67qklV6M08rK/pWZP3cz8r4Q/ZLTBDSIH42gQau
WqRP9uOoodJigOX1nU4hpz8c1Vq3n2zHUfjJXhHlKt4D34DeacvFztU7Czxh96F4ET+UtgUU36hM
gPBNuEeKOFwSuRlOiWPms9YwvoVK7j1BRRw2CsKpa0RPnWf26EhFpt53ZCwAEKbJ8DAkegftp5RX
Zdo2r+ii7kSPwKxBjBfE59SuytZNX21ky4u3aEKYW4X8w4HvMiL1V5tnpCecRYCQ/7LpCboPajAc
UsK+sz5w3CdD1wkHlf1uwp50GgrBRQ9asK/jYwBQD0ZNWS9LA5tqj89yYeJ/ueXlIr004ejP7NYm
/T21Vo2N44yhP8nypEXqZiyKal6kJZAKTW+7bdMQvR5tJX1zYuujA2l6KZxQv2Sa/wOz9hQCtDPL
wVHP4fGhsODI5hYTqWHdt1H64KlT5Dprqu8m4llJ0Cgf7HI+Cjmwngukn5aKEr3ZQ5kvyHs6l2Q6
gFlGSZXc0cY1JVVC86NSFmMJZsl3S+ciOjqOCTQ/JIl9r8ul3iT6yw/LNIvoFhNXuti3uW+TxSbm
Os25bzuCzZLnL+0sT4+SV2FAMMYIP7VafAB18dUCMHkMNGOZ+dUjEtTBXB3Vw1g5ez0hjms5tnLM
MXWfj4OvLIy67jdOXKlbfEiGcz4dgk06EHIBZRBscs8JFrrZqK/mgJ5+2fc/IcONfseOHVmr55J4
+6yqnWzZIZDEz2XsjTsyCHNflwyMonJtIw+A2OLCVIjVeNbGjaR0zr88z6sSf/EdFRkYGxMYTc6H
wwhZdZ5opKNDU+sXnRERoZcHC0pd07SzqG4eEQtKNqLufoAV9leXyla7ZWd12ozVyFEnVfBqVx1h
GEsPXiY1ykWbGNolcnxn5UPOdhNjTUZqPEAwSjeegeNNpxYo/gT1sSu15BFFBdbVuOyBvdL7rahT
EqAvqMsCB5XsC1sB60NRCUONkx2Z/eBprJJxm3iXJWnY+Xo27sBj8+m4ZDACSP2HBuwRC8Hoi1SR
dugg4S5bBJg3SdHbVxl7T9lSWzY9OM3DeyVWGrDH8YNmHntJcAAznG6DkYCFDcxjUVijutB8x0Xc
pXvwiIY7hkkKfwwl81iDUHThq12lzMuurKUntjO2EaPJqskDvftsYgSAHbnPIg8hrmdcvgiiR/oT
/z8mGJ05Cu/pxW4mX+Hm2YKMfCHymdwOBXnpRYFC2HKYeomGsKjcU51/FwWMTuUlCdNoYVnleEFh
yplpSt2TZdHGy61ONsy1Gts6+Fe6iAZ2C/rZACI51eRdGM1lAwP3WmrKQ+9YxaFp4l9nMVILKHQj
w4joNSBl0ed2yi8R/1ex3K5i3oTH0sDdV5KNfJ0ojgurkgP/Bs62qS3i9+l4NEqTF0ASXutCinj8
+VlkBWvhCItCN8YmUEhKw7qKutrOCDRWyJaGtso2qXJJ0hHVBfW3HuU0XWTFcGqQA7rIKBvMNdf3
rj53vSY0F5Mt7FDN98aLDZjowENXdcoCXUGd17Sr751cTdZ1qL+1fhsd/fYHQfDyFDdDvnJsF7WY
AAeiykV0U5yhqYxMjji9H2rr1Bf9QOgU+5HelE2MJiz0qqX4zUUV5auBvcXM0KX6hd97ZV6HrvdY
2CVObWHpnk2Zf4ogQrQniPZmgzev2hi8WqaiOHSIesCCdLI+m4kmtSdunXYLqYvVi1Y9BEKcSTZj
7Hn4gG/aTTLhuC2sMNIXI6QSdr3qFOrDwE0ILIlD4SssC3yzWSmerN0EnMq6wYy0V9EXmiScRL8O
Xyv0os1DlKEjkIdevGgsRd/VAXx9BzDXk+Kb1QPb6ZncJ9kTyo9LYJLSdVqou02lvGqxUxzKJHBv
RSNPknk4dOEKARc8VtK2l5aYl0rrGJjuQ6Vn36FOgBFLu27HsxbMOjJVVyOLwMs58bg2HBfAVSm9
+HhbPXRDMtebsnryhqF8yhL7kiMmfMo9qXxytM6Yt8PQ8AtL0bYVd02KIly4tXsysrw7tvngnlLM
1tHnDF+9JCy3geznEDe86NWMiE0Shww2ojWCRw1GnlSZaHUljKvSSHqUbV1+4P2xEdW91aaH2M9A
NrHRBCA5+og3kME0tCpewIcwn404QsBbRTscRpX5nFTEvgGayQt7KhqDrKzzjNe7FFnGcwJLCUio
Ei/FWNVpvTUK383yNrYBOczbXkPhl86s8KpVNroeOmlMFbV9gGg7/C9RVDGpXKLML69E57QDk64j
O3prlb0oJXTj5+vb2L53Fwj+yGvRWYNMsSh92721xmbVLCxo9hvRWQ46QE/tlIYV1x19aa7XdbQG
N7oxLKc9t95grZJgzA92tM+I0D3h9tUqcvc0MWmekrJ/IT/nHDOUBTYoPKCur/XduanjLZR2Z29p
Emosoq5W3osRZtatqtW66KSDVHDlXA2QLk31PdmRnd3hNi36p2UQL9g/B9iX425ipR1LvIA8sRzG
GNSRu0iU/nuaG+17nvsqNuGacYaXHm4CdKNq0mGXxoieGxmrMNNJ1R0x9XYeOr33WhI6XmnoHKxE
q1Jh+1EXMe4iU2umA+mrsvbiBbb20rxXReJtVD9DtLwjbBcmZrmopKJcg1zmvWV747BzsKkwlqFh
/XUaT6e6khTq/I8Of5zqiZKvoont5RkP7tB5LyZ/HqTlYSEhA/Si8d92dWOMiKaSZHT6OfSGB1EK
xzQ7FaDzRAmMlXHQcOiZBZMm+lgi8mT3PXrn06wYdGqrSV1rEZqSdh5c+ddBl7aWBOXwXs2CP9/F
LmDKqdO9PtbRXPSHwJx/asi8UJ4VbjKs751FF+IR7HVMtOZ/X85t2TAapaI8Y0ywgt89vNmj6S7G
2ukOg5LKR1kl3NWoAAdD9sj+gNhEMDkKiUMx2QqJs1gzJh0MjGFHC0chUaf8PouzKcncYk/7qUF0
Fq2o9mL6Mc0shuH566GjgJDFcgREfZu1IrYM7ImkVDMDybyIhjHdZVXw6wA3MN0R+U534uzecO93
b/jU7z/ocp8euBmC92L++zhRvPe5X+k/6PJpqvvYf7zLf7za/Q7uXT5NX3nSX7f/j1e6T3Pv8mma
e5f/7vP4x2n+9ZXEMPF5KO2Av6MfPIiq+23ci/94iX/scm/49JH/91Pd/4xPU/3dnX7q8ndX+1T3
//FO/3Gqf32ntueXrA61DNPegaVdMD2G4vAvyn80RZXPqJQc4W3UrdzoUfZn+Tbgj2F/ewVRKaa6
zfLv+t+ver9rucOFZnlv+XOmfzffv7s+mxm23p0esjq/X/E26+fP4c/a/9fr3q74518irl4P48Uo
unZ1/2vvd/Wp7l78fKP/OEQ0/HHr9ylESzx95Z/qRMN/UPcfdPnvp7KdEuncUnsfJCPYN1I7KSQC
NtvHvw+iJRqGYqdqF1EtasRZJQbc+5puGe5Fc0kCaevE2LJpnfeQaY0+9yoDblVtSNcsiBFQq/sn
dsEI2U6lOIdJ2IJvmdrFmDHQzR3Z95+iXdS76EStxtLvgDAxRhyqHrUMUwcEViO2f0Au+oyoR3wu
bCnedraD4XMHz9c2o9sBhcr4mKcokE69tCjCSU60BpYEnM2TD7c60axG+kcLgIrIWYO0jJgq93t4
zrkqL28dXVQlF5UR2OgkG/BLshGLHXb24DAxU135EV6uNno3Bvz5rjjrBA3I24ewe6biEFjFuVDi
4qwojbb29ALouhjdatWwcQuQDX+MtnoHYHLavCEuyIxiYGXm2BIZ9fU+l5ja77SKoKa3v80XJEVz
CNMYWd6/Lim6pX3XH1UWFrdu+sgWzVI3jlz2kJjxC/Imh/qbWT3yyFDU/zCub2T4V+PQrQ2+tz2g
XO/gV5OXvWswSFSK4ffmApyIIzn6LukaUBV2XkA6TVH6yKxtXlj+reAogQMaZqrPgeMicEXw6jZC
VN6HSdYYzUl61Ms/xtx6VkO57OIk3X8eOCqDv21C6fppLlE0MvNIpNvYKpWBV32M0dood94paBLv
JM4Ae3n4tpbe2gUyS16b1nuD6Nc5Y3QcYZZOXe8jbxNp7YNtRzFx00DficNI6GyHM7K+E2cYpg3b
REpmojH53U0UXV33UggnjMggR2M2K81aRwZehtuYj/BYU6inVpKUk6htMZNbgqnV5qLh1jp1F2fd
KBPyVr2D6HvvQcbJXEk5kh7gNX71vbdGiv+IyZBKwPZ/NWpjpm901X6/15vgCVX0tNKMLI8rr0XL
/WIOHoag6jokTKa7/n1ft2IKVQ+qob0UN2FYnsonUiYobNnuThyMLMOx/na813aRSW0GJ4Ro4dQ3
AdmC8fWA890Yd9IfE+hFTsAg7mLpNuFt0B8Tlj1arxIKDQsVZfS9Ph3CMG/2oijO/oe091qSW2ei
NZ+IEfTmtrxto3aSbhiStkTvPZ/+fEBJYkujf05MzL5AAJkJVO9WNQkgV661NH/ZqNODNpaD2Hpx
/H9aYJl2+wx99HYF1HY5B596vGQcEVFA1rOHUA3zh9jKOV3FCEpIB/dtCRrUiNQKrUp4ad0TpQBz
vpJjsKc/jY4VPiO0oO6kHfSYd1pmLLG1FLaUy8i5S8xfwzIYqcbw2uOsJp+ULieTUVowuZlx8hQB
UDu6DpcGKt+wt6o3DjKCAi6PM7cXPjgCxp4XVNeVdloDqXKg8Bdwkl7ASboJUE85lzapR9GVxlZ4
ZG+JkVOaceeMyDctodL8r2EkISrLSqk63/l9Oz3OnvVgttnwXHHgPpWmXm+nOs2/BKZFSgmAFVdn
EyRvIgWlJv7HygK4mlTQr8Vt66+UdjpKsLFEIcumbVx/bVletl1sEracU1W3zcBvraXjBk/2PT/e
Gy5f/Xeg56DtkyPMi19vgR1V3E0EYy4CV/7JqzzvxMnVzFeyKxu42C0gBA2a9jdrTRX0WOnWzlgi
ITv1keEUMeSNkIkVjZzuVm0EwJJrgdJuRhhDcwjV1Tlokc2Jmru6hPdZ9mRTThnVtrkJqsNvfjqS
3700AOQAk7O5l8GqYSAHnYRworZOcz/m6Wvsew7kwymQUyWd0A35ZYtJZd1LRyh6/8uejflr+nuN
pH/m2rK8tF6ZXOH+T65d7Wwaj6tPSL1+mqRzroYZPEmjlUdIaC/q7E7DSsY0Awhq8p4ow+deQn2g
WCvr2ybay27aWd/dSC/272zyo+IfJbzgF9lXuDIdRyOD6M70TploRluDkXIZyx46weiS2M3hb7vS
e6d/2UYr9E8Kok9ououY26rSKsdyjmz6idKTtfRU1aQeyCr3lq09mGZYvrbcN4cqQHY7Dc0Xbj1a
uytfgyBXUVAfwPWrxauGhPy9NdhPckZcuum1Ltk0lia3tXbHg8ak5Poc5qF/lr1sKD9PgWvv5GiY
Kv8cNECSebn/Col/9xbbAMwUgREf9QnhXRy3yXIdueJfH9dSrbPJ20xw4v8xbwn+OTdSUaFwop0a
RsW+ms3gUVFrWOgrL/3I7d0nazS1H4hre5ZJ6tcN4qfUSdpPXp+Q0on78EMYuzwzrVg5262dnv9a
p4P06xwONXw3fIkvmto4x0EpuX+CdmDVIp5ziZCXmK4drIC7PgZ6CRbBrt/iRPG2KWxdK4eLchKm
WbKFd6y7dKIhWfe+WWwyRFO1bVK7ynGxywnLUIZJW14a9mFOPLTa/ljSKuf3n7DMN2LSEW2WPfiW
RSFUiriDAyv5Xg5TtczuvCy9A2CblOsuR80iCFHbCo0Wnq8RBS7NiMYVpFoDifM/mgK9XvReLbi9
V9IVDxo81rJbBhkqsBXXau+MflXYW2OIQbl5TbeLtEQTJQfhk2w6EwIJtO4f5SioIMBZIgYRNhAR
OfOvCHZN4B815L21Km82pB2Day1Jkqo2ZdvuF+NWGqHODK+TJERKRZA0/u+YZc4S0wjaJemIYyM4
qGD1YBAqjRe4QhJfK1/6BiW6X4NfnkqplF1OdRTFMOK5ZwTFNobKYS0fg8tTsZhgxg2FY7HdnqPC
YU4+F+nisSqbZanFsUxbllqCCwSbuK/Ncp7r7fxErf+4csm4n+YEvRg9cwJyrZQUpY7fVesGrpKw
0z+MwgkxhrvuNJDZMnZUbOscNULvtjD6irRKdHZrPbqX3qjkXyTPoDGXQ4fM/J0ZjEJISH2qp21P
fUwDkg7IgpA7dwtj43d2eMwRurhkDixcnInKZCO7EItPzcotQHZShlrv2ikfm1VlqD9Db/5lquwN
keBgmDiryCG37FQzjYDwEqX44FJtfOe3hvY8kfRcG4ljHkFNac9h7biw3Qc+itMlVGGqOaxtkX21
kHw9Wkb1rZpVl+OqsIFpDACBdfVxFnlY2ZiBZh6jtv0mR53I2crYiNKdf8aKNZfpsifX1QqlPsLS
lZ7HZKioX2c/pfF7uDdrADPS1mtUa7ae7+3nqlDuSup0t1PbozY3BuV6bDLtNMsmbQA4FUJOcCUN
71zCX8D1cQqy/mdPhryLNpLoY16o9QH0Tn3SVYglf6sNSslBOSyi4kxaJDxLUytVCZuM1Jmt5oKC
/5c+oQyubSrnlFEHeoxk4bsZo1aeLdsJzrcFpGdZZc6hu978/jGmviFRPgfp2orK76RSyycyUNWT
oqSfyfX3F1OMNNUaD0AmkbISEWWlV09F1G2gPp8fZLxWzQgRj5RISadi2c2j3nJ1L6bLSb6fagCO
0Pq+fYCbZtcst6jtN8pyPXBVsrITrzjLYFAE81GfqBSSn49ChHqcXNKSEFc7vfHWNbVxdRTgsXLo
BJAqzy1VOXJYeU6zUs3EueaBor79nNP3mnFVMnjG/coz3pY5bGLjB11H7S+E0zJy0q8ZGJz7QjSk
MLX7UM+s7SjUSxebdGRmgU5CgsqPHMpGhoRm9DSCTjwtJtmjZnS0uZxZ1iF36J78HMrf3x93i9Sp
NfdHD6yr+BFkMzomDOp5uB98pT1bnD1L2Ab09qyP9cEegungam0LPS2mVLcNqlbkWHal9TZHTrcb
kohAcatmG87gn7u2+MeEQqXmM4mUg9ZxhJBN2gc+qCsxblRFvxkpd/npXgL/ss1iRmd33s/J0m0a
qb7XwOX/vbSVem6Gtucfy5aUvhyMCf5GeEHSTYLizEet8wbetCYinXZQfNTcF0iRnVeIzuprEyMZ
6Ixp/jH3p3LrBpSXc8SG6LlWV06hahtPIPORgs7PlkBuyp60zQDRgRULj2yK3z05hCYNt2el0PIM
4sVbDEeVPfMFXuruQQuz/kHXLH8zDCjeLDZbrYJrU/p7aRoouoRlVlC6GpM7HqVRNjHEEHsbQIfg
ue4elsZ+ilu/eACd6XBUtCjiLJraA3DPB1axrV4zCzQbJaabGHrNQ0m2+rVr+A01sYXksFBipv6X
6mq/a8+mGA4tCFYqhP2L9Npu+GWYvOlOTgUBe5/VevUgfa5Z7jvTTj9IX6S0KxA46bPmad7LgPww
DC+erTxHMOU9ANhszoUPIlWMMqgNbr3OSxEh0PrmKB2jFdQPXu12B5i02I+I4MXRhcpR1cwOwQvC
ZCw4tmDXBQBTlli5OiJyVRKGt9k3X1gDx1AMbasEgb/zhhAegjQo7mWjWkhDzS0CunKIoPFPR1M2
UNOoarBbgnPhRXJi2IRJCfXc71WSUSvug1D3tkNXIhD02yFnWAO3drHiQMZkKjsbpu0jn2Mfcw3V
GMFLqQqpPWS50AqWtJbLeHEjXAjhpRxPbVsdGpPi5TCZ9wX5f1iegv7BN3S+b6JnJNcYDcB7cso/
LbFfDOLWh38gGSAcfdnWVDAAJuW2eOsrKXX6sQdPIAS0x8FrnYdJNFTlogJcczuWapHzEGaW82Bp
vrNvx8RZLTZTU7QLFU5naZJTZSw0Nqs210MwiqwmnVoQRLePWWzLx3g9Fcc93DRnL3T6I4XZFKen
5fxms+XeZGbHfaQYurBRUbZvPo690jwlprMPVH0Ga9IH5xSE6TqSQ9NJtmkXNAfpjarxS+yLVD3o
nJeKb6+MglsF4nsOhIhWsHTVaPkOWo5oL4dzXIGi1ELvKodaDeJTyd9yI+zueFOlt0nos8A8DFPD
VkaVhqWs6ho8vxzmDoSdOoLbZsXX1i4LlBagAzo2pZPveegaTyQbeJJDJPBfZEO/DSH+VzgCx7WD
Xvf9X7EmPAFosRCbp6i8s33cULzrbVp1Ns69aGRPNhFSVGenCv0KDnQ8CnCrVW8kLYSbDJO6+WB4
bfw2JK0XP5d5176Vavdd66Kd61TVYzmo+jNl6cAj64adYhQazyNoj01gDf5eeiOT8z6qJQYADIIn
lL/PiQ9MKhHBNXeID5SAn6RTzo+rb6nLaUhawjL+FNQKDNciWikh9p8hllctS92k/Kl9kA3FV6oV
fhisvvxAMefMXZIK2eXsJ+naTTmu5qYJMerv+LYv9kZoWXe6o3/3MwTJxkFL74eCJyXbSdjxQSPe
d6KRjjHP7WMwZi+tXf0yiQl57pbX2o7Xt/jODk5xOF87SVEqyOdlb2naf9imzPq/xS3T4pjvf6G0
48ZMgwSstA/jzmRSMSxqTvUm1GEMopG9viRPspLjv9xgQaNDGPkXab+tIKf8FbfY3sWUcHXs+Hv4
rqmVziaDD373ScsU2fv7p8lN7oZGtnWr/xkoV1zWlnFGqFjbiqcKTN1oBKwHF1ZpvrVJubMEt7Qc
Q20SAR4G0LjYhtFAw+jdWEzspFHOWZradeJTWQ7KI8BB66lv8m9KYQ0XOeLKVd9xNrM2Pd+bJ4RD
DlFSjJe8czVUcqjUmOxYR9801++lTTZ9bkFy6erFVg5LZQa7W/XzkTtbvv9dHb6Cho6oUNM6tAKL
fGd6U3dNksajTiUKTopgfmVRLq4BCIVzHYBBD8J72bN03jaF1sGO/KcDlTFuj33rTdrtOYuhoRAh
WvqjGUgkyTWywg0hhxh1HnOKjYIstaG3hWVsPZEw8L+lCJOcszYtzs4YP0amle3j3yZpr+w6LFd/
d0cq2rHyi77Nlv53Qb9Xk7b/vWTpe79Wb8tgD8jJ3WqDl1+bNOohWqDSoKTGZBXZffg9B+ZJEdEP
/mU+GnBjvc1a0W58zU3viwImQcj99MNkV9q9zR5tY/dduaZ03yP50M6X0ASevatDSomcxhk374yy
KxsjAKDet4YPXAvMNthufb4s7gmK+27V+fya0E3+sjgi6GGRXEPzUs2KD7xteRxDRypHVEqY56aY
P8mRbIbSFF+aod7qzVR8kDY1ggimnl3+uDH5iGaTqo220mcKE/Qn+n5WjG692LKsdVdTD1h9WWhM
vvoa2uW3VSkHO1EmF6/kGtKWe3DL+ukY76SNzVG0rvSoPcAzcl+UExIfyCx96D17vMKbeY3FiDL5
6sMEC/8O0rR5I4ey4Q7/O0D5mNtJwtLG8u59Mt5ykjS1VFvvYTbo1zXE0NQJjxNIMh9pxrHU71PQ
8WY5R3etGEm7Htrmmb3DSY5cdTZBKepTtXeQ3FpJ461pVP3e15EKMzqY5qQtHFTjzpziVZPV8db2
lOouKi2ys1DzHlJHM+74/3YBPDvaS2+TQFF7M/xvKrV1BhkKxdy9ecrNqPgSVhSuurBSQXakKNtk
rpyLCUPJyWtUc+9wKfLQUw+5gYJFfbOK6CsZrvqHE+9R1Ah2PGfqvUP13EPn6fa6qAJsdtd5q4K9
+aVrvZP02koC43068RVHa9Q+qGAhjykSNxtDr+0LZfPfoVQIKaDQkPQWpqVZbDYc7YdC7ag3J0La
lXEqe7isf02jdvP/z3L/+lRpEz8h5y59G4CUr0X6shVNJzKvsqHYaBMD+L0sJhkR6JO263SVf1AR
K21yvhxSCPoBvLt1lKNlXapkcrhA9gXlUqcOWLmQWc6eqz6lWNT5DJW9d9+QYZuavDoUuhrd5UNL
9a9l2I/cBqE85fmQK6FDukIWw/o8Wt3TkPANVsZmbQ3kODnln2/8qu+oVmV38jJ9W1cmpTKCWVU3
LBrZE40MmQU7ayduraM5+zHr5XTPEw2a6zHsv1Kscqooq3wLIDfaU1/eH6rIj5GxUb9afMcOuetA
v1M4xetIAdLec+dpK4fN2PZbhJryvRz68xBvVMuIj3Lo6YL8CqGL88Sj8jWAyYpyI6i3KlVVrug/
g2vOoV+rVFd/GbX857AW961y6CWeDxVZ/9Mrh9lDaW6nQP3ez7MH86utojqUmmB92zwBHT1wgrE1
FEv4n9lkSq9e5Ug2WZgJIgv9ezwYebYdnaNuc9HPtYFBOYxq3Hpis05hTDWQBKLQTDpMPTdvXv7U
TEqURHRaW/q21Ae4Z3+7vcoyyo1c8bYslbWrKfeVbYtUzLpP++JkJRk6gcjFbmbw519VCxIG3fus
zIO1nbUwOnW1mz8ZifEVEc9sXwYBOJ0uKK6ycf2xvQzuvRxMTVV1m8VpKIG2tmoklsauGg4QGr76
eUUxoVfrK093lLtWCIaQDQju8xS2JUsz3tnLKg/M1eBCPhm1HfcGhMlZMND2x7lH6ZL0Rfyp0+Go
tC33SzsEvOiSEp74nrqMbmh7OCMK7ws0QV+0sq+fTGNKTmyVtC0Uz8OXhO1xanhfTG7qyNSWKlhY
Xftgzu53OY9zAK9vyk4eRyoeyUd0Ju/dyLpRkqnjk6nZ2mcqStHuBCJylEdH2WQchUKn5DUlTpOy
iSrKPtW2QiA8d1yYhsvZuZaevZGHUDcWcm15sNb8Vr1vkli9Lxr/Ux0F2lGOZCOdceKvBmrjrovd
0HXz0pXGXCFVqTbeqz0b89X2o2nVq4gKzpDMbT19dPdymCnWS68Xa9RY0cQQtDWmFof81vTwInvJ
HGbNSnaDwE2a1eJS3ZZDS62BDGfKu8CfXWT/VmZre7A5zuMlFk3ALUy+qY3ho1PY3V46UN/ykT6J
ijfbzKk4LOuw4d96AD0ku6Gg3YmFqIV44VxujWDyuY1vQR0pNw2tLwixBGZaoqIb+Nw0jp+hg8Yo
vNQKV8Xouc76oRXaPQ1wed7qsXFoM11/UXv/pxfqu/g0DSjDsU9wV9TSBV9nJ9nXsWn+gGH/2MQd
l3yQNHB89I924xQP8iI/1at5pQZ5eJbDQAvDbaVCTeYmzkszzugjJfNn23fLXdqOXD56Tv1R2ItK
nz5TMgstK19h0jvrCoTUqVDH6KPpJpAZe81zN8ECmUX9d2l2syHcl8a4srKDzRntBHM3TM2iZ/45
nJRxEPKFuG/dW3gI3ArpcMhzf8/5a51btIa8QL5a1gw859GhDmJf585wUYJiQPAeKStr0O47tMxN
xHyxSW+ijsNFNkWdPytj4OyTJrb9q7RBDQKGRi/rlZwByCTielqsWuVzctDI/5SIv6L1TU1SmQ67
5HcxF/+AzrySXiuKPxWN2h3mVtOpahAzorAlE1TaEVV6vwNlFRiUPjYAsy8cY5MEasueDU3JJqRu
SWLslTqxdyV8ZrBd65q6CYL2R1lyla+kFTqB1L1QWfFL7J3/V2Tfu+GnQwrA32yCIeMvh5s7FL8u
y8hoqRJ/E47/c/1/LbPYbvLxv2fkFswq/O3y00Tip4mEPLSMXn5WK9Q/BGZurDSlqTbcMRQPKIzl
D47ogS+ggMm+lxbZzCEqcvVgO+9CvbSdOA8dblN+rzBWU8ZjzO+2cqZc2nTV/m7iLkuazKwPUbyw
TK6RozDezbEVeCuN9+q1dIetJodyXlamBelM1dypAWXjlPn13SUCEbr8ZPLTqfd1eODP/X5xeG3X
nxsuHW8/hqkKETBlg5Cz85hx7dR5XJTqVuU+po1nXsG9nKRPFaZicCDqMCZ2R2IoHW3ZDdta87yN
HrMPX3OC81cNfqEG7dxi+Ee9tyHvuchVeCp0j6jZLH6wf+0RVper4yYHN+qsu9YqUt6vGSlQrVGB
6MBscBfPpnUne25QG8egbZ9ucXJKMKT/5X4+HzL+M7j4ZobDn8ShbYxoZYtVZdyylMCFTk5ZnG4f
qcGVEVGVtRlEtnHou4ASvLI8yCFa5wgBW5QiyaGbQfVRd08IBrhn9CWcW/PXUDqkrffiaFdOYQzz
INg/Ix7SFfo29SMac/VjFJPzMkudiq9hqvk101Bn8t4mg3kLtpt0gK1DDmWcnNvG7D1MLphvc/9a
r2nCdl821GJrqJ6fzaL/2Xidcx7YNFACD9MSxVS/HEKyvEIIATpOK26Kegd3OZwT0AxWWhVs5Arv
unJZGS09Pgwi/KEhjTSriEchvokkZpmhCd/G3oWSaS7ZBgu19HLI1M1tTBWqe7lFTV4Ag4Udfn3n
seSkQsyH9ZzjN3WCbMNT9itm7SvnmapC9lc0VlIqyDCT9YPQR9dOyVhGl4g6V9jnjVOcpbuAO85D
7FBWNZeVdSJnax8Cc/igGANV1rAir4y5b3ccoKbPCbcI1J9OH/UATgS+Ie2uTvubPbfr+WYfMv2d
XcbPwElu8WbaKVdUFaFkGaFPGqrqrhbqumnC8bgtp+g0C+3dwUFaQENAb9cIsV2Dg8uBv6hwI70B
1KwX3054QYm5VT7ZD6oSHToRi/SBe3ID/xUK0/mxsXtj1dSw9sAFh4yDZXwxtA55jKCPoDM3KXHV
G32Vxl5y10dl+oTi0n0Fm/gnYFb5zg4aBYI1r/zkUcnM/VFJsR8a7ST8UU3MrpRo1leoqxEQqhAB
Gtz6ZgrsEIIiMvn1VasV7tIy4NkyWMZIhxzKpnSoY/cDFHmCUHC+LIGypwhK52L4tiwvzXKRxTaE
0efO+ZSOxbyrjSbQdtVsU7SocFzbIERarXmONmyjhMuKk+oydgZP8cyL0x0XSNnq/zELLFV8Mjxj
c1tErncLMpP+TVOM+hAbcXS3NHYBinqY1osFeqToDh5LtBLmyHrmSjI4StsSIntN6c5rX9OUzeLQ
Jpdp3JoGe6vPqDsUH3Yzym5Rg+yAvWljpOb7n8JwuIrryu6LWyfDKfCn/uSpzs9G2uRQOpbhu5C4
UtLVu/HvZZTZN9c+slpr6V0m/8+1HPHBSluGBzSbj1B7zPtodMJVLSi0Wpj9oQJwy02peMY5Dz2o
tyTVVgJp1DUhv7OerIjLXr+eVFQumaMW/KNMs36WIdAPRDArIcAUBKV1GFPHYfdYK5+GQTtSOQcb
txqOJL8Ed7mwV3P13Uhg6ojiUL8rW/PUhN1uUPpT3FjF1zBzG96ShvISxWa1GRtleLBVK9o7cGuc
XaQn1l06lUjb6ZDft+2XrHHiF6NUnIeCQuIcurcXn3zMcxGcpEs2UD8AaVYbdAOJZl/x2DTmCs3d
bxVawc+JofP+NJS1HFmIGT07I39kbtJtJvbaG8dY2UqUPAVh1z8lYxZv3Mxv92lm909qUcRXnoCv
0imbMfA/u+wWL3IEHYezb0xqN2OVa6E1i7liMc8Jfy42N2m35yL4OnUtCb+5YA8jSHx6GLLBnIgh
zCdbp9X3VQobUBQpAy/hX0o8UhhHSxuInS3wpYujasovyLw4UCxzC6BkIVmmMXmQSCtQhvdVmyUP
EoQlfI0YSV8Qx/eNmqqrqWXX4VhtSbowUVdg9csPTmEWH9hLUyyRz/leDqXDKKgTjmPnTpoaq68v
eus83+LFpEARcqkBh5506uN0PZjt19gLurMMIZPh3rezvV4maGq7VnlIXhrNXCUOm+CkjHoLquDU
P3qZch/XgcJhCeDnHZJl/V02NOT/1ZSiFR8qz73hULOARlG9933N4JfoN+vKCkmRiZdpqidwG8fI
/oiRbKSzEBFL2P+7bepR4RsbinsTZVvYLuyEnKld6Ea2U5y553EMq3s0Sqo1Kq3Zt/97RMYa459r
dFqFJolRBIcqSdunZlI++vyMl0KM6rwLD/MwamtFMZsnoxjbpyT9qJtp8kFaLDRGUDK0hp30RZPn
3JkjPElB0z6msQ6suTLvOJuizJ31/deBV3ZoKfHH1vGMXeMZ0bFIVPuu42FgD65/rnnN1ZTr0h1n
T9m6JQBIVN9d6DBnxJbmVn+ZoF66DfXe1l+63nfeDRevDP7X3Jy7vwOct9mstxfZeCrMB7x0C6gc
f9lkT+1gvOAq2CcLkguA55Qhq6vCLLm5GTuBJo0755DZxnyaS9ixJSl7hwIS7yTnuddm5TD1HVD9
XI8+qZWxhvQz/ApwEjhY5L7oToxEYgkGJ+khdjWiO2tQ9LsEBhmKm/gzuWRBub057bh1jnagvoWU
NJDq8V+LhkeEZ8/dvkfAZlN4s/FchWZzJv3Rr+RQhxz8IWoSRHpqpVsbxpuml92T9NUQLCRKFd7J
kVZO5dpFFohH+QMcOO55SpRkDQAAeZHJnq59NRtr5JbCr47h7NgpWW99W8IqosOQZU9K+FoKQTAR
IGcmQpikHmF0kjPZWkdf58ra5ZNjvQ3DUO77ZBsGUH/PIIbr/6IKncOp1ZRXux++1lad3MuRqr82
Xau+AKnrHkmuXdO0QPm788lk6mmwlkM9H7I9UGB7C07vY0Z9/LGq7XwGZa/MhxLUtZ5yNaSKxgpH
OKd+98YMpgwOA8NOOmSjlal9i3Mg/DhDGrZe5qcNSRTkj7oGBgg/3Dk5Klqj23EyrqfkzutUnSdm
qn2AqXlYJ2Xj8kufg1Xj1CZ0XMa4Lt2gONtdVbm3buaXxVlzLa6gnRJGRuVbZ8DOzYVbgdTQCAx8
4i1VGAOyOF07POm+0AzPzPhb6vtrrh67H1ncP5iQUX2aJ/5gTKMqH1ovKQ/9YHNHqGX6nRFX6ibU
SNjD2f1FTprcYwkL0XfHGrJVqOb1S94jtF47fr+qAxTAyQ/2MIryN9dMZn1oE7t75k5CaI2BbZfe
uggDkjzmN+l0isB74hcjXbJB7vwV/W7vKkeG3bhrwx1AnImloS7+51rSWSmz++daEYInpqF5V1NM
lmvF+nOQZuZGXrv1VpeibhS1P+/r3o37UXHXWQfjUCP21q0O98cMH8wBrgjrOdViZ1f1ebJtxV67
j2uobxWewL0YqqMx33FrTd6XkaKV+tOYPMqJcjHHKo8oeAy88/AjEFRRrZV5Z7mWaoz//qTgpQwi
Xj1G4N+aQG8toKNhEu26vulW0uP11U+3HN5i1KzRjuA8jsvkuORkEcAftNImg8doDcbtrNtomwFj
JReY8nwVJl/QnquhNkXIMtG9RWcR4FpFi08zFHmqq32y1BCYcdv5uyEops/GDPfUL3NXwbQrzarz
T/Mf0XKRXNzp/REtzWEc/+cVcBuPqtsfODlZ+wQ2+mdzCr71dj19gyTkgwIB0aupxxbFVZZK5WbN
8aeb55WMgGZxN/Qe1Zx+WAJo796MWBvXBhn4K7tJmFdVpS2uctyBGx8EL5Q3fGNrjWxXYf7Ig/IO
XRn306DXqB1V3Go73Kfua3h2Tk7TKZe+9/TtXAzNM8TmA7xyzfitqA3x4DF/cDG0h3V41eXe/NwD
bIGfRAXjJX5rVg3c4x92NNSurVmqz4ELF+xgWT/jI4SilvjFLuJ7Ee87xMv15S/0z/jlcwPW+Ste
/jx/xv9jffnz1+Lnd6ZiO5JAeTY863todMO3DhboOUnRh3FXVNJFEP5b+YErA/0b+un/jbHpnCC5
7dlwWtYB9qB457v+9Bm+NqjYauXN0eE8roQd8eLpM4w8a/O3PafQ7mYX8bNr9gduT9pVhuDKuTGT
ul6lmWKfq8FwEPDo9Y30yEY6lqHs1Y3BlL/cRdydunAcD4t90gaLm7JQfULWGV6mLNE/lX3z4pJV
/QHfbqY48I1183AY0ahZj9Cw7NLSq6H2o0FPq77IoezJRhlIlwdm28CEwitJoUSrnNurbJLSa6+R
aOTQt0ZrDcVLu1lstdlxjy3HgTLHO8MM5pWcJ6dIx1TCKktNZw29v6N+6mcDqbc6eClcK7r0g6Pd
7FMMxcmY2shpqiiScDYw7/oB+pckzU6V06GinoLm2ns5wt1wtysXLnqpm3MoRZ4NwX+Xz09jxPHG
KzhuOdMT6iDzk4t2ASWlPeKLwkbZzYSwKxuOyKbMz9YfKG6bntrRgwIXWAbMx15drYPRpaIg1e+k
145EnRUosa1mhPNTBxGXOA2zmWzXhmp4H+NwetPgJfyRJg8OTIbByrbBR8yiThBa/W2Xsm/RC2AH
vdp91qlwG/Yoz4V3UECJI6YxIOULE9d4UJ0QZIAGsZtalSc5GrkauZe96r7pq/HWV3jHbiw95Xc2
AgSihp+qoSyg9LyiMvFa5+VY7Ot+Ysvc18Wa5OR4tSjbyuGCgunH6L/6TbEey8mE77ZUtoGaRadE
G+YPjRVDOQux3GFULW/rtmGzc0cUYzUlGF/bRBA+tnl41ONufJ3cWFtxAMzRYcA7VwlvFATwzCwa
USmpeGP8bhCB/DnkfBSfFK+Cjx4uoDvKoPqXxunW7EXImsQaj40kQBNHDKmzh/SuzzfxaPC/ZDiC
XbMAS8wV/NYuG/1jqQgN8Sbx7km41WcTdAnaUEpPvWQY7li8XVUt1RG56+qPsmFzf2+oGlSGAdxl
Nzu0A6ZSPjQgtx+LlMKUSJ+h3f41xYyqgXvD8ONimiHpPKgGF9rLMuRJEbbhzXib2kBMuU7nLt9o
PkLINWCcazLrxhtU/FWgtm+FpQd3LmSeK2lWEx0FDdP+qMFqSb7f3SHBDm4q4UJxo+gCrqzmxzqp
PWXTxTVnpCI3d3OvZfduEuS3JkPqBGFoKLBtoCh3BcjKvWqgw2Y13XSfBb1N9Y3mfIaieVeaQfG9
GNqPRa2Nr6ajDltFj5sLCm/DpWiLajPoXfvcV5m/IUUeHRotml+5XwBGE9QUXwza9Bq63WcFrAll
gozUwGJ/kw1PZt6azyrYKf5559ccZZ6HcPY+yKBKfGWoedBWTgTTsp53e0Udk11lwt9H7cv4YvTe
ReG9+8V24cE0RsA5UYTqJCWZ8NKNQ/ulmiihK5zUfRxhFjsPGjiACaT2l4rLN8NzyjeY99ND4ATR
vmmt9pNIGckAVHrhwJ3y/lT3uv6kR9Vrx73rPuAu4FAL4tfW07RngTjaJbUTnRD9pQgSMqs1Yl/6
11H5UenK9B+AUp5+1It/CD0nOhhlZBzcxlcf2wBub4jH5v/AD0GgpXyrAzcFd9PoD4GDbHXzfwg7
r+a4kaxN/5Uv5noRC5cwGzt7Ud6xqmhF8gYhtdjw3uPX74OsHlHSTPT0BRp5MoESyyQyz3lNZ2M5
C9Qhy+vo6M4K0vLgjZN6AvuTbsYZWvEZu505iEw7DV+oW4+YBwYab7FtmATtH/fhvbEwQsVerSyy
4eBPNqnF309lWx500xwOKjSSfx+kNopK2dnvh4OISu4CgDEAI4RUggrIzAi17uxXobgvqqG7Ru7X
yDSwVU/SIDv5o/cg+2y3EfdB0am7KgOT2kMpiJaxCMx1l1saNay57aMyu2RqzpF9Y7hrovFYONu0
ROVvLHRtN1WUpCGz26yDNSo+9QT+GwPLrr3WdQjsX+3PsoXgbXstLIcMcxbraxmTh1lPAa8C7YyR
CbeSscbTX1NNaQ63EeJVT/0DGYoJLdEO7lYO1gLvmBn/WOr2PdX76JKoLiYzgXOfGqV9n6WiOeCp
HS5k07cH/YKbIim8zpm+1lp/GHSQLoobT7tGMc0Niw71DQAi8qfKvh6UezJP3f1gl/HBEbq78D3/
T7OI5yXf7GEtHq2StUlD3WwxoKD8rMdRsqq9sub1E4wAQAne2TULFtuGsq6mlXNsA7WmYpt3F2+2
K0AidnxsW1CCo6mkr76PbbNtI1RnWagLwPO+L7w6/oaLn7/oUhNjjx5JtdipdcwgIqAZdpc+IReL
F1Yb2fctib/1OAA/hDaubZqyho0B8GBnZbpx7Fj07v2Ot9FR5zlCtZqdOfXxHfRvpiJriC9YLfJY
ZBdwP85mJqVfTI/Ym6mkRzBkG2xHoL0yaK/4J8QwDvlR2wjZNoFdfjfVcV9kswi/J2AMtxMWB2kw
LqxOs58nC3vcsK3YVPsVDGk9Xrm1X72CQMIZwsgRHzbs6rVIFuyF/NdRtfITUiLJUo5KbDjfRuJg
OzJfhOTLykkyZFH1ujuL2qv4TVsVVqil8uIELqRIl+xErnePwleW6ngKxLlLihDPmiE76Fgo/WEU
2XehiuhN1YAvhpGDr6xmUXdNkgmgrIXURepXZ2nXoyPab1tOWRgLta+7izPTyCSTVjJuwWJ2yOF3
D85Mx5WhPvZRZ0k6/eA6SfE4wV08YDLdLcoq7nYDmLgN9kjqJW7CEP0K7SxbIGUBpswHlAubbYw+
MU9I34zWpdHrC6VIrQfkWPTFOFjee9eWF1wgHH/Bo9aaBW151bswi2GOlFm4yYycJ2VvxArgqARP
Vz2yIWY09h1pKmNa+RCuWCe2p1uz7Dx90wgEmRzK0nwMUbRxYk1VD2pc47OFzOgi0b3yTh7SuXhT
8c4Pt2Cc7VCvMU+yU01N1EfIka1LgZlH4oAKaUw/OidGurEUpO9HcGD8jHPzGnWucQ3yrjxDMETV
9V+hej5rUJj0htE+fsaHWDGXVt0VGy2MfXSiMezc3W7HjAh2ZxS3W8kbYznanuqq/1OrJ7T1hyD/
SM917zQfSizahemU46NTTS5/qdkf2Nm6q77Jv7ECsHDRoITcqVlAJQyKnWx+dtyaFK9it87ufosP
ZquuInS1V3LY5yHPSWGY2VVGTCctnNUwau1SN91sPXgHVfe7B3kIHN5aT+/UvWyiVK6h+IsSz1B3
DwrfwgdkLrOt7zi4y89XyRhqmrDXtcg9yHF9A/ElnrzN7YJ5WK4H2aaevHElr+ors3uoKvUFS9L8
JEODg9dsV0dneRHYvRy3kWBXUKE4az2JuFHDudKoepKxyPIze+pvip/6G9My/ANpZe1Bm5B3lSMG
u/5Gdkt9rFWn2lei7jdeg1ewmkf7Oi+EgcmL7p3LBr5/64oTqiRIuOIlsBLmLFKFNeEKGdhqT97S
ebV4uISFbb4EoRadejBoy8KznFcjqJkK1Spil52LF+Fhf5I6wbLJQcxrmhPv69TQTuDTwm0URf0l
b5pijdqo+kC23lqadR29lGWooS+Toktvje8KhhB/1F20L2LD4NnmjNvQmzx4JRzagMnZzUad3Q3Z
eMtDWD8Z3zyROMtmcqdjGXf2c5hY66CYiKO/stUmdFNFZgxvmU5WukPW1SMTgQu5QQlkvnzMgYUF
xVBc2mKq7r2g/yovLxzdWqUCWXad6nUcpnckm4296wI1b4uhOxu2na0D3HafRKkJKKxZ+LW2cI+W
W56q34ddb/2JyMGzsOL8LczzcqnWmv6QDaO/kXfs2Xrc7mij23pW0h7zqcHKn8phEED7tfCrCLo7
PdbZRHHHDFTFd42K1/jH7D1j6IHzZoUGn0dvGScjDczHoAeG0Sf2W28AZVFQH9ibqEg/qn7CLhKB
gqlQMwy9shuKzs/M9sjM0S4lig5Ua7scs2+eU4YYUHnOstIqfee7NPsuQSyp73FNJl8Dhroxt6GC
RbjsHWJ2aAGQ7KXsNUpI7TbUQrz9xFFxdWeFZrH/LQnWPPy1b2WrNZh2pepJhHVyGRUzm6lqw9OM
MCtyfV/V1vjMXr84+HoUrCWw7Nd4OMclEO3XeMF64T/F5XhlKCoqkqnYqUnkb1JXC7CgN6LnoDOU
bRujf2B7Ufzc60pxsHTML2VvriUK+46RJ9Lc67o6bupDcjdpcxGnqb9JuIepdMmh75Ep+ER/yBj1
TsrxP9AfymAmBxmTABHZUQvqAjXgUNtA6NjFoe3OmQzKyEqkv5UOM3utW1ieFG8Njtcv1SygTxIQ
hbN5aPIh4k2bg2qUmQJzbM2zPNPnMwT9L4MyJQcZ+oznmdVs+x9XyQ4K4n9d6jXip6v0YPpeTbW5
0zUturRpbK9y6D4rUaCyLmPy4ENt2OmFi6sVJJ5LXXUtC1y4f/C8zGU3xR1/4Y9LcAfbumXrHG/j
5L08D9JkMxNXfgoqqmet7Am8QyvqUFl1Zl7tKoRuF4lbBxhuzq8Q8wry3vI+t6vnVzCLzl6lnkbe
yWjde2vSYNppQ/XdNT6KPBq+iSIzlrwN6YXSsjgEGIRtdOx2L4EWCzzSanutpC47S63LXiy1g51T
6u1umJuZqJBejp3qIHsRc+iAMgX9aVTD7EW06bsb9dYZTnf2YkZs5flVHZqAr42a8Kr1pBZvYPiQ
NwrM6BwpbvoIc+gi48LJcxAakIYnHJXe7L5Yja6VvWD7bh6LPvzrci9FYixERf1sWMl/vNwH1PJm
TfntckTYzaNvu/rSTg3QGEboLWOXbE9sjOwFnDb6UrevLqJGz01VK1c/oZCeOtGX1gicAymeBk+b
Iv4ysGvdqHYNWorPZOEqVr3VRw+HOaMKzkODO/uAPvSuHrFIUvyxWzVBIV6m0PqzSHCnKJN7qMks
sWcSBnyNRWTlZ8cwh5N02pV+vHOI7zt2HOJfFr0/QlWJZ2GfRh4Q1qrdV0n5EKFOrW7hBDQ/NfGO
afdYRT2UrZqfg7iCYei56cowTRQQ50Oatu8Jcin7sSsxDhybKL1oKI4vI9tuN7Ipx6lzRzrqFBEr
I7vdoBqqlWskoPA6Y3waPLIIkVG/4kBYUiEfxQo00pxQQHAbTe7kbuCh9iKaZBGLuHk1DUs9eIOj
LOVVvq+3y1RgEy171dcReb9XEi3hKU1wUoPj3bB6j9LVWHvFoQ5Va0VaM9h0CU9wNAY6Cx4jOzDb
vJ3mCHXXAHJP4IfIknRU/+OgTvfGLJOzYu3tLJq+4vmORtmS7GP07DQxyCy8Uj/SGqSeZ32PgCGQ
NranRyPDhnYYTP9oCvhsSEWEa8WGcy+qHL+iiXQz1XT0EcW3nlmY0qCPtCW2CdvBK+w93G3rXIdu
uXLHRH+tdHGRL2SGwS6GC4k1HA/SQp2AGuRedJFnVl1+V5TAphD4S7ysGhcDe9zFU1Kfu0Fhw9mp
ojt1Vt2f5FmbRX+d2b1QjmoIVJwBn+HfhuKO3t96227WVbEKEpMxZbO4DdKdi5XVrWzW8wHdlXr0
KjuLGS6Sh4sxcZInWfyyFfMrS6XsTnbhH5CtdPwttrKTJUhyu1cZusohHSgnB7HuXzGxEyuMmoA2
hbDZZcybz8i7rxVVp1yMS+EtXnp6veuo3i7kiM8LkhBpKdceSlCa/7pJmPJPcUJEfuaXkXF5Vdw5
5sqNsSOXHT/dnRc0L2GkFvdsJdrnOnPuwrEDCTK3HC19VtTQPcuWXeffvXTW5BjT7tnG0R2vyWI6
iblZgGdelKbTA53gShXRmqXuu92hrafuOe6CcZnik7eX15LxxloyMqedvHZQmbDHPjC3t3+DhsKI
1+GaIK91KHJtWkNNNrK3jz0B9HH21yux4KxSCwvFri9ePCvaTapuv1umYq0SwA+Qh4LiCf7g9RZH
lWMVs58/qUPWPDim/lXG5X3CsUad022mq5XBve6ayXkfWlNjtm2qSxDG7tnShUUaQkNDsEmHVT1g
K1k6QX+FhdlflZmeX/GYnFQXyNmPuNBFsKJwKVihMUJ2+ELDrCJDgWUO+YWquAi7jpcMs5KjjKVm
HC2YMcWq3DcR4G+NVfy6dPVxH1PYfOrz6b6penyCGnKBo113T5YNGRGHgFM/t26hADWTCv1Y2Yrg
q+FlnvRH2Ry9KFv7STBuvBgMotO21iaTzB018NpFMZ9iHr8xqy6YlzDE2pndo4HrLVZNFADCmXG4
2hRvU3c6ZIWtvDVMqSJlRc7WeofIKN8uEJFvTeruMFHLn3lI1EcUYmeHXeJoBP0x4nqjao+iz/Jg
NV6DstSOIcvsowFPxmnJkOtM2gvRD9VDpmTuLhijYTtEyfiU6sMfpP6tPyKLeQS9hC95YSYbB+TF
gWR6eEUCFzkZK7b+cLIHSx3ab42Oxa/tWcnZ1QAF1DWoV8VOzSPaCPXCY93DNEdTHry4N49zYga4
/xz86dSVUaMt0w31YTQf5/5GaPHSnbeaLO+XGBJ4J/LXprPqbTVchYpir9q0sc84eLfseSJ+LUFR
7jrDsMHX0OGLGsBoJwZIikzWOxmkouXcukUQQDZxrW4xoNS1ajX0TlTDmh7wzhXb2VgKC6+xSZmN
hw/MXSpsGqLpwXfZcCKycpYteQHVQ3U1zFtVVSnalIVtuyyTurrKIR7PsP2Ua9bCQA34QcwHX0d8
w89idy+bRucn50DdwXi+QrknrV+9CNQX/AXE+QeVf/Jb4Mcxdklh/qjCXVmrKRYDBaose9ubgj27
Jf+cuCF+SOReHgO/VBb88Jv3rkz+uqNODeRfd6zRzdq6U6ausQrVd6YWo2lRVd4rQswflWVU1wAm
AXaP7osMj4ZKeiWd3K0zjypsYyv0UHtitz1h+q4LPmviHfq4qwEs9wFnqvo1S1fy/2Fy6gfLYMsL
nc7OC7jYyfBzE3dLZUERylqm44TRUm9Wp0iBcLoZ59NutgKSh1orbbxDGFMggNIsZPBzjIFy71YU
qboMM9KO0hlY08dd1lCoivhNLgQYzefRTnTqQBM8YD/3133VOC+NNX+D8i8Yi7lnvw//vLUAbe5q
VnurwGzzL2OZNkytXrb3PSVcOZ7XbZQS3LXu4tSVdjypvL7b8pXNXzNET9o5cWtCgVnFRYz9J0K0
98K34wXWZtPXFiQpT7A0udfjOKF86sNW/CHVKM+k4OJNlfHWw0abVa63+RzXRX26DK3UWGZ48/Vt
1l/H+ZCUDnl0v/hoUzRAZEvGDT+ERVqOrEXRX74Nc5OqvBTiVY76DDcjCxyh5+nus6MsSGBFNgBG
eTf5erXaaeBdjSz+WvT+2mRqOCf1gM9VO4YPGViepW6BQh0rAAx9kJfvmta8YHoZfmQG1VC9ZdZ1
tW3WagVbQNM/6E6NqZQiPowxMF7dcgzI4KTDk97HwyorSvPaIQGz0euovmt1GCV6b86Ezr5bfeLl
u2Bol07hQtGjYEaFpQ/qO9ldwwfFGab/qNkgbkvSwUjx5DE2cfn91Fr46GjAuDKlIPce65i/YTTJ
px02hxY83ivMPDk8Is+yj7s6WFZ1n++YpZBdrCNzFcwTrjw0TVQEt3YsqqxaGDVM8n/8z//+f//3
j+H/+B/5lVSKn2f/k7XpNQ+zpv7nPyznH/9T3ML77//8h2lrrDapD7uG6uq20EyV/j++PoSADv/5
D+1/OayMew9H22+JxupmyJif5EE4SCvqSr3382q4U4Rh9ist14Y7LY/OtZs1+8+xMq4W+jNfVHL3
jsfnIkoV4tlgP+GJkuwoICcr2Ww1oR8rzHd4y+kFmeBdDC86yVZfe/YTtHfwRrdeg5UlkpcX2ZHr
A9SqMkfXzEGoy+ySddsYxavvhM7emZJmJZtoDWbLykmj02AWxWu7AlGdvsYGxaBk0pKlHKTGXbdy
SYXuzSx8zpzsPDVDddVMr9i5ft4tNCOHPi6DWelAVwu8k2yRUq2ulaaM66x245VTptU1t7uvf/+5
yPf998/FQebTcUxNd2xb//VzGQvUUEjNNt8alHPA1OX3xVh1972SP0tTeCMDU5RNwtpIi/moU1/k
KHYTCZtpdgS+ln0UM2dGHkSntXj6xB9A86p7PnLiUdwefowSc6bkR0j1LRNVXrVdFn40vCToVkwe
5QLZAhsMGSV8CZqkfcgmBzIvY3zFq8+RMMmKXP/Lm2H8/iU1DF3VTFdTDVODh2f++mYMlZc2fm+L
r4PnrY1ZDVubD+yfWhZvnAkkijwQBv8Kls4QrCqKHD/F5OiWGv8xzhUTzvh8tWzLs2BAHFidUlKI
k4FAVNNuyGEkLASs+FwFSXI7dEMWoXouA5BjVRU5BUbJtl+5YMP97iivkfHbEArBz6iS+Ogi1Jq6
yEUGK8HArvTv3yfL/v19Yq/m6LprOJquOYY6/9h/+jHrgEOnji31t6mqm41mtunGZA29J92bPEd9
fnHMSP2aOSmFqFaE5P2D6BK4ibKQHYVjPqNB7D1Cy44OXeqO63gosSOsmkdMWrH2nJLgoWuiZH9r
BnOJRdZZVBLX21aJMOgJkhau6o8eWYsZ0b2PeyzdPisz8kxXDPvu81p51edNfxrM9fJ15YjPuDcA
+0VikXkByMuxyEb/aMPIz2/twMDuk3drK3utecjnOIQEg9sVrrziszuJ0sxa9obu/5fZVtfn6fTX
n7Vr2JohdHtOMjiG9esnVKtaje47JPhOCctNn6ouLkvoJDkuxFPSMezfsZA7R17VnYrGRcygy5tX
u9bDo5F02X0oouxeS3BJTXrX3MvY7dDBkPGDAuPWeZyMIQKckuPp2q1stqOV3feF7pBsTprNKF/c
8wqK33nZraHOeMiFQOeOTSNrFkOloF9txJyWMA9IJTv1Mra14uQmBXyhn04bhJl30eRdPbWGFRBl
vON9InbMYdZpGsp4O/RGeMmjRF8Dr+3vI2aOFYaV8ZPfkcojm+G9KEUPFW+YlLckCL4pKiB9RXdO
6HJPT3DWHipTa3YTADLSwW181ckJX+UZnKLv3AAFyx+hvEEMMmrSF9OdBud2QVH6MFhT8LOf1zcd
9EuPdGWoMGvlszDeZOVl/JX0EwRuGzEqXy3tpSl6/JB1AT16PovtCUl7eVpPoXsLyiaAfPPQ/Cli
auT+Ekx7PKdNk7XbBEC95cGPd6YzKnuKwDFK30ptLDUnwCoBsYETVgHeKVGa7kheHqEAWjJu+RV7
jZ9OAX+vUa2fDp9jcpfF7Uq2Ld36Fpl+vfXyZh+qRfAcqG2xEtQoTvlkOmeXOvrSmIsCbTobbybi
lUdxvqHKau4xLqeO7LXUdStrvNEZJINh8HysDB0orzPhYexc8tE1sCzZCUg5uvQVugjCm4qlWaXj
YlQjbMLmwUbjUo7OwnfbsJvT5PbqGVTpX4csw6iHnIC9ZT8/6Yu6S9VzpAFfRN5+I8dZ2oc6NsHF
bmLnbsywsB88K3h3e9gx8SjYlnW1uNoDenduboTvVZdD0PKcBByRqTxSjjubnec9k7vqFm50oJY2
nhWvUv11h8cm5V/gdm5ZXAwFfgXSvViMp1N5lLEMzCuaoFpxIaPz3BdobFTs1P01W2ESYGBgdyNi
zv66ECxulQz8iLxOXiLP3CCCcJTw13zea3IQzk/4sayTIOGNjcDgrc3JC1Y224q11uiscFDXP8MG
yY/Cq6xLbevWZYxAHf79k0MuJ36ZlwzLNlxHWI6r6aYjl4k/PTlEGeFurFjFV8WMsqVNVmiblwXe
ogCZ3jqBgh26di+547RH8snoF8xxJ0IpUS3EdEkmxbv6wvzeF9aITy37F5YT9UHog/olKouFjAee
Ee7IhhYb2dQyLEJBcDyRtTNOZjBUt9uWWsGCvFHT8ySCdJPoWo/xQhJudMd3mFNi+0uPvFE8g2J/
i6f+0iza/N0fY2fdYwy0T9Bd/BKq+Q1gHKFVeovjZt5+ScgnS6Dvb+Mz4hIw7IZKhI7DMayc/HGu
S66KLDQ3sqmMTX6BlbqLyXcVCC/rMLyDLt9HbV48YpBNhaWpP8ZR0dZ//2k5//ac5xliUwgTfF5C
p4zx61OkKmvDoYoZfO2CFidoLf8yWbV3H6Wlfe7zql80ou3fhjYAP+C7FmxlR3tGI2eDJXb/Jroh
2TqtHm6FmTbrOgDpYoAvOWrzwaGydpRNeSZjgdCp1dj2IdLj7MpzHEkXlQVXiRfyFbFA7GIHfjR9
qRYnTxv7U4FZxnMziktQRdMFUaL82dXFB/WO5k62gjlJ2RRBfZTNtA37ZeXa/b6aryx9tmr+ZNhb
2RuCG18baVVvfFdPD8EMOQMD2Z66mU9kzdrx7bKp+/oEag+opYzIvs9RZa8jI+6wW8hqlKbaqP/O
ZGbN9b1Ut6iPkdt8YH4udnFUk0xJVFIYscpQI+7moXXj72wPcmbtjvadjZTbtBBmbt/llXmucjHu
y7lD9sq41lj2f/ng5Qf7889UJ0cpNNU2VJPNmvb7Aq9HirrrXd94H3W/WuVWAaJWKP3tEPOFR43E
fcmryNqwpYjurNKx7tMJ4V0bgUXZog6eXERnAgdlCzybSnXr3DPDRVaDqxl7pMzkAa2o7OzYzGl+
YyossvAcd1CdItUynDuWevu//1Kbvy/ydWGofJ0NFSasYRjab0uj2BSlY2iR9m5r3pcaUvNdwyzz
02HoUeeD76ixQJnsRYq49B2okX5lZp57LVM938Rs7zFSQoNUZLl3KJ3QOqhAaHZdMk13XjdUmwJr
5iv0s37RG2NzLEKNXLxZ1DtA16CEkmnteKm3N8HvHeRZoUbd7Sz7cfafej9jn+MorMX/Zar+tx+/
LlxLdzTTMYQ7b95/2wyxMJnYs4/Ve5SmH1l2IT3v3Q1RZJ3DGcsj8TlCT+MVikdi9RmTZ3Hr6CcN
g63bBSUaNQt5Gk0ziNgox428gRwsO1CymbMf3nGkaD3+BfXuUBgogzFAa8Xp727wb3mqDvUs1TQm
654cKLgDCKM6gB64YXp9saWOyRyzw1a7uw0B9XVrGvMQH82VBVqzIzKwdXat6vRJd4R5kGZDOBFn
V18VzU4gogsBi6Y8yLF5Gt/GpuD9nYUog3bnK8Omj/Qauq/Taot2KO9AyjvvgZpgT+8AxiNDYrOJ
Fa9m47vvVm83S5gLqItovXOtEsRY9bkDsSHSwXmQXUDW+Jdi8hDdnDuykbVL442YgYsgv2sHdU4P
0RFNxRcTQOTf/0xs+Tv4ZQ6w2A27AFtt2wGEaPyeGUCyMtHQsn23BpDjZR2S/MJdYB0pvf1Sml6/
EnVt7YK5qfRguFWjye5kL49u3HvJCo+FEE8ZSycZHi2wUzzcvqEGar+0GvgPJzfVpex0dWxYPH4q
HOZeJ78P+v4Jd6LyLEph3wk/1JctysrfgLnDqDLG16kuQP3hmrLPQr94qpTqixzQKVm9sNqxuUfu
MT4G/pSsE29QvjbhQg7I9cxdFW4wHr0ic/GJ93j0z7fGT++J9a31xCrG2A2GghuZJF46qUXaz+/5
fJE52qpaVN+P8wH6z1+xKjOre3lAKuXnmBz8ea0SdfVt3GdMj1BKYk3xy71+v39pgwpim6RTPX+0
bfUcwAl5SwzsheJyyPZ5rdivfYRufG2/dQ0cuqRTK9SaPOvNLrEDh7LIwrQDV4LBCCJnxKFXQk2o
M+vaZQOa1wnUUNct911B4Q+hkISfieFjFw3dP4I+V439kYVHH7y4efPo6GBf9Lx+cSEI3E1m4zwC
ZzPWvYu4W4gb8ePoVx02d/geRUhXLFm4gDAf2oscO0w4eCWV4sFaZayvUQyr8ilZyN7bIW+WphtN
9wkbopMYNGOr/xBKkXonv8mffIqsYKQ9bbFivn6G5AW/Xf9b87fbtTD6VqXQrYW8VsqsfN4vxXLs
oBZYGuV2s+763LiKQmsocPCyxnw2zDHZqxaufjv7+3E5muEbV6XG5s0Yd0vC3eWpn3vPRmuZtw5y
09rJlQh52evMo+VZMfiAUxgXUyOaDEgQE2sxUNRqdC8PudcgZuCF6XJG09xijTCnvZ3NcOF5XDsf
1KaF3xLrl89LI7tVzvrULvto1NeoGz2bjjve2+pUL7W+q7eyKQ9DprWLvnPSfdcU072MaSnwYAXS
k2zJeDG6+9wpxrvPUCsi9PPb6JoZormK7MPTKBXXCY5GpFrHV2y9Pqg3+ldX0cyHQQvOzWgPr6K0
DNA0qDfhkPLzqD5mpoFaeR7TAlw+jMFlNBppuUz8s4e02YOrKsNj7UfsoikZbv1uGh71cjROM//Q
cbusJD+JBxQ4F5CCjO1yxYGMwsNJix91nhHo8o/3bAOLR3VI27Wl9fpaNkc3Du+zsVzK1m3EWGpL
09eVLYxlUmc+e2SEvexqY3imcQz1jtVfn+2wibR3wrT6ei875CHpgX1uXGHMWlZ9tZCjZU9jq3dB
UpQPmot4dtmI/i62He3stQCSAJGW3xIEyFJkHb/kaZptM/QUd0LNi2esv+7lgPdQ9+1DYNdKiBod
vA63Me8GxxnIqYzDBQpseoYMsLiN0FjJHJXYPH2OkMP8IsNFzWpAJpuqw2K5ctgdB1iTD2KY37Ok
Omo+IvJBSjOxGm+fZb2xRq2hRFmTRIU9eOk3AwGdMraG7xgVASzGUvOhm3zkcdLG2nmROjL3OvZt
SMJvzrXsPyyKypJdcc2ydNzzPE5RrPjSwvTCpG9AALDO/zq4c/MzVqQmH+NMtNyAcHMXAbXcV6z6
llI5IK1sdPdUgJhRmduXQOWxLBUDpjF5sNNSPxU97/JU9Cg+o9r4PjkzZUlThnOqkqoyMRPRTTap
IL+XRaOV7/CGQB8Fbg6Xpm3foOZaSVa+T4D8t149FVvZTPRDMXjAw4ax3E2jWW/kxUhCLnN4bl96
RUHeyYvHtYwHdbhrIk08F5PaHZLeFCt5G62yz2pCGszLeqQDWnQnE2GZsAW94c3ExnhR2tKgaBrv
MXJ/l3HNB7sNvlsaGwyv8XAM5uF6o6g7F8O+tRxVqOJi1hYlXxDQd4ZVKCh29sPbKBokAMpFjN/a
so8d8Wyprb0Ymnp6bfw6xu0pHL+KyIe3XunfjSjbUSbxAWEqf+ZwIyMSFZeSHXuwoMy96fO0+oj9
9F4ZOuN+8sMMxrQYrhmw+SWECW8Tx/qs7au03m7Um5y13hDUay9KFhX6iRdXKJm3MDQYghVv6SbO
fFTyozc9UF12WGWl3Hm9ptwNNjpgsV4eZegzLs/U3uv5o1hw/tZhBoaynnixbTVYOHRN8cVJQmR7
TMV7HjMjAdHsKlc3L/x7djjOwoDCQSWWmOX32VnowT0lylOkGv3RGDTzoja+uOAXEs+ybGsZkocU
oA02LUN7oBRJZrZlyeCqWvDcxwBugb7EoEja8BmlDvsSdyXzFZ2WFw+PvvGRl2H4XKh6tXLGFM8j
d2juhvlQ6BHyDlm1U72suVMdm8N8JjvlsNI0iqWAxLeWsd/GlcmA7aX1BGlHO1W6Oh17Ny0x0Kmj
p2mgDO4DvvgI8c1oTO+jE0G48JCeot7qT2sfxNjtIgh85SZKtIUAKn20dYRjNRhpHYKVRrdTzOZ6
a6Iqb57GGnWYhb024ds9NxkGBlXBzyQSafVcQhRcYwwWbB3fKp8zAzlLZnUbtxiaemliJOrkiF7O
zdC27V2AlvRSNp22Kw8sMKNbE0VF9wgvEfzRPDidLPVOL/zvif7kxZP6FSj4HxEQzbehLr2FXwn7
Kan0epU7VnAP+y/fRP2g3g1KOZC8HtVDMvIhJVaBxAp+PktL1dsrDNt4p/Lf3tLG5gwpT6z8atTY
ZHffNS3o/+SnoVRJ8mfEym4RY43wUobj/+fsPHvjRtp0/VcO5jvfwxyAfRc4ZAd1UrZk+Qth2TJz
zvz152K1Z9qWZz27CxhEBbLYbrFZVc9zh3Bdl0CEv9m5mq0SM+UXIMemcxwq9QqbRX4ApW4+5VWu
7Ut/mm6XWtWWfFNBmH8ABZy6kqLNiJjK2Qcr0IFEB1K9F72OkqO5iK49kHh61X4cULlz5o2okjWO
twMBvfU85dkH9Kh0N+uk5OgUTXijqso3Xob9cxRmxVUJz2ZtIkz5HBSOQtivlFFlodfpw6MatsV9
m/MGMQKEbZZmq9LrA2xm8ULtn1v0btfl2Mhb0cvDgsp9WqfgsxhyGFY1MKUnHRm9G2vQf7gvpMBs
La7RunGjYs9oyn1zj+NYATS5wrIrMaPrAKnFlV1nzTNy6c8wk3g+48Ej4+282rMPUGu5yIB7sh1D
A6vw5aLQBqmlYWv8PIfp+SLTHjy7Lu3XYMgQqLDi5j5Y7pSp4Y93AgTXPOd18GxKgfSWVf0Pd4LV
ezVLpsu71AAluiTjRYpeHOqs3fzDJm+JdRQiWX/OypMeUnXZJHAGAOnXOE+X+2UoyfAprDjUEP7s
koNa5+pTpsYvcxA3Nwj/qU+hloBgberHsWLpM0z+SpwEFxtbY6DW50vCdtrHOqgiUV0Ak1tU6DT+
cAxhj9KwQptEuxIjIhEJyqJMSD4tvVMU3yRY0Nwq7Mr3RH+i66Lw86swxWeB1RrCH8YcHQMnLdww
ZktZRCPs0mzEGSs1H8UZwfiM5lv/IPpDbEe4d3stapHCVJRNcrqfnPDJbhwTwRSN3bhsbv1akxYg
oX2EWwo9aKk2Uh5fJUkcgzei6qTViLymY12Jqt6aMEPLVj2E9vTAi/hJtc383kr6/D5hywESkwh9
X/Jb8IKYH2+UZwfRC2KkO/3+L6hov4SzyPA5jmwQqzFhCRnvwlmxxdukauyBHd44bQkQzhpZyZkX
o58hjtViph2fOkPWD2ad81Dxf4Vo55NANSfj1s9fVdmO78u6SO4rTKx3dmK0pMdiiOUOWqIywsTb
Ro6k9VSU/Ue5Z2LuMq29CRobtZVy3qWS2n+c+2G+mg1gnCHicB8rDeWNmRDYtanjkAM+/Hw59JB2
Zzf8dIZltLKDIevYZnUasCd5moBni8ubci72JdlhDLg4rVrgFLme1ccM9Omz/f2ejtMkB9vJdU+c
FRgI+im8HQ9iDDSRSNZNK8mOR28kEnirojB3W2K+EPB6u740OQaYGG1EtE20iYOPFc9GR133fCly
zspRr8xnGRPdY4C/4lWhZei9LaVL29+Vfn+eFTvfx3P+Kr0bJYkcYwt0mhyifNf0kr+Nwyjy2KDN
yy5tvlOyMN0YXV+sLm2B0s2rvlO0tbhMdPS6Wnl6ZvXbS5tl2AimTWq1MYb5Kzhw5DEbxeCXF8g7
QyOMNRsDStVNZN+j/154Zh52L2pvPIIfCwHhSGsaIDDJdnWtVX3z6ffP9y+JbE1jjwAgw4SFTthW
9P+QMMpNNjmR2oYvCNVEyd60rhotf4Tg1b6Zdrc1pkb5JAe24YWqpd1UaOrv6nA2t5D9i2OB+r1b
ABx0QVjxkC8HCVn/lZmABBVVtWmvf/+RtfdZE81yDEsjuGlqtm7rxrvAmanIQRSSlfo0T+MqduYG
6AMHPS3xfLas9optcuIOsv+9TR4tLL7xs3PVTO9frLw5QO0Dbq5AsSKNAHkqy4aXALy+mxmZfBrQ
DHuQpuzGzOThpaz5A6lYylxl4QradBnk6mlqa0Kbo46/dpEyyZuOrWCbSI8oiYM4kQz8gG9VVPwD
BEGz372Y+I/blomIsmnp4GlAqPycPIJFD8IgX+wHTF6YRloVR/IzwWLkTdFaDpkaFEe/hHNOAHv3
rl1UxRmXc0VbahRotaY6Xn/LIO/Ou1Qv1xYOxB1YTTGasPpwryFufggN5wXiADGQRp8waLACY2Pr
Db3LKTBBvRHm/K1oAq017niTzmjT0ikGGWRsnBo70q+Qoxvv5bIaENO4NeKCIaWeZzOoO1RblgvE
IJJfhS6wgOAgBoFhNl0nWMeJTqPpkrVfDrpIlBxSYoQsOUnPJ8tBlNpGL1xklrv1u448Q6vdFSea
/FQ8VUFItu5KCzm9ZPZCLeofrdScrvlC7rusR91rOVTjC4yp5OHcbxIaZZHcHEUf4Aw1z9tjkeJ5
Y1YtWq5BqODZoMnHVKm+l0SbOCRL77uTRZvobVrd2hkB6jTDHJQH2ekIPkzpnaGUJXHxPw+ic7YR
vN8U+lQeRP3SLcdIGpM0GEnSOvjtSrO00ZaZV1kOMriMWOmya3uZh4GHJKe5zW+G8zQMSH6DWWtH
/n3pXdx8kODMySSCFhCD9FUm3xndRvSJs6Jsrneork4sVJa5/O/uqvTTLvL173eNs1H27NEAipDN
Mwq6GDSmSO69NCBZYKWVzg3ETftGVAd1kl7UgSi+hgDDsR/V/CbL28/4C2vXqMrr16Jk+jo7QFwy
zKrU2SbOgEtER8w+HxuJplqL6uUgrqjRdb00ySQf3E5JkElpB+kEwAUxNjW3N6FsSifRdjmEZhB6
QRmle6LHyQENLxwAl5I4NJI/Fa4okrVKN2ij3sRdmB7jIEcByy7ztc2fYVXHZb3OkNlAVQI9aIJc
I8S37ltQFehnDH3+0LTErYdJldfnatN1dw62Qaqm+4Vn5DWhl6rs8aPj5NAZuus8no8Ef9JTQA4P
2VPDdv1W157HUTXXndHMW1EtMAd09XlKbqqwCZ5qViyKk+rP6Tz1EJZ/usrsbzNIMiw325i4gNq8
8mveT4DWnn2zqLfFwPanKMISRcvoXpyA0tvkWqFv3o6R0x+MskBCeHTKV9CgywB2KdmrHEDQAWEh
9bab9NkVHUCg7oiUtB96PyhRl0FQNslBr0e2uhcnGBWa1BJBl97GT7X0kszX+8fBYdPqo9HGzrne
LCScz+MK4UTAQwkENpbM2pUfqfqT3gA5WrpjOwHNbbJfyYbaXNuhMe4XcDG8L6TnpFA6VEJxbpRX
uYV4liBmBGWyC5syg5frtIexCL4TNtSx/0o+obzDA226rquK9BQQzJdGn9dK1Eo36C1M95NDXKkE
Q3qV5Op4r6KyeNfpR9EnWmrFKkHdhKYnqsQu7nRdN/d4Koa7JtK0TSIrxccpbzbiuzDHrvfCdm6u
s7QihTcZxvnrRYh5ledF/qJo/Khx5ZF3YzhWDwaGT+LKXEmQQCsNOAkNABxJD5y1M07hJ7ga5z+E
6iOyN9hodGp4ddzIaZV7Zo0wgtQjeZnraJs2FTw5yK2Vcy5MooCT0LnwV9ck/2/O+fUWjJM3Xb0s
Cy63kALV+IdpWf11VsaZSpMBb+qWZjrvZ2XDCFonM7vxg67P9k2SdjfYd1QvSoc/Zo9Gy1ZUc2Q7
zFolYFaTGfSGjhDkNKz8IpD6hK/HKr0cQTxIglIMJP7PkqRbDquMKd6K0rm3Mv8hNYlMyc/b1mVl
RVrStDDIBUKkvd/zsHdoqhIM9aNeDwhvoror15pyZemIcYrSpc35mzZxnlPc4BrqTlJGVgrNmHQX
EZze93NF5DF1/H2vlrspn2Ntq4y+tZk6Zp5zHXeaDXrGaKKM6UvftelKa2prXzkIihrNQ2xJKasy
M99FYZTxeqYaT/1X3BeVW6hMGqS/6Ks4iwhAttZsnMxEtfYfLSAtzyVwwU3f2LV5nY55hdZcVD6r
HeuPJmzxf1yqUVmsAs2vH4Ns1u/4/bHmWwA6k4XzUuHguBmy07MTP92GKDndDGR5j5Y/bkRtSjrn
RpTqzpZRGcNPL7GQn3ZFo2RmLyho+bvLyeJ6olQbebn0fK64Nu2YjUVjP+I6HgUaLFlN8bdBJFes
VYbymRCwBRKgTPfifxI7zj2ZS53gbdR/6NucCC//IxO/Ag9O+YjiVm4ZL2UWfQ7jOfsSzfGLXhc6
y/7R5wG1QTZiDvm4nBAxT3yIjIpX3eAAtl6WS+eiWEOpU8JfVpm6xtM1PsRlYVUrXel7l6UUCqV4
LsCO286dnm3saK52rMftR9LEd5oWaZ9Lw09QTAy0a00Ly+ugapiElo4unK9LflgfHDkPdlZU95tq
4IXTxF9EP6nncD2nWNLrrbx4M/jDWmP5f52mrCsGxSk/q078DMurR9ZPNfYkcqWVaOdb92LsgT8u
WqrbobOarVU60scQ8RpxQop/1FodtHqPvnr8mEcEaJYB5UCvPXua7RPsYe2mKXtSMktH55PwRclK
ulP9xj/MWVatzMxwbuMBhgu6pE9NXTTIl5XBB4O9QRko03NvWeVxqnX0k6Z8eobmEW3aSMtB5NMb
lQirSlg/XYveGs6TpefPqCyN1zW2CWxJOCuJ5nk7BRJiSF00P7dxl3gy9jcHcZHlBOsO6bZHqRmk
WyvHSVbcGN7LznLCfiUuwnQxXbW+be6QNGtOdYw2yzzNADuaZdcUxdqHSxWfqO/VqvTrA6GlH6ui
N6oJOYhr28VdKaoCQroZuUdHJ/FvhP4+Cnrje5Gpr1/8qSt/r0Djlta/9IkrJN9Ya4kpgwnZJbnv
Gx+rsamR7EBwDgAmIfuEBE2vmru0WKTp/FLGV8qKD+XkGw/JbN+f21PHJOoGQtZuR/+O1fSbaG9Y
knhZgyAApKX0NmvL1g0XqIk0YdeShbZ+Y87VcA3+Ez+IGFndvgNYgzjv2spba38u4ldj7UXdJxmz
xXYTjRwmWcRw9FM+IWPZVFj1nNuqyjxF8iztfwDXLG2BcjcB1fZ5WbB8BeXWx9FrPQT3VuxHb/1Q
bXEqLkK3zF4zDMJjt+xu2BkboVskMYoWwfzWTP6NWdvDK+47X+e6UF7UWR9RBUPgbiTs7aISj8yu
b1lICqbsICCwOcxDso+eZm8T5FqK4iRRarQWryjbzjzRJtVQZlwpZIxMjEEGIdqi3/lNdF+uswes
x8JwLta9n42ug8w5XNMkWEtmpV+zx5VhsyrKLnfi7gRuC5k4I2wepJC1sj3X/SeU4m78ALSiK62C
vO/P7KZoITUJZpNgMQVBphzCGeTPwn9qJ6wpTC0r3L4eLQBoHAj2QX8o8axzgpiFCGRWleFvUVDr
90HYfFQWfzZxcBYmcRdkJwzipYNoEqeaIaKQPjqnq8u5VojzoGKEV2lcGytVnYIbNWtn3KvMCWe6
VD+1sdyvVafIH/HFUuHeasGrNgKBaVhDu31SrhJkfb4UY7Io8Cn6BydC/FCMVAfK95GKxaBVMyV1
a0q1cSK0VRhReLKXSsoy9JQNc4qw21BFm8aSFl8EeqxUj+Eh4s/pgYQkahK3VxSy47iUYqXKjkFZ
t1cFDoTnUvhX27veImiGtQyVH3SAvHeIjcIqWYqhKct7yeAgquJgaHZurs8noWxoqBhtcKqdmIpX
KGV02yO9mdpa+gzkR93betesVBOqM3oZKIOFRAegq2W3dqrhw7p0oIdWrgans/dVEDpPddp5qamP
eKQA/c+HftqIKrivHU5yxiPePjHpYghgKerbHX6ufNWsvouo8T9h2h55WbEIlElavcnTKD8iywuW
GdndbTUH/Z3izJMXhrDX5ZTkg7ZEmIIl1tQOkb6z8/r50iRKdjXoq2hxM5Qx/FGSzD7iSG6z6Yc3
h9Kc4alLVbSJw1yycnHhHGIRaSPOh2LQXU0AzFPIhyGkWyKlIOrzUh+bABSTqDOL/1kPsvpZl3M0
v3L5owx+OKvl/BsbREQ7c4P9EkCDMNHNe7DC5ia0y+hgWllw6uwl4SS19YeuyFG/QNn3rXtN06T4
lqtgSOtatT9IvPYADqTtKRhqdV9YWbJNq666Z9eJxEdWpa89hpviKqUvb4KJtxXAPd/j1br9feRP
NX6m3ZAl1B1LlQkLO4ahyTxOP8e8iFGGvS2X/hejWOQPZi04ZMT64HZ8U5ugec2Sef3R6JC5jjFY
95LoNKlY4ykNtGLJUKKbTh13OCFh+Vf5Giuy4jqK62bXOSvNKqNtVhbhfZjfp0l7U2iBvpclQ9sT
LcDQpShTL+o7EDA6ZAN2TfqqkCdUv8ZU5tXBcDBo0fjcdM+KLumrdkK/jbhdu4VWQThZq6GKtCG2
FsreXMA3lgwrCEHpj6qCuFaufYzfQM5qt3PxATM6B6QPCsYq+U2co+z8KCu+ss3q7oPkzBgVBSQw
4dobV2RTMw9ipXSw4geCHqh6q0NzY0w4cfk9NJsIFemDJFuk3FFIdXN8WjcZyNTV4ONPZYep5xtK
sYHCJW8GP9U2s/Gl09V81xNqWVvExz0DIdMNEfDRs+qStbfR7fw5Sq/g4oKVmcENJUbhItELoRMP
NSniIzcFOZ7EQMM5q9xRjuaHAdHoWMK9cQqZ86H3oimiJtYaHJO0BnhXbibNVt0kHEjdJ221khFk
w/kBLRlpUD8nBZJ9vZlX6zzwc1eSqmyVBWp5H4MGBFKgnhCxVk8tHKdEiTocGUIPhZtxD+DYOeBg
iPB5A0GKnGH4kECa9NJRJeSIrxsgxKreocO3Qg+TZH7c7mZ07BFrKF1zJGIQz92XTK60I/CZ1yDU
tlbImsmsijh3/X6q9kTDgzbIjpmmP42xqe2DVrZWiYF8L6uWwIsVp8U70mzIsTyyq8uOkPmzY8VL
egoRfe1gZNSxXz6EevloGG22NyJS1b5+IHx9gyyW+ZF37y60MXfHd9wO81OhmfFzLaVbxRoGTK2i
xitIR97pgOn6WnfT0AL9UIYYwOGgB1M2dvu+b0+duZ+BQawXNc8Npr6nLrXnU1gAUJEssuJQs46l
j8usDCNrY426sS+r+KnI/OHkTwRlEzQzbKX2r7pJvbPZj7q8ku0dsqWIQqvjgxLX3bU4qBbKiWOV
Y8EX1oCuKlk7aFMDVE6zjiXZ2JsBJMpqMkPk+y1saAHbeoM/u618CirbeIJ+6NpheKiIYu+lTBp3
k9O/ZPDHT7o6go3W+DNqAFw9VcNYmB094Ebwk6u+RiDBn211O7KSXWWq5UWS9kUeqrUaqUwv0zie
5Dy7beHk4U4PvhaSPPIYk9aukrzDCD0L1wQsnG0aWMUKEeWVOQafTVXr/+G1pvy83eatZiiGZUD3
JGqABcx7JDBKZLnl1E7+FdiR+lxM4KnwjrF6CUJOa0lsuiAtoyG1Lv0Yan1vlN/wzbC2ITMaPikJ
9ulJsk/IsndRP8Ea5rf9D2/enxPZfERLJxoAXFlRyURY+jumiiKraZ1VZfw24gyFpDeeg4Nc3FWp
UuBZOw1XqoWLSkkcyCvZO25SpXG1AaSVkBEuZ1Q54glRcS3daIrZbEi4sG2J2uyukHNnLc+hupmX
d22eDJHnmKm21jMDD6AifG4n+Z++8Z+jNOIbB3itGMDvIYX8Qt8klukUCcy2rxmCZns0F80DiJ0V
PvIxpkwpeliYtfhuDt/VJVzr43yeYmmu2jAPDdv7/ZfrKD+FW8SnwZcdiVzHUUg2v+fuj4D81Z4X
yleHXQi6J12NgXfx1tvhQlqa2tWsO4lrxii12KP9TZOSL13bjsducOZdodvbSrbYsxA2vGJtOO59
KQRw1kbWRgkrdOVn1CS7PvwIBky+bubwOmksBXBHH52yTk23HU4cxlqEP7CqfJaKyHfVMn6MuuqB
WcxZB+WQ4WiWGtta1p6jFKPHWEe1TTcTVOOWBEPcOR1fFyJEXWXKayXod1nWqF5oyL03BUqNV5cF
jWip1qaZrpvBOgRQv/B9yNxsxA0Soc5vThuFWyNqX9R8RlqxLO4LW3f2aqDsh0h6QBssfkr41bqK
7bxmBWKB2tTJB3A5+lUeMIEUUhpvDV+tD/xS6gXX3HXfjEm/4X0AC65O19OAfmztJ91RldsWTK2D
aYNcHtqqa09phh2zGRSdh15x4iayHREnUm4xT5DI30Q4lTbT/O33f3/ll1UNTyIpPINfvq5alv1u
VVOglGpVRpB/zS15vO1rp8Rey9cHj7zOQxOqbItKourq8nSWVRHeGbwLfv8Z1F+ewSX3C0aFB1Ej
pfo+D6xIVjNCZ52/KkX6BVe39gh6I0VdLgtAqaIUI5LTalKfAHps2YEFu3BSxjUhbeDPQ2FvIkN9
xZigO42Y5SINM0mHFE2BeMrl1TD06nEesAX9/cdW3oUqxYsJmwHdsVXFWXKh7+AZSsJ2ElyT9TWq
efjkxPjsdIO6wngQkRA/qHa5ZQKRmdsnI1wTvN8hnq59Kuxxx9QNWRUfQhYh5XAt9aVL9NXZN9aU
urGNNwFmBp7C34ylsK08RpUir6ewuEIfSl61TXBQbLQnfCwMzSZb4Z9i7sZgblZETu3tYBPrG9oU
nZUMv1DMmRaZ7/TZl8Z8Yw2oMYfkqg8V8NF15fsosQRRf7TMiXwOaWSouFiSdkXcuFU8veY6uc0Q
RqSXSFO3noLR2hSGHbIPLfpVE/cVbMjJ2QSdtgkLo77ThjaDO59a6xHfro2v6zErEofVqhEMRPfm
Fr6bVq1qPWg9v2Th6sSfIQaGTfUq6bpx4s1urCQJ+17Fxji0gqbuWnE0EQvzH6HKObtBj751rPtg
LYm18zjtkOAtr8qmBU1M1GXLikHZo6EbIRr8Rdaw9UUgRKt7fLWKNtyZS65NZ7uN+2WEw2So75oh
GNcDEmZMAUb+4KDKfuX03ZuBlGLGokZVrhQIcbdlw0r1BgAS+zsZ3Ozen46OWiZXYTUo7tTr0Uy0
JPeMKvUmrM9vNUvCVrZCy3KQnTB3yVxId1H+MdcBMOBEoWQH/DZZG+bKKhi+ITaePTSFbl7pfTN7
LSFo2VBuEbhfbI5gExZz2/zDNPCOEHR+lHVkHyzC7w6ye+8IYZ3sO/wuLf+rWUchq6k+dxNLcjYJ
CKSNIkcdSee+vzZNo7/WAwV/zzg4FCnUdhYPm1HvH/rFcBDm4mPGH+X3v7RfXxCsABzDAXCgmKr1
i8CMpg7znIxD8jZE3Q2wYeVBcYC71yCMPZ/39mrq6vS2RQ0NnETvKeoEI02xFa81WMJIGq7eTaMU
n0a7A0GbWBogyLh/sIZHp7Bfp2AqHwNy/v8EFnHez62sVTSVTIym2Y7OL+/nHaOpRE3WYFnwJgUI
38xIKg6F9aFNYyYu5Es35qiObij5xQ7ODukhYLEPqA3fWqmzzxXT2InNVC9rJ6kZwevlO3XALavo
2O8o+FO4AehKqx2ak6aUu5jA4Vaxg0WIA2INimnOvh5m2dX8Zos10JcJpNiLltgAV9r6FGd+vSU2
nDxmfU3YjLdP243Pv//LvUOwiefK1tm82bKhgnV13uFl5qxDEWBM4jc7U5u1k5gB84kP7bux77So
TA7mqJhruFJvk4RRVDfupakxDtlYr2EvIUA8hCdtlOujkYUl+tbKRwvj+lvNlnY4FvZSqz9B9sUN
ErLGCvRi5FZN2nsEVdD0iIPqes79T53c8VLz2VTBc/3gw+s51B1a5L//v/L8/PL3Bv/DFKraPKSm
Yr77EdVDZjR2kOdvqWHIK5C0wzVsYAej7T6wdhGLnpssSlbgZPKTMwcPeht+86tZ9RJZNTap7gQn
cSgcQrso9yBiYICshG4Vd11yx6vK35V284IF83iUCPfabbaOpPoaQ+URAQbCo7Abr3U+262O4FDE
s3Xl6AGe9qmk346k+66T/CWydlhqpLhZ4uOAHk7uaK5R2tBdZe1DZXZrnxy9lujKAVNysPxtL6O0
i0tYB24mhx5fWswlxL2u/CAOvQ7TELcJ8iX5wRZrvjey3J10U8LUJEMCBILODXIG+bFdVI+CzKmw
sEcQHCwNH8zopCdpSqsVKYob8IvFtTo+tu0cXbHlDIjTm5C6s7zEZbhPPYDgqjdrH1igAPFshrfO
7A5OVePlw9saMXCXpGJyk7Koc2cAresYxxM3W3T4TaPGqrjKr1lBOgfbLKIDSazCbRPduFJCf9xP
9vRtjDqVrEOu7P3F0dVX87ewq5BwII7pYhowHktcOvwKX8oWbb+RV+HGYJkCRY6Ah4xozRIK1Y0l
Atf3lov1zGHsa0TF4vTJ1Gs8LRcHXtUm5gZmCG6McmjCqTnp/TcS9O1NyurBRR5jh9bbsNX9OnkC
6L/3a2LExfRqp1JwZNNTbcYAVe8aaJ0bT6gOERuXD8ZygCHt4tBaHgO/fEV7562GB36lFMY1ws76
vd5145WFmuqALu2NGgGpHI3sS97VJ91Elb61g9sBn61bxFK9RsnucY4ovlkBc6F5TWzfes6V2XQn
Ug+HXFavR0NRHyYl3E52mdwO7HjQPJvaK15LxLeHcMBCKIRJC17vyowI/SNPymRcZs46Zio/gHif
TkFHqGq2neY2wP/sH9aX1i9rXMtUDM1g/2g5CnjDd+/hHmdKnjq9ezOxj/GScGLZk8HLsp2OdyhL
hhvbrnggm42Kl3vpxgFCHqYSrEKMGbdmNH/JxsjYpgmC87GB8Pgnoh6Wi0yWs0viJULFOp7574hD
JGQQpPB4xQUnuBluYuYD7i++6aoaNOlgmOyVEkzI92fDdJSbT0maX2mAPu+RCCgwEMy7E+pVxiYu
lG9CDQbWyBbvEm1njOSAkC9LXrKmT1dQx5hFupCNOfcassjYwIlRt5AH4IYGUXEYENVKFr/PvKm7
hy5WFW/uHzMyX+iujfFazpEGCuf8bbRBGplj324Dn4RSsjzCfh1d93E/nSLTuG3nsj7v6v/vT6px
jVCR+1IgKwYYrH1X/c/HIuPffyzX/HXOz1f85yn6Qkay+Nb+9qztW3H9OXtr3p/008jc/funW31u
P/9UWedt1E533Vs93b81Xdr+qX63nPnf7fw/b2KUx6l8+/cfn79mUb6KmraOvrR/fO9acPmKoxs/
zCvLDb73Lv+Df//x/+poLnKU3s6jXS55+9y0//5DIvz8L3nZdYDA1Nk06Uwy6ASKLkX/F0EFE60M
5N4c2WSyzYu6Df/9h2b9S2YONvGLRK7PtBzCQA2upUuX8i8csW3ZsVD8Qg3A/uPP//x36b/zX+3v
pQAVU+N/8wPtwJARgCFH5OAoJiuKjkLVz4uejOBrMybmgDz5Ames2nkvDuOYzHsFN7K9Oo+Fl5dB
j66UXO/9quGA2PL30lKN5vQ5b3kdDS05fhQloBb7ztTvRYkkY4ZXzr6VqnzfTdB0RUkchqUq2qwM
n2sE6TlHQmB466hYpiNHsAmK6RELlWD2HCWD4psrQf1RVueFreJvYlvL95eDgjoLc+DSiPwoxV7P
nnV1ttYYJeX7ehk+ZOYlRhJIHI3KzOFDSXhdOFG5FwcVRtPszWNN/VJUU+cLqdpmHeDuRORw6e77
efh+Jvph0+ylSTyt4h4ZJVONK/n8jdnMl1fw6daxbfZ4yy/f4rl7qLJDk+9HgunMmXtj8ot9a/Yl
aut/VlPy1Ck64WFMIguN0rbd53NiyJ4oBsNMFFMUxUFylHZvjxVMfj/vZG/GgtArlv/55aBgDU8e
BAIDUYvl6zdmmMaoZKGPq4zFPmSFtofGV8pr6AFR6hqBqUAAWZrFCZezSPM8kZ6EbsfDu5mq6n7C
eRCLy6zZi5LyVynqtBrr4p+75Wj0lbWmxdlGGpVH3+6afdIirueKE0Vd7Zcv8oeuy+g/jJlry1cL
/aJySTQqq3d3L8/dy93FRxJjnO8kipfPKS7Mym058awlUqLu+9RWziUy1ioouZQZQxRFtzhUc/rJ
1mV/fWkSpWwZQJSMSkJYtojPZ1zaLxcYzN77otxmkoJVcm7zzWMHxfFcFs2Xg7U8K+d+0fi39R+G
EsWowsY7MSDkLPcQl4jSeZz3Q/xw31+KsfNVwzlr9/4OP4wEzNlkKU00/Yerf+j/zYf/4YIfipcP
/cOlf9svznz/0d6fGbF6dXVyWBY5VZKt/Pwvj7co/Zdt59/F++4Ibamrd41Swa9G/HRQEe5m790d
StLO8lqaSZC5OnTVrcor7XLN5ex3w4oOc74Lo9JAB5VHIQ3UYi9KSs6741J911bAQ4CDsFzyS1Gc
KrpESRzEQGLIS9UAeZhCbGKMTAwnisaASqT7+7uLE8VB3Aag6KPUDYiGL2OpCQzNj6II8bmX13Ez
K1uZDJ+WyrjEGHa5J8ScEXIDILYXjeJgp6o+E7xZusRZorWNBmP2rLlq3KaKkQxqFyS/6JohZs4P
oigbQVbc/DCMagayi+U2HPMkKFL3PJYEOCk+1DVaygtcYDWlCtqNNXZU5vga1TouSIB/MoUdQ5ip
3lh3rwl7EK9ux3Hdp1+nQQZAEIbrbMGRIPWqeoMdHcoU/gS4QtBeC5drr1nBF23u+w2qT7DyiDV5
fo2G9Q+f8vzfmHRwD1NUh+tumdL65T3eL+95Uf0v2xoxBf91EFeIa89XLAO8q2L7AkHt3dD/jWFA
UnYsbu0rMbIjJlsx9LkoWsUwrKyZ93//STI52ofxBFP0h0/TjMWmVKf7UsxksmFkeycbMSJcSu3y
X7m0vT/n0n0559JWViZIuUv974ZVe2QIXHH1ZYj/2W3EsJe7XIYRbU7MziGxc4iSrBfGZepSl9lU
lESbqDKD3yoIMGwu7X3YED0Xp5yLoisW86q45t2IopqJGVJ0n88UF83LbUXp3H+pn8cMdTyBJJRB
ZwUetVVI0CJK46DIn8iCZOCrMqgXMtLK2RS4YzeM20YeNKAOCrFK/GILO5FXs6/9f/bObLlxJMu2
v9I/gDTMDrxi4CyJmkKKeIEpBmGe4Zi+/i4wsioru+xaWfdzPwQtSFESRQKO4+fsvTbzddNu/Cxh
CzzaK454N/W5Pg+hnQg0aFbu7ruyBNcIpGEctL3bMB3Kc+ebYaKObwgR7r/ZinPUkBAcJ6cleiEi
VMoUTzj+F1QfCtOyvv1BhogZjFQYYWrcO3a8XuM22vfNDOGzw+tepO2LSq7IHlrde5EqP25tukWT
blivFqR3FRGovvqx9QYR292Dp3BDaxK+lSd7mO++hCLnjZitPHtYQlKzf+QRTvBlsg9Grwy+heA0
MfNdiYk6hMo37SphHpq8vYKI/8yrKfLYcUBpsu0LWwQyHYFpMEfHYlDgD7ScvDqTUV4Hji1Oha6+
lQbSzjJtLurShzW1OyNy8QzXJjtatOqZpRPf1rphSWhCaA5L7o9T+mRrq8L0qsi9j7GqyyCRW/6D
omo7s06zSzqt73WRfgiYPaE2fVV7AMHNtTUtP25Rf6ll2IhtnSPFbu0MAiuILfHylChECy+KJ6PM
8sSKBuTRtIsDXSqOXr3TfXLSKh+g1Ld6mifPGQiwLOtoEzYYj7rxsyAv8VRGyfhaCKb57P2fysG+
VMjiLXLvAulEWI4eyeODS8gosZk/m1LbdgxdRFOslXwWDR3wAeAf4RqrFxHpcwRMH1Hqdqgp89M0
sKjS+ap25OL5iCH7kGanJFXS/ZFpSCQJvnYuIGkC127jwHLr9JgI/euYPBJaUPqkupPWYHZO0DTD
XotU/I2WCA2f8Qy1v5U2O5nyZ9nrdJxB1lSJnj2MEuqOfHeeQdqMe5Euk2f1yi8lOUQtzbIiUb/U
7kp0NmGfBTgA8qqAFhUDZJFdbDWwOtzG9Ul6Mn1tJEOuSVbPrLrKHxwoJ5XJKKcq+mObFQmQ6zQJ
WqcTcOQ3eF4qgoiktskq24PhDl/jXH5CTZ4Do2X6UuYPo0pfcqGP+2AhiaxJ2XKj+8YY7LMD8HFx
C3QZzU/FjskLcItdUYIAbWs44YPUTm7ffFYA9i0Zabum4XAIEQD1QE3TZu8yY8jGETqcXhBrSXfS
SmjpGGXjBmWUpkGPR5o3jp0Noj0NqMPIybNqT8069R6NUX5OxDQgm74O6/xoD3YX9kjQPalLJsp8
x9Ik8PLV5Y5E4ytDvOarQ+xPqq3nQQikS+pbn5ddgHPL67PsUVLte01fOGcbjkMQOSWDW1leXd08
tfWinfWMmCv+HrQTsfZjtpgCY00ofIuhw3Wu7OMyu8uhK1w1aByDrPtCPjacVb5MS8bVQ534aMfK
68Lk29sG+Jjdndd1GrmGA571G0lwFZxgbd9a5osOnO7SZsNzR+LXYV3Zs2KM9hbYGT4dQDZklNAt
Sal3qnMqk8Taz0ZxnSe2f2NuLmFdW6+JIrEYrsthnPL6OONwGiVAviHuAE44w27Nxg8U+7jMMNh4
PSe+X6PF3SGULAe9Cy1czJJI5x2cT8IKZfOqQEj3rMEwL1E7Zr67fMOR7dkG7ldToGyDGcXq1vED
0rGzoJGNXm+2O8055xyNR6tbPYmWabFYEqyuSf1EFm/o33xjkrXX8MoCw+zvWmjWTN6G1lMTtLpr
pVWeqs3vw4BIzcqmQ8OH6+lj8msdo19YnO9Itj7Y2fwcVS1NXVrczuDiz2zFrtHICB4UQyGafHip
MVYFCTkqnqpgIhgM43lknB3AbYZO51QhS+FynbIeeECq0HJj0U2SIt8NJbPzpt7QG6LZEdEsd9gH
9zFIo7ad7yPDfi9dvH5mTg5VCSewBokbLJX+1IrmC2dfBkJbgr7FfRAU3BvcaFdPJvvRPAWGtMbn
TG/3c0fkj7pUoz+X8WvKaYqu4kMjaoEGytz6pJbQW0QFh5yMGOAxAd/NEHTMUDhBSL7ksfaiScoy
EmQvqvXNLSLk/+Qgg4gi1iwqHE9jKGlE5QoDJY99pcpbP1GLve0O1nPR+OPo6GcJHbRVzgzpPM40
Yw8QePEcF17V0jCBY/6iL5i2IVY4YWw/gmzRgrThnJwiUqbRBurH2bqSq3LfznkXtIJjb8qlQ482
P+bDG+INLBXCVyOWu2HIv7FBqP1l7D13cN1dDdLbs+xmM7cZHYKLLA2ppI+dijJEX/prDh9gycwM
wT3Z7hXz23VZzHNaI7LhxAtkLFR/alHbmin+sXXPpNX1Ja4VXwpzv4zRl9Veat+c3S94G9fQLHCQ
FYxFhiX66KR1HnHWglUp6W/l9q+yK5QAulPqc6ZUh4idgBc3+nM1E52KPbjDP3TW7QT+fwuKZJhd
MqiTNmdqkWK6sLf8SEnCXseAQTg81DWqc1iE0rCFr7/SUSsReFMRSTvdKZb9OqNCtkn5qtbZZIhQ
0QfmExbg4j1s6hfCRgZ26/1LJZlESIPJk2ugyHHqKRwXK/dajUTB3qkcbyVHxaiyh+6JMdR8jyJh
J7J5ONWcGyKPph0LyRAM48coYS5E5hykdsSkGwY1GzyLA1o9tflQheSXnKY8XQ6pRNncZ+mXqCRd
Ys2UeyHN7+aIaYnR6El1ku3IIMxcB2u4LswaNnnhNkwHZnGJtne6IaO9xj2EOIKVjzRbrRmmsNpo
XIaT/my0FPyFSaHQp/h9BtWsg65uOpToruLrY7OXWfXi0CCSrMcnqMa7pNemuyrbgBqWLkMTWpNM
VDuMjUYndblGATO+YofogmEYrq7Rdl48IrYd9ObBsvUvhFKf62g/20yNbIP8PfA3fSBVr2zzZ5lr
F57Ex2Y8MiUp/LWMLyDdvjcTv0rNnF2l5osvLHFCl9BeND15MucCIUA2ABxNfubzF3vCsarPn8Wk
LKSXK8RNxtqxB8LlG2YukEIBpCvtvvPnT2NhAVFbOCqM+V8dNyF2WE3uo5GQwsRRCMcW4wKEN3M9
WSkp/qgqOraU0GpXQ1teq9BWTRyxo18IB8aWYhwx/5ITll+w0Uw+0TWZTwpEH5itoR5bMe/W2jQO
rHFhqTH1t6sMO/z4Q4rNd6rlXurwxiVQtzOpdFQ+8twmtk2f1z63zaEqlpTJtxrE/RHzmXYe3LWi
ngfdl81eo+eK79aNAVWq8XXzGwEDxkOvbUsnI6m9Pc8BoskfFdab2E583vEoWGPnhR1bw7ZuX/cN
liSTUZVbPs1mxXC0au5iQ33Sp5J8VrV6tqT8GfcjXqVG9RqRvBcZPjNyP3TgcW2opro8wLEL13Zm
aU6y5IyQjGnraSFigDG79o5awvVYDO0wy5sL10HKLdvh7W4yX9Z4DBBAe42ZwLJH2r9vW9T1pKTQ
QJiw+KnfxmH5pljjLjbAaJEX81S6ToqXtoyCyooPEl9zoOpdw5oHrlim2Rqqo/6Q2d21iLkYgyY7
SuAHd01GtHv6s3P0+27S7TejwhCXnhqFenvO6XWv2S/UKLU/jB3FEQ6X0LFWjlGmTorYYtYK06NE
U7zJiRIEQppEVqRx8gGnJ2CWyuRR06fazyL9Xmn4GfXQ0emOahsArI1xOIvCgdyIXTUxQpN4ytNB
xnvRreEUL8yTEnVXxcVbItd4X3Vr7kn2Pzr9itcBZKQO5JjTi+pAk0RvTrQ75gECfJ58EOL0osbw
vKpo+tQH7SLcUcP3N37a8Svt+Hw39cvnVM4GOqsW+ZzSbIXlbISTJpjIEi9wZweZpruHGJO00jNB
HcY1dKUa7x3lrnSn7+7S53d0jlCSGeZJm/u7Pk9b8knjY0xXmGF09WHVPbyAYbWIqzzaSbTuhSt/
NUw7iSUNEzX9gaK881rTpmnjptBvJnlMiuFnV0bujmTos4MJKwVEFWg2F4VGuD9spQzqTOKwc+8s
DIAmugXHLQZAnfGjw/C31qPDpDmvZj+63sgm2TPE8tIRj4QJ41XDeQ+EG/mYUHPS1/sLq3TqtwOt
uy4LC73+giz7I6mnC8Zeb6mZoS8kPTYY9u7RK/ZePmjJYdRNfd/BAkgV7bEbcuWqZlZ0bda2uALW
MhUXGc3toWkej90MuO73Y5qIG4h4U3n867tinfSBspuBsGw/6faFcTU+hlXMQTuMgZGsz337zEh9
uk7atB9Eh/C+mhBGEzMMXDLLeCHxq9KgKvUiqtislSJEPk6aRXq2cCoStVHcj9ocPw7bzVJEjx2A
rqqszyKeyHDYbmhHrrBAVyrRWvz5WGUvLSbQhFP+n4/JTduom6m+bx1EC44VPeCHiR4kB2Mj2isn
hc6SP0DbLXX9um43tGabg7MAkLjdhXdgXLNOpA8TYu7bQ3893tvmW0r5e7o95Citfi1QBQbl1Nfh
X8819Eg/9jHpV7en/MsX8FIhXP/9i28Pb5loXrrU1fH2i2+PkX8OCWYw8H50TXB76PbFFM3q2bKX
59/fWTbpvRA4UOMke6RXWIt8uQ6alj5O7Yz8oY2Ok2bcqUtWXMgyRzWy3Tgr51U92MyY//lYsYwV
NEt8e7mqoFUGZ21cDEWeciu3rul2c3uyTG3GOVGOfhHdGnEuCR9qEUNStBoH7PR2HzBwu+vqwvSb
2/2ksXQqo/ma9c7D6rKG4N2eOHekeXXdXHmwUG9sdwy2N79v2Fp9lVmynhaz4CcWmxpyrrAa/PW8
GZ3MoVjV9vcPEmptn+MyvZZNKe8baCi/j6i1SUkGSQbPLUqoPlRfj6bixI96hnE1iufz7Wm3G0wY
uhc5VXO43b09V3OqIbDaScXfxHfdHtMXvQiUOr8DfD+DdIzdKyHS7jXOecGGIb/FUedeb4/rohwf
CBPyosxR+Tu2p0VyOTZCT+A98p3sAq9qqgGTXTn+6iUdDkrs2igEa3HF6EVyWuKswUa9ut6+oA1Z
fyRjAx7g9rzbFzDhmfctFD4jyweFwj8Zdn1pGP6YLlRuo4Wf4R/PTdpWeC7C7X2ht+QwLlkcENaR
PCJJdILZXGBYiohUOoH9eQdcW/p926aPcrsxh3440lOqvGSe1d+aq/9TEfwHFYEQLiKWf4b0/ZuK
gDZO9evHkKLF/1clwe9v+1NJILQ/QAOiqBRIFA08V8gF/lQSCOMPoVtCVQ1BESNcG2Xjn0oCU/+D
vjFaaNvY9OI3/cGfSgJT/cN10MYCbfitQND+J1ICR/w3JYHpAG5zEYabyJWx2/13WTgqbttFpjXS
HVEPjOZjX8btxUypLlGtILsZhvdB+QTx8uSoGIwatmthJWdoB3idvGqraFIF8+XoVG9swsGuOi9Y
IPMTYjXEg+3nLIvLCKOJWpfkg5ptkpoeCxUwvMhG118kdmU3drk7RrOH0B+0kQPAgJRSr1pfU1dm
3qKt91qiPOLc55JuiA/UD6/C1R8LzVBBm05cKrvSE1c1pFU7BDp57ezH6UGzR/a2HvS0sfG1j0yr
Gmh3eaDOm0Yx8/XUfHSXp7FwX7oJQfRavXRr8plAjrCt7Luc3IfeTu6mLgK+xWxZRQiorSOoFrbp
khhJvxm79zVpXmhdPLHD+NoX3X5R57AH/k2/THwxjeQqRf45drx422reizr9RJ+Isq3mbRa2/mjT
fu8s7QKulWoh5jXHons367BJk51R6tgFyA1g4zS4XYhuZe9Y5v3oZu/FCCYCVDYhOz01fvXTgCfa
dQ5ZUrxtUV9nnsG3ZJFFQLMbhfFQGlC/WEvs5Y7iHy0fpnPPzA+OaWLMA+mttryGYsubgOF1UM0q
iPXJmxPbCdkZH83Z/haJ4UfU8X30dhqvyAANTeUZTCMUOcJKNt4nRwqde0aW3zBXBpnZNbs82SKg
ZizbrZ1urbBHZLsrH6d+2H5wZkYEWGyfdtQrP83mDadp7zWFwV5kdt4yugt0A2cnYL73COX2ZLXz
6JfsluxpxYRYWUdraoNpnGls0SRK++kesEoLcqxiM9r1gdHYfPBr/Jr36EUjIZ0Av/Znb+CAId7p
UANgSAWHDv/2g9NbnhRbU64Wb93gjGe3iH9EBXu8oXNfMkFweRqz16m9vqBnnsjJ69Us85MyIwIa
eSGOt+WqjNoPvfsBU0d50vso0Ao38WJ0q5RoQevaEcOFk7nC7OqESA/ufELBybCl57VOljiOkTgm
KN1vJ0vkurOvgn1aW830V/WzEaMaaIvxWI6cM53qvrRz/Iay5x5rrJ5rvEGq9TimNPF1LX5ssTbs
cmwKgbnJ7NqKP7PZYZRP/GVDtOnFj3mM/Kap8D7SIHMpyLz4SZ3k4CNuuqckogJsC08W7q9oCMGz
PDU6w4Zq2cOT+7Qje/ZWfTvx2vxYENUIcM+6n5f8c3ZzwyMhyfE6vX6zJgiJtUeHlzNBfdOYt3OM
zt6oKVVAGrA5cYiIsSauqeSziquu3tol71rdO8FQ2yOHaU+6Y9+R12BrnnIsY0ruseAUUzjpfEfd
E4tFZByHQ2q8YL/DHIl/AKv9ac2/5228y4Ec6C3vNU2TT1WLP81OC9id0AR/YViz03LtijWRIAqy
gb1uRPialB26nfLYmrPCneg8GCIHSsHXbSf7bmgCl+EMnXpqo/eqS5aD5CNEeP+iA0L1ccCHfIWt
wQZIJ6g5Dwqb9dSoIqz7CUMBgt8w1PfvIuf32gJWFGvtPumBWLB65rbI/Km5EjvMB9s72g79KjHJ
efldYSEDdNIey4aFpRKl69PVLvTeCpu4VT1dNbxGTewd87IniWzMR7gN8RAppo87BmRPt6AV07dz
VjYtU2pxP2cslnXXfei1+6mzIfEVXO59As01aimK8iba16Zydnpl3g+xcd0KrS4x9BDEBya/5EvP
DD/EhE2fZzKYT2GmrWTdBy3J4/QTzR3tw4qLQX5n8EZ4VuncxdFZTWHpuanxjF4nnAfM1Q6EEvKr
ST3P8k8D24mfKFW9GxPrnoR29sWmRdUb2xKTe4UZnu69KrF9OVpCK8Br79Sym7xaoh1RS4yerqhZ
3sqJcVcswzhRq/0E+syneA1HDT/TSL/On0z3ij1oZxoPSslHoUTVRcebDvqD0Fa0Bngef8qqeDYm
Pq3cep+GCSS4yNcdHTF3T0f2e8POADIVAF4uvr5tJJx6hbN4ih7TXOJw2daSuNcfly7PgtgdnkSR
PKud/DnDmOrsgpj5YWCxsOOryH/ejvLZBb9LbkhGvshg7ycTZkDZL8gaRP2QQpZhOs9yS5rKsTWc
2btdsFCkpv6q8EJrpY/8sW8xNrvEszH8+m6MzcO8DB9CVp+JWe5xQ3+FHdd6mlb8VBXORYi1rh/r
5b40dStMR/MYgVtH3atYXqHi381cRNh9tLdma9+y2i+RPCoxvWk6svfrJO4mxBSEDrACR6Put0kU
ytSipmVfGK3qL9Uevjhg6b2kWB5Xg0zCtWq/ppKOTBNzMVK0nKV8JpVV2FtTeew6Lk7FvdIzdF4r
h/oiKz/UKX+jgXvSiH1MZ66TlMSNqv5CswLLKZq/MR5AkGcWsW/HHyZ8a8ZyF2v6CkO7CLrOItBe
a+HNzQNdapvFBjvF0ZV8txiGakfU0YHdjBp0RGAoKIB9ERNSIhsWn0koLz2bcMxkseFFUn9EUui3
bEZ267ZA2vOWgNNzJVYNtfCL8dzOkdcSN4/DnD9iknhqs2SK94spvEK7NwSfa6EOu1IUyJq3yyEn
j+HVVBzFVn0BTfdmRduPKQsiKKyXdRnekYDmp7mWmOHp2XaW+agqeZBqarLDObd6iXFnDfVWv1E2
KFbzrEz8LYl7Z0DUY3UrVEaQanXptTCuleR+K13SRr9Dcqp4Qtful1V9vx05rlHXHAFgkhRMyaQS
hmJWak9yiSPO1s7DfKUF3in9A+HRb2lGxDjcQS++RyabcyCZ+LdmMRCREF31dUqCIRN8/rivMjLC
wxpMYJdWv5xJa8mqtJtdq0Yfg7Qweo1JmDCu9oRHs/xLiRQfiR5llp3vLCKnoSRnpMuN2W4g34S3
HImXbQ9n2ux/3rRLPZw7QLKetXR00LsQbbZ7MrSe+VSjHajAvyYt4ticqAcwDLfieDp1nasB+yre
CnUOEqXfftqTlYiPWFhs2ppG31J4sRzHqKBOv++r/VoE1ZghT2f7fkrq4iHLaOZLQ30mHK8/NYvR
/1Y41mKHNSALCd2iR2N28mThqzk1aSZPt7u3GwYL8hTtlriXJ9v8Pmn5cBL4O082PSnfXlC3ksOa
nKGTPJhAqnc50MST63QujjINUIZBgJHeOTtl2MFc1w/wHcK5N+8BISPdQowOToT+kmm2jM3gKLgg
2Gkam4OBqHV7LUAAhtNcFq9Wx2y5vX0B+a/pD2mnUHnHw2kdtBgOJOLkcfs845gzCcRoiinFgdN3
Tqr7JR/UsNIJMrEXLcYbOWD8SKTfFRH9/JIWYjQU9NR0dW8khn1yCsgGrmmECUyYg03edldVz5H1
y56r6JnhOwWYO/6oIf5fEkEYxPpYJPZ90xo5gjDHOvFbXskibYghOBkEkMCfIiEZAVzYdhwwTq/O
p2GMFM2//TcXOiWOXXze7qUNugspaXZqa/aclfZ0yrRuPt3+VzB7rUgthrmHwAGTLLAW8bVSVhq8
HKy09e13oeKLr3XNOE1Jbpxs1dhmkf+8r8+xHkKH/lkOi35CZCvwTd/+a2LCXhgI0YTk9yhdo580
BWgUYgkXVlufBpQ5DAJmh2laqV+AUyqwJszmFFsVOhLu6cQFdmyz7MqfnbEJRjwu59sNcVZ//m+c
mi8GtKidXQ8iZKOSenU5TEwMBg1XKHJjVdjjuVRH9oaCIiCv0uliR4nwDN3aBuDwy1YVIRF56eeW
aObf/4tMVA0I4Azv9tjtKRIGWNWjVbczM7w9grvPOtsVxEQIJMwCe/WOeGYiRbLxV8OLhXPffc27
qAocS7XvpwjBygju9Dy1k323KMol25Qr0IKf06FX7pkKn6sJ719LWuu5FVKDjEZomV7b8f5218LG
ZeB4CwViaL+ZVP2lSDPt0pOAROwSbtYFffWuINw5gNU2fWtoqotZ5I+5ped+l89fSynKL410rZDo
GYP+qkV5zpzEkLzbibBf/qW/8KcT4L8qlAt1Wg09Poa/m2ysbbe+QbEN2+ZgceBJ/F33X7iKvpp1
Jw9D2Vd7PQq3vWqa43cxKudFdlQ1jFwCIBGIZFOuXv+b329quO9wOYh/Q1K7i6kv7tDIQy/mV2uF
dS4oJtnsGWn+k2Jf73tkHjZ2XW39D0iHzT/0V9LCn386HiNbN/GdYgX/+59O8a8wp6zkoVjYJ24b
xl66LzCgNY8QQn811YMKaeu3Z/f/el//ofcFq2BzVv7/m19f0o6IoPRvHpo/v+kfrS/rD920+Tmc
+xhV/rX15Rh/2BtwBNgTJj3LNfiw/2Gicf/AuGdqKn0x29Zx4vxlorH/4KcZHHi2wEXNBft/0vqC
vvJvhxS/36C9Zhu8DBXXzt8PKWe067qGXXEY1vYRk19LH6TKQnGxhpTCPCZgeSNti7bdF6s4w3LM
zVHbA3s0C680ouG0ZBMXZvbfR13c43YJNH2eDtqMy4QdQH4Ycz10VTGeykZ57TuUEaPyumo4TZiK
Bi6dAJB8LHYq0y17BGowP4kUSPkGQFP7Z1t/XZ0eoQ6GUGqau0LDOCoQE3yua/fWRPN7JBqVZrCG
cjSev039Nf1CDQumdzqTYLHVa823rI+/Y7ls0SJRwjf2U6rDccKrjRrRCEfluHymfReYwiZG8GaT
ARa4HOhrMr3WxWliLkjpjw4pquwHtAH6Cee8cXCEhH8UAZEgEpqrvukcV5NRsC1SOhwNQ1VyzpkH
V5+CJoTP9eCh7aCI8E5PmMnbj2wuiHnJs6dO/VJgTbDcF1Drd1nqvhJTCCpzqzKKrXbh43tKo7Fj
hKtTC243xBiXSsYuzprLsCubGMs2JlyuMw47XybHulotqq/nBCUpamQGs0uxJBKK/Mp8z5QpRmSV
7oc1MsGI8fp1khTCjsP+NUpagssCaRbVeRE9rQvgnU1qn0GCMYmXUsFehRawNtOrLpEFWFFVn0dS
ozySluJd5cYHY4nTh1IdfkLflnvogWsALBFJi0kk0bJqx2bRAr1FKsqgXDssU8RGeY1LZDW2dnCy
R4PqA7XStGudBLoJYsgj5pLeNzpMO7lL9i92LUkpRxjsasKee21Qi5zceO59OyE4UDPj80jMC5Bz
d2JD42gMFRW+byz2tRuYCVw6Dv5vMkLfhQV2OsFz+WKlVbKzaa6c0rlzj7N9SAUfv1OocVA6bE2y
4pc1uS8TlSKJ3D9XR/me4APYTXoOOTACb9GZYVY0+FzotFYW3D7YZp02oSXV2LOniXPC1oZeltDb
ctN4jlX+VGsaAOt4tD0FchC6AYi4k4kybqGM7WhIjvQt/Noun5s1o4rSlu/zrE9hpmfdiSrgEttj
vhfbqYbcEjusng1bzQecfrvpylkyTWGTiHaoORGnogdxqwGO3GrnYbsxpeKVU2Ydbn41uMRp5341
gShGnbWNbjyzHH7kjrOPBzaiWcf8qed6vQ1haYN3CJVgdn+WW3V8O2RTyleWl5Q3uv5ZiPKtAyux
i4owlm0fzi15elkt1ONEHWrfivftJlLAKC/rtLd6mGM9ZdYJXPRqJIjOojqghW6ht1YULx+d+cDk
NDC2N4b2BKyB7jXfeI+MjsEJWzSMEWWfoiqD2VjGdThVXYEhPO7Ptdo/duyV9ithxEDo7N2QW/dt
aylozZihNbDrWljaPYhOJEApa2E8nSajnk6McMOCzMwjW8jdEKvDcbHlA25vAh4ZcNNjo3haplIN
i6kLoXrUBwIvO3SkZuuP28YlGx1j143qQ4uvyUvtmDwriaT29jpT6xmT67Qba2w3FeIiz6jHfdTO
SphMyYeT9HJH+s2zJvDbdWW+HCYUBOtPNadxqm83ERtwZ3rKJ9g/E0BcTxuQhq49Lg3nvokFby1F
cF5n5XEuDL+fxXLQtmOkVbSCfj3yAymbkzt1FHtIgYRSfUylUSLG0q7xxI5bshT4XdV/X4j82zEP
XIJe6ggWtPaRDCYzUASfUpvmAGKNzaSkZ8tT4eB2lmsSWKVCqOqxjlGXmPCm7h2VQr4Q61nLKLpn
c+fMnSDdK37pkrnaFy66zWiaBCuCg4F/0U6tae5t7AIn3cp/6gsqMtuOq8Calvo89EUaQGjaJUt+
vF2I5s68I5mzCZa4mhg3589VHkUMlaljae7d01Kpn4isZY7QdV+Wrmbdavuvt3sAUzOErymDzuFt
qnTtTtfYJ65WSmMDl/yebBjtIGUc+8h4edcjO6GJpSpg9jSS51r91zAmp7Kru8ec+Ep80wyKhvVD
T+r7pAOFSpCVioaD7nzUusYbby3bw2U4L2ozX6oS0queQ7RLUmNXrTosA7dByFwYKZOLaMvANKes
BZDi4j7Qm72TjYwx8oGjbo5iUgRAIaoFhIbeKMEY1cjvOfD7nUun3uvXOr7GyXckDNa5btHnMNXX
wmSW125dHZb8NuWwWxYEsXNxV8/xdwBtDtLEfDrkmnO0rFqcdFexTzBjLx0QI6Q4aI6qOX/rB1O9
WFFt7RS7Mi40JEbEOH0eOI6ZMqZWzDAqsKz38dCHOtgre0HXBwBrpu0fyRPX9DYgmMg5uW3yZsN7
uMSSLW+T0nfPG5wJ8+LooM0GYjJhnj5bS2BGRf8QVQ15OXV9lOwh9vmgY7lIVs2PNLxyZfGTLMXe
H1w+0zZ30JGa8qiV7ks6aephoiJjnZD1GcScdSjA4+ENi4s7lZ8V3L7AWwgzspHk4nJGgq67Jql+
pWE4PldGZaMIi5+kEg0o2ofl3ibnkvRi7qVq9lRIgIS4kF/i2DgqivElGvLoW2/pE+DNvLnrNDSu
WY7ul50hkHlMsWygtXmzx4p0+OiYMqiTAgCvh/reFyQ5mQ6w87KQUAAZi6tddh5GE5TXiMXraTL6
IzoMyNy1+2hOwN2Gse3OdD+MGOnYCJh3FgZqvIVPFeUdZZzmHiYHMbIjyxDagOSwKj4U6T4ZIN0f
crvzUUm3l9gRy6VqLtLVDC+FR3aSYr4Tw2gHSeeauzo2H1bRI3XKH+RsxITUjPDKRp602tRlTTR9
lSsUCG0gykXH6QFWwsevjf5qNDC59Sfw8xeq0+FJWZoVxanyPqZlGWguYYGgLu8K4gPjPOsuEfBI
n6vQela75wTCLVFOU3FvRoka4Kqtz3pvPrNnhlpedgrRq0typ9gsrc63pYrjK0UExuQ8mg/STPYZ
WNf/R9h59UaOpFn0Dy0BugiSr5lk+lRKKVt6IaQy9N4Gf/0e1gCL2d4F5qUwPdPdk1KSYe5377lM
FCI834DqsH7RxoMnsToZXTK8Dm4mWDNRDpcFmdTmbVNu1bwWxscyGO0hmvh6KooM49a5YoYXG81V
fB2YJWcfzK88pBjiaLUwLn2WZPter8x3TEEutcxnr1/KreHMAutYctY8k8136ItLmi7XsBy1U92Z
uKBx2e4GcLm8GHwEC0l7X9uJdZkYBxzC2bvos277Fmag14bna+t5QiHjRF8tl5Fbwhg18NpaHNKo
wgJGg8Ueen91zO3CfQIjcvNSOlzxw7zALJyDxrEGaoC16BTvUtyyZziHKQyL1HltLfOTpW9jwTl8
BYC8syJwycVK5eQURnHiHDX8ZZJfnKb4maaVtrW0Gt9vOogPhMos+sS+P95ijoiB6oD3F63d+1Sw
uTc1WHdPISyw4DsBfRqpD/db7kiq9HvOze1e6xzGNAsM22gW/Zptbg/IbJm/ZBbTvk4ZzxUhB1Qa
iMEY7N/7Lmb8ETn1q27OfLCRwg8x1rx6tfvaLo4kVrLVZqd9LRG2tsU8s6o3S/2DGREzDEODxSty
k2oBCX9trL4dCs5PNDSSK6hKsYO9+lpmgEmM+Dud2psgoUTBZvVgV6b0Q1XnPtRWNGxCUOweNRzr
notOKoe3uMj0Y2jBphfUwRwoBd1LVjuWKVxrIQLqNRl+dwXTdjVBPKOW5mT1GQfiUfJ08HvVtNjb
lQWH5LB9V6HBBDFCR+XoMe5GnJNHUSj7oPXKN9MYFqS3ZH5UlDkXPMf9WCd5SS7Fk1KkGCy3XSmw
7iYlmrqH3Dc/AAv64t8SnssG46njVOJr9CLzZsVjFyQekj33PuprZ+Oj524IW/oezQwBFsZRBK9i
pgq63h1h1nF0jOyg7pkM53Q2b7QSzcJb4sLXa2skU+QYe5H3f2ZrZdhmRIcsZ3ov23HyC4vDoR5a
zG4j+7gs1pXxFsMB5FdOat5mQeN7HHHpDbEQvDnan7K20qPEvFpXxyglDVfS1XPo+mrZ8aCN26TH
dFdEk43LDq4bc/erqalLyvZJffZwA0MPqMWNlV/iYzwz7W38jt9osrYecfq6Ya3iZmRmNjMP3E+O
3py0gehVKcR3PC3Grkuls9E9tMMhwtpE0yvz2aGornMun5Khf6FzIjtw8nWDeSRflEt8o03NjNc0
8UuT2SvayDt0+MlOTEP/CKb2+wb3uk/BQHpjueG8URvdvU3nmjwaYLIi7b2AVbLf9GGKygi7znci
cj70h3m+DKOHuXCHh/AHEsS0ybyuPRCTBAM141krC9sieeY8JcT+DvPMMDEaYSo71DJvbQLUFzO/
LqJJNuxMVAMQwDsigH4oK95TcZ2/lqF+06hbLlfWerw0A99PtrdJP8Ue31pap/xs9KT41QTnWGTk
QZxWN09lU521iMCRNrHlT3BuvMWOz0O28EsOUX2R4Z80hwczNYIEJlBAg+bvZbAb8hAZn76UX22U
AYq2x8anmABa+zL3GI0n72gQCIpS5s5tJ4enbK5/GLGpttDWI059FgjAys73WhqtEYUxPhS52KRZ
ah0oVLB8tx7ng4CUuWlU8ZgA6A7qqjJ3hnT7U724P3vlVWehtGE7lOYZ1jQRmiabKEuZbnZJsbiz
eE/UFwzXscpetOIurCF+lm6UXBvbeNS1aDnVY3Un4MRwwIs6ydCI2vRivBQpBz3KTy5VLOlbEQ0A
4nFHMXKyV71tnzXnl86c6EzTQM8AsOG7JGROpgCLqHXKcH6fGfgFg8wjqAc5ZXHmxLXbjM5dpMmd
6iw6cNwBrdargnmpPxFWeYKMx7J14h+juUHFAQMVmw/d6k4yqrbEBKGnmP7bghJ5EjTuuuM6IXMV
cszzAZhttc2j4Wl2AAtyo6THArd5Z0uGbNJpt3VLizdYwvNYuf05hVRFhogDotu9KOgrWHS0cCNz
r/P1MTYDUxdJUGYI0Uxf0F09WGEi/WSrNgkElOokh8mH2I8LurP9lFvg0bDlK3HEYZ+pCrwt8WC/
1TXzJF9zDYt5xcmlyWkeY363wXBIVUIWv8k251iT8z6Z/L53bAGb+nvKovlpXkQB1Gj8ZcwjTJfB
3qeZOFhTIwKV2L8b3fstAG3vC6P4KWTWHilo2Hl1SudFSkUcrBb+aKX5RkVhbHjeq+mVX6S3yM55
y9rxXkc7d0BSoca0L62Wm3YHGhOnFtPSof6Kje6Z38QHpp7pCFGMo2D8VC6HqmP7QUrIP2LCTCa1
KvRHiCPv3Iqqs4t7YblHr4rUUXPSyzgObwbaR2DYHttBXN3IcvZnDfD4pm2NMlhw7Dwx8GSGZB4j
0fU/+cNf6mybNbVDLa7lOzjvgeVx/nVanviRuWlrxv7McemWJB04mlEluwjZSWrdnilzc1F4Arah
bH9Ih7pwKP1REEMliJx0uZMPeZ5Hjp6qXeN8HwrOJ9f3YTe1Ru3z36UBQhtzZsKmukb1QTLtopXD
DgiX1a1PlkDLqkNsjv22QFzxiY6pbblMrs/XVGyZN3vb0fhqlqIKHnHlvBMwZr2Zgelqg9kehkXf
8pWrh2Fy7UeWfvGYF5Lgd85GiQ3kCQMZoUvdoZNYczmRCczlZAN/mPF45EKVf5IQD2wHS9SQNDEm
fyvhpN5lHBGbaLs0McPwFiWmm4fuBjOs27j8WPQYh7/AdxDWaWWxtVuFkqoV6ZqVeypdQrSdhkkW
o3jhzxayh+51w2FJ+aFloun+TGkpxxo89S2PXFORGHSoGrPq39CNCSxFjW/Y3Yi7yosfIfNN+ymn
/kLrGRDqXkKvhjSY+ij87r1rfuULc9EGLGCZz+TPOprwWJXdkgmyWYDKy8JLkuvVOXWZgVpD8SJw
3wCAS3bDYD8n9KBtGsqM22QIRk+8VM0S+sVpJs0hm/g+rn/EsvxsHGDYouAB5dYnIwZL09xv3dFj
b+yMm0eKbTiRtiVf2ISE37HPjyq64hmjMygjiwcXcdNVVrnVMl5S6RXbtq0d7Bw8YVWdfGvjtBVe
824MmI4H9UUT0mcbDcSTcTXMbXlrJ2vwa3L6i9f7cT5ar6sVuUUmuQmz/jGH9gGU3T4vkqeFfZBz
DoiL0sUvsFDYZ2XfgkhzwVlReNQAxy/SnKwNJhLUZyyLf+yEGAtVf1AVCSzknHgARps3aji2mSn2
wzScka1Jiq3+sFLvfd7jV2Bt1zJvXuPcjvwq0V5L0uQcO4cY6RbH1RLHvHLDD0tZkT/SdZJwaKqS
KUEDwCmPbwLGb1q8TyYH66jGWYY2onHeEFOBAWe8DCVgPGPmn8K6+sNMHuOYk0Kdf/BMftqFjues
tKJdLbsfsE2TvWmEbzB/f2ZzZu8zTadVaJgO7PFg60HD2XjNyPX7i0ldu5kad6EQTtEoMFLOlAYy
oCXTZW3tGHlFuztGU/NRLOeM+PaGhYPqx7isUQjswW8xdtqq9jaRm77aVYf9jrAIgjaXzEpbfJtf
pG8AABhgbmwrNMuq5evTy/THgD6IjUWGHDGtbT/xw2JI/ZNrLjnTxTdn9kngzW59wbZpZIIvxmZs
R0qx3aBfflMN8k3EEdkY+QDvJGcnpR/aQmN6awSdEUnf6THY0bzE1bL5LZPwc5Hd4rfknPwqfxhS
1wmi2T5zZjDBTTheczBscTZtHJn2kl2GyCQoqkoIKobzCNMQ+a9ldj/208GdROwvVfcZZu6Ts9YL
6wu3d8PrzopxiOHQT+admgmsXoXMwmUaN1mKi6xLzm1d/4wcDnJLkuzaZiyvhnP2puVbzwvNR03x
dno6nMWUfEf2ROiNpCn63WOqK/JMjetsKK7ybbqzOqatF0CCj9aKIQzjir6QuvsdNmK6LViMCiP6
OZn2+MFJBQqxU15F4uATm94cztxbW4tiBG9OdpXFr5ahtdhM9dB8ZnRKbwbNyW69QnJotMXdufxs
GN6iTS9QvJXHG8AXN2JUbo/zQr5BpHazmSLS6bptPsALzy4l8w7NGt7cxjjJ8eg0Q/GpW1rqF9of
LTWH07DwxIEIjSiatjaTlia+3heKhWoOdwuggY1y8JGIcXgFkDpjiOwePcdBtDHzS29p7snMxxE7
ESczojcuqSr6w2heOc6Gxs5RcpulKfDRHitjm3UgDCif6vewqt+5krU/Ullzb51H7RBSmu4LDTTD
HFL/VyB5bTg1DgcNC9DGK/qra4mLV9ZPnO6M7fCoLXRumBoNV1gmCbjrRbxpPHxxMm6OHXUa5TyW
D2Wt7nLumQxQvK24e/plZz9JkKUV1EN9wfK9RvnYw2zqYSeXkhENhb2ptEerejA6Fl6zxpA0VLdl
yu+L3te4qLNsmz4ULaUlAvSfj7E5PndpfIuaSB4xcH2Gpv49YIrkyeeSxD3mm+WGmtBqr+nY1y0K
QiaDBsM12z6smzqJYNqPq23XTYCBuiaC+E3jkAcGZd/x/KV5lINbz8tjyfkAyw/+qOk9ViFfXxcF
47CkR2sirdZj2TpWYEjMNvwTJssfldn2E9DNYeOl81M2cJNMMjaFVbXC2kOAlEgwb09p+6LVXpzm
c67ZGMQSfcQCjxspyLkhVKjcJuhM80u2EeDfRHsss+7Yz1V6ynWjJ6fN/C5srAcY2988EQVOtDGs
a2z1C5hx3ciupceJgsFShCm/f51G2FdqWPqLldfHqff8qScBi2JK5Kpq31Kvv5PbkZiFGcoVfbFh
EsQJXeZfZQ7VH2X+TVVYPmeczLRaKHM3tkpenJoyhN55pUhkTW9XoGT0qju0iXm29HTPXlfuLc37
9jAif+T6ZxWDXbLQAw6qKYddozQDIgPuMASY8NAcBwCeeT2BSXDeraZ4cdCcg9Dr5vdpSrfzwogz
TPaktki+hmJbL/GrMYJiTw0tO2DI7nZJYkafRusGci6KG7VKB8aSG74I11dtfCiTj5Fj5TX1iEVr
aLCLzAHZIpqFyAhLoR9rgxOeV6tNATEnaAhvcSlbLVHmnTYTmDKN8ZKGIftRXZ6iUJ5U3BjMdOd2
V1NpjhsfaMmg6LKbq9+lsKEbyF9TTWdVQebVrzKtQiLl6N8Ut6HhN4ZtzopM5neKYyGzpMNQYTYV
87DVx4WGu7DWmN4M997UPxUfDqauwwzXmX4VMm4pYdEV0A7naexYt5q52dktnkUhiV872tQ+UHJJ
MeJZj83hSZkVUhVUyZS/r82OktHrgRgw7UFi8eVkUuJdzNspKtRRdPWOBG1xMqbhHT+2u7FNHMLE
pfvZeRlpRTL74RnGcJDUHQVmEqcloceI6uTHetQycmqadRK69xzVo37GTH2lNYdELssqVTkU6R5Y
ka4FPI8LnZi1rzvJ0Yk1VDKTqzR+BHDwxE5qrPN21rmPc9E8ctQmMxBbR1eLjAct07N9UrNXFckb
yD3zAmomaEWoP/IOcwBu2LfYaLadXXO6WEFjkkRCDwOSGcGaOyH0POlo5aJ+cMvpNi3cutlYFeZ6
iClPo6VzLrSbj+FngpHqUC7yU3gi2Zd6obb6kD8rKmvllIAr4J4eaDAf4Cqwk1dIFIZkjL0E2YRX
oKEnB3QcGOgixVgrlPnUGoTAywSnHfblrV2MBG/5erqDDL2XzJ6HKwmGDQ1Taw3U6rPK65NLW1Uw
WOwJqRdTjcDYP238vGY80sT2a7T6UuuBNSOzzqnD0UtXl0VjItoQ+UXWnX2GkPm+N1jqYrFeOjwq
JBSW1Y7cKCUKcALiZa/PzXXBc0hWwWR1YgrA+IAzPA9m3H+ntWH4TlzuqnnSN4vBCl0ZxDcm73us
wdKki3qRFQ9KZE2gZrhU2pn5O8eK5GcL48lYk28i/TOk1u+1gqp2pB3MeVIHgMIjfhhEPTeBArSk
2MHIKz85oMJVhIljQaH1mjf0NehjVv/m1MZ4moW4JdxKmbUU1s0rlsCawl8ZbkDwPUI7NpoDXnrK
voYiq4JG3A2DdbSbwleX8sk5bBWDdd281JRQmHKyuRnDEjba6ucypFwdliw6jA7k/NLsaee2+DY4
7naeHmP8nL9GQ/o0rVHI4nzNzoDenn95hjrMKz95gs4Fkhj3KU1lDT5PAjh426y1SFX4lZY+jEW8
+vgXpg03Vw+f+A3uaCV9pHuy2Y9ZfxiHEPvy0lPsZ9DbTBusTwEBKcZ1ciVcxaG63lJsbzIOm47G
Yj0oVTl7xx1+a9l7U7M5O6RGWmk9UBiQBMMCGdyhSHS0ntB+P4xm24UOl8vOCtw50Xwvl/y/isfS
7eOPeWmnAFrqsOnzlkE1t/q9W4KaKMRMJSrlZvPyS1trt3Q1/eIHEtilB20ft3eahO7e07JE0ysD
r52Qbn2VvXgQjBBVJnCj21xoRRjes8JxETsrQEQkyeO0QfTJmj2Pz1U2LSVxFIGFfXw3CPC4jdZt
DGuutxaQiD7GCVOkaWAm9N4OSfceAlJhzjHtk4EvaOFMwqTV2/cjAnZcMp+PF/AZBNUL6SBk5OPG
Uw4VaNNMaL9gda3yLjBk4wZoQJvUkS7qWDsdNLzYSpnNbaziD0Z+MkiSzyrzCO6WDohy8dQYIBJ0
6z40GYdMO78C/GEcZqIFDUX04s0/iwIHeq1MfBlhvgUMMG3JXvW+5cnSrw3et5LtCKrF0Fv1B2Au
Ab6cGjFbI3wzdNMY0GOebjRFqR1PxL7VdaANzVD7sTMZ+9klJC9jGfqOM5E1iOUGyhdNchoSA7c9
YNyx+uhcukbK1WRZDKc56vNN3stTlBhUT3LtsucZCwqVZobsOyhbBDFgGj8MhcfcgPkTvcZetY3L
7nPASerEmGLbnOFKSNtKiC8pg8PeugO75uxt9Lr8Wv/XZJqv2EpvjeaduXgFSHtk/d5SPrm04FoQ
CRomubPp8BXx9DT33Rutg8ESay9VP06XvDZfaCSlqpYmLoymjCq6zCuPQ9pt007evaSYX8h6kfJd
Yxlmme6aJt5FbjFuoqhqfMjK6ANjhDLbG5pfpnxAGrKuy8AgYD0Cm87fWV7iczVXt1HGDMWir4bL
9dZSpF9k4ueDcHf9PD7PBoekiN4oiCVAVQyKefZ5J1pKIlMvqIk4b7ssajeqoIANZ6wdGBP1uYgq
y2MWUYQ3IYqGlGX7pvkssH1Q6MS2VoXlNYyhdMw5FUOUjHGlcTcmVo1yxCAFeeqmO5nHlgJyIcph
M4fzGZg6hwV32rkRCrZVTl+TYuwsbMSYzp2r4+hWR7RvP7PcgGxpvbMJ228tYMNdnvGetQcQzY6f
eEsdRD/CbH4fwjVwmNoaZyJSJLI95fEg2eXOUeleY0XAS3ficL++tcCqeixBs14GQL1ufSm+9I6v
gbrgzbJeGtRKt2rFrhqxmip9lMc2yOjOfJDGJW714ggP5Ws2MnrlaRcPsrUb0dQjQAMou26Y/7bV
ku5sff6F89de2wQsYqj7POKObNXj8CS1Q41J6lCZKgQSlB9ShjAjpluCgOU2cfIQ+AWRd0fquI4U
yObRueu22CecuEDywcchtzb6umsQTBH9DTNjcjTDhMO3q/y+vZW42TmTNM+mtUo3MXD6vj8Plrvv
coYK4xzznpg19ZNlngYpFbD4+LQMF8/ynIZds5fN67DArdMV5QdGnCL0dle9U69eIV5TE7kQus0e
Q4E/OohGOf2Fm8758ipoU+N3r+SHYvqwSWzsO1Ni3PMilYFQ6CJeIr9jNwcZlTRVMFTEd+mj0Nbh
bTlbfi44sjfcRpyqeO1mNtn0arpB4xrM6qJOPwwUluWwCErGy5y0ykV8ZemsAo1N4pQy8QrifgYg
FpXXAuYqNw3MLVZefmQZ7XJl+qsEA9pOkXMmoOqXhG8OM9tVhw5Kjiw7VhwX31Rz7UirfYpYTDid
dGyWR85iHv95XLazqK6Nnl1sNHkU5ufSq56swewuJsCOsOUHsKMqox7Y4vLpzR2XZMc9UP9HBi7R
242l6uqLqG6zqVozEKxeRy3xYH39Sd2UtsafJfdTXx808qY1xk1ZgKxMsCCwCODlysxlF8WivcCY
4ihj/IGWnayDzxdDD5EPpPMx2MM+KegPMbTBeESdMzZjhDBsMRZmtLdQo8uhAX29DeYJnOA8ig89
oROd8a1OXk3FJZvUJH4URjLdcvNp9h6SvjTf2Sf4uVO5Rh6jjRLLgKbimkHk4KaCgDuBkgS1ras9
fbT5ts7QYg2ieEHksZDhO1sI81pv/fgZMjI8L3qb79U8PPEUUaJFBZDThZdcazmcEkwlbch/UT8S
ApaB2/Yj7CPMoFmbvDv11tD64rWdi1uPTgyvJtyVbDMrZhATquyDRKVkZ5vmGWfUowpVs/XymNNp
fleSzvWm/NE7LvxB4kXY7XGsZDPspIYjsSkZRykcsX2dEwm2LD+sMVyR+gS71v7s0pzptNpyDD+J
jvQp0ECU1EV7GueMI2TtMeyOM3+urB01nHDIJKxEs1pvBnaX78vM44AFkIgGEoc91YeK1XLXm7y1
ceK6FNg1CZ7FvHkND7bOuqcEwLBiORbxGtM2BeLywJo6Yjjc9k71PbLhnxair7nmJZshRd6lfvU9
Y11E2w5vuFGqzaQTF0U16FpyUnFTHv7CljOq9BrpuRzs06NR4X3x+pve8U4Qax42qhGM1sJih/Pq
m1qmZp+ZlkN4ZmRd5tdttchNJhf17eJoNJfFMsZAnDoPHgcodyHtmeGn8pVbI7DEvILKs2F11ceK
rig/GiUrgdCuXVP8DtN03HGTnvUfbbwwnVtmvLR3Majx3Dptf9Ry49BWZPtEscgtaxu0VvLdkefa
hxxjjELATUeaNsVo+KJctqNMxUPc09lloaOxpXKBK7Hl8dht8pnHsujzgBEQt7Gek8vC3EzN6b0u
IUZbXfhqdl8G3QD/8gPnuYKSk3SO3yVMQGObw4qqRUgossE7sXr+yiQ5JjaFCXpq/F5UkYEgW63K
aViAqLYZb8rpqNW9OBZtDLeDASEGbvDYrd6+5J4JRVMzTFLWPC9/B2ojBsJoDrOTvqZhCP+zg/R0
Y+aUzgivBzhaNyecUdVWA9NHzu3NTp4dw1iYyId3Cx727q/Fs2zqbR525kHQAsD10ESTX82W7AQ3
e8FC5sFTAC8x7tG7Z5i3ZLvXIBdJtZdujKrTqHrjEOsd9onpRoiiAxiAAL7p+kk/tYIsZRxGpJb5
OKF00CT5Sz9Ln6cWRDczHNsvHNWDAPyfkoRk7O+I3c1OWxsENLMltThSJ/yv8gQLTQ8zwhJmviaG
pyGs1Z76b0ulODsaorO6t76aBd+qVDHUA8NDEl+7GqKS3hXYOzcbQ8CugudUu9Vhmng5pEYZTh4n
MGEUXSme92vsxmanaEuRhjxMEFKPc5dul4wHsSuK+8A+nG/61VQK/nY4aU75VemFGYSUq9B3bXv+
QjgFdJ76sToxGNM4L4s+uLgOcXNujTay946oDkNcFEG3aJ8GCgTjlRLiUSj8aSidgNf2ig89ZSxq
fpaLp5+YF/EHbLEjmKlNHZNntiPOMJ65GGuinYMXxBZp3jO9dgPQB4zEcu7q6x9NFp944WZ6eHJ1
gtn3IUssr4b+IPvsPCl07SEiU5YYO7qZmdXhOSHWzN6QzLfWjV8X58sCuIqrA7dw7tFJJAgW1rY4
Zob552/DWAo0aAsNFuJlDkQGz3KKBtbYIN3sgmMm+CwVZn2AfZCUkMC23RvTm2UawCRZ5DxnLI8p
uvspzEL3RIjDN0vQVK5lGFs0qdVLGyv5nZvmamEsYVSuicM+kvPW7Osvrrjv7mzMW1U4VzbAZGPr
gzpVwIJObpXau6Zv7linpyApnLvHdUBwIymmfk+4OdzC4624F+VnlOcGuxNvn8bV5hlw+NsS26Sy
K+1DdrPJ3TfEb5x//XUOO5w+/uV1Voioezv1nrg4cHhSXyJbwwH9khFWH26a50XUI+/KIQLAzDUT
EbMh5FjdomghQh2W85ZBs30qS2rv+Mqwne50wZswsEUz3jJ8zUPKrIVod62VP/99q4wQNWQyY+it
hKE1G0wj/27IzjyWf13Pf/9YoBjIPLxFMzGIXntyGnImKOI6aZGm2JmuessNb9xx6HifHBvMIxjZ
nSK6zRuIA49C5z2NT8ZpCPHdKf3Cso0xef20bYV7pVmfFD3U07OtopiwPNr4LKd1d1A/YoOUqdZE
/CsEkZd6rapwVoL/FDY3sXBdaSqgBZZ2pSEsOVisSXKkmYp8ws4A9MSaTOA1gBf22ysn9jnaCTcK
gzOu0WI3SkS11NQOfbM+3al9ytZuA3212/dxZB9MxWVfMvwBzItgFoX7ZrFxXlrF0eM8hTBHdC4c
lo0X9r53AG1VYdWdfyGQs+9TJx5JNvS/L2BksSRo9BX6roZYndD7HY3rImfCgzSGAKBs3mUPgyFg
JIH+3aGJ3ceMgao35hH2j52D2Wfj1R2vm13hvXIy7qj/Fof6/7J6axbv3wNrnm5B6cH/iSpnkHtZ
00c/v+5JGa3Jvv+KANNxMZ9bHOrp70XYIZhpKlxKyTBJxeQl05Hn13SFfcJ4YiKhMDVT8stDxvsP
2Tn+of/zYWzLcIW51gTawhT/DA7Go5JCp7Fd17FPO8JudzSuYDnK9KtZN8/cSGDvwgDWcF8hBcUt
Aw+r9DvDXfAtV9FbVT1nvFoXB6LlZXVCIzXf6zjLHiRKWTl2QF5UjPo0h8EUu6UPSku72RwnU+hn
UHwT69TnRe8TLOguoe1gouyZdBpJ3wLETtXJLTk4TVmxTww7u/e9aWOMe6jDMPnD5P5bH+GyGibB
8LHAasSWQwi6ZB6rF2W47bXBfiXqTCQg2uIJ1p+0OmF1n0ZxzGGk7kXF2d4WnH8AA1NFaROOn1Jj
x+Oo/ajw8FrNsVpVlKnRqMdjWFjEcP/cWk/eF4+j5VrkinWEhEocHVPpjsfB7o+hXsubndQfZjsV
lyjWqnNicbFRYXmH4OiekCGIFbSj8QB0LfLrNmGZFCtG3lp3zMW1bvo6Xyzn8EJnafSGiJJHzMy5
dVs7V6QPk+OgwnRMJbDc0lOWhxjaqtQ96qJamGrn3t5kKYVZ2fd7zA8GJcn6Ry6W4q4J9243+XKt
EKP9vrbNoEnqkfxp2u2xZ61adPudgRU7z7h9yUis1ctmrl1QDn+xVRinTPExsxQRcTIK92yH1j5x
pvnilCyClernK05BePC2uNG9Xn3PcQZc74ldovzCaJAAD48PTC3p7cX06Ltm/ZaEc3bRmFLiarN5
7sPsEtsLGz3SIvll88XUyDnlS/qD2MkBeLUb4GoDBTLay3vhVe2WLPYfqzbNvV7wMJFHUfins/bN
c/pPIzcmtE+ksEnlOn17bXG0w+JxWP8qleOE2LH+x5IH6mqZPVTOGnR/6AJq43lxFhRBpv36PBDI
ixyToP76t//9Z4jtohipMv7X30jngONLKiMPIRSlLfaz7GT35KYHsmybpTU5kopkYKojrGMsvPne
zWArCLjCP+2QfNw3O8U/UDKIjqki21aRs+CZzZ/piG+ulSd1X89SnbcSLXXhJIULBKIF72T53E1n
vEPFo17QG1hLa8tInpJcb/I2ucQ8FvfyKI2m3Zla+7vRYjjEIBxOWoWKQdqr3Ji0/N45b+KqDm95
w6M/EFveFrFpU98VEofiF3vrp5D2qylzr3pbppzEYVMIxMI7/vNqU7heegztjoF3SGpvpCHFqNP6
lok/TTROry5OGmH0UdBlqHQ4M8WZasJdHhJ8ydzeYDvE4evIFC1QOd9uVLUH1xyBmEfDc6dF9XUe
JXNMINtJbU27vobR4w4LUl7V5j6/s5bu44VRLkKOhqeCKNEShLOEK8i5OC6th1Tq0wlSRZBn1XBO
rfavxtRzRwSBFFUx0IJ5ms4OhR0+w+l2h2E02Tty+UbibbeY/fK9rqqDm7uJLyJkmf+wUVAL94+N
whGSUhWXpV4nFvuPjSJrDTOUnV4dcBTAbSdPaBtletLNIoVMYoZcULLfLc8xiZkcy4CbVPjfYQd5
Qk8u5qjdjIaLUlkSImHW8gc18T98xL/NxP97L+MjetImxbu27f5zL3NbiciHB+owG6kVUORkUITD
AA+vl3nW844nvihSiFB89gyGWA946JQLS3sc6fAx9CcIi9M1Rj7cjovb78d2dq4Ss1oCCXSLL8lA
6GZehWYItpcDPVJnZf6HXdD431XBwvao3gAj4ElKvTzLE/9ozas1rPS6mitsY2VzpQDikQDeRnL5
8IUhymsH1LgaLxFrIBpWs0/m0maiiSGP1YfKj65+tVv6D7z/Zu+8lhu3tq77KucF4NrIwC0AZiUq
tVo3KLVaQs4ZT/+PTac+tj/79/0pV9FsiSJBAtxhrTnHnN9oJ6GaqxoFvW6BJ+zvLwlD/9Ml4SDz
EI6rqbbu/unzxoZIYHHYooRPoQlo8DSCrhYWOVVTUILWehi76X2OWoBeTvvSW+/zQivetjqI7CXG
DtI8TpYOJn0OR2VXFe6XsrFPhN3NVw4i7k2bMdWbbeOywNY0bw4LNixk0LNWxUNm0gD16sLWdyNZ
cYFbFDuNPcUX4F4f43qrLM58rusIDXRu7KPEtXDLIvUXPeWdzEYYQWU/oZq0bwWdvMtH8z9D/j8a
8oXGou1vDPkfbVGV/Y8kSt28/M2vfnz1J0PCHi1dqKgDTZ1k5d9RlAawKYz1hmoJFV76b358w/xJ
yAWsY5i20FWNheWvJEoNfiVRr/zGdFRhGva/sePL794PI4zmmibSX5sDZIlqGOKPXnwCUlY5GOwj
y313qPToiBDVacYuAVjjhw/m7udn/RGjocsn++HFDMdSdd4pfjydBE/MxPz+h6V5OIyNpldRuF9a
NWPbJZUN46wT4aAnm2aluPO96wTM701DSIlbOi+NMh/yQuQQD4vXwibyL69MXPbdhPAF2d9MccvI
Iub1MnlKHPFYgzryLQt+bG66Qa3RgRxatHQGnfl5tjGXmMlVFTn7qUPLrwDswInf3v39G7X/OLXI
N2paDHsuZ8rm9P73G4Vdgzwsc9w9JZ79DNKQZgftXsBbBLVQElZzQlIS7Z220yeZyft6bu8EHEe/
x0WIDKPfRmFBYan4LIziKqe/GDhULWnhmBua92SiWUmz0dBBaFWHybxQv6BRIhRuR461ccDeemBj
2Pm4lDS24Pq1HYHnTcF5CaCBQ6WzrxXV1rWZuSyDhe9K84GuKlXZOsaVRpk1yFuVqd12OVIob14P
tYZ8CsSlbiYZolH/sjSwsGIijmJHfSqTRcALjGn5u+k+dVAgEB1v8ifJp5qS5lhPd6PFCYg7PQvQ
VCzrByu/u0xEnxZJod6aJQ/obQINDDdlYanzMbKvVVPBP3DHtxHntk9Jewr+4Vz9iUbBubINzpPp
Uk7405gvWqPWi35193GsoFhtwsdUz17dHpN6yW61JEgA3tEw+BHpC8HYwNKs2gm9kbnvFKJHsMrt
1DxGOKNjUcpiVCe2RQ6OpgVaMh3ruKTH0zgvc2floP41i4LeAm8sRaoEEqet25nGa08LezmrX0aR
m4EWJZ9m6nbouihG4IRDGEV6jdeMyqadJnezGu63PDbmo942Lwhbr4yqcjwlMdPAIaAkNrNTwYJ/
mMq7gtQwcjpkeul4lagZts/yDrd1tzWP1TgdFjximprfpKFCf76/MkHrz2TriW4Ep0+mDA9Ad8VZ
NEpBT99xz0JFLRIuaNXiNL113SWAsf84d9mnw0KcE3VfuFwx/3Ce/mLscGwYFazXQGL8EZjbGfow
LPZEhUKvJ3wVK5mKkblsVTpevfbQG9nL37+g+ldfYrKDdTAqEpbi/GG0olreFbXKK+qzfqot625l
DvcN+WWwygHLdHmjIwn3Emd4yRau4KTiDNuVlm0GlFikRn9KlluD6GT4+vfH9lfXLPwSh6vFYIj5
I48IM3hZUgh297Z25XYV2yI8Yj6zUgf30zaRMQOmK5EQ/uuXNYRqoMdwdAeN5h9YQJgCNYewDmeP
H/FzNp1HUTMeUFz87JoByO2c7dB3Pf79i4Kg+fOpNzV+bFMih8n8xzmKxHLNnfji7kUPWDWJsJ/N
YJ6m/CqUwXZoh5DRobDxjaewsx+zVFoBZ/zXLDM/VRVW14hzwGVa4mtXXJNkCjaRQSYkoWSX8DQU
/3ZogymnpAu0LWHTo8vhwOZWcWeQ6usT5oEXUDmXhnUssQODBYvyILNQIfG6ZFLGlkcm3zatgSC3
4s6iixCwLCSvIafOZjEBRDqJ8hXp9a9AMKgAlhGOx5htILVAAsIoqFtO+96Lp6ymmx8O060bNqjb
aKZTf7Bfe6ANmcmRTfRjg6yhbUrekesbjvE5IxRTQy0L0gThbE0PzcnINgGZYEm5qBx48nnFmslk
IEAvzgunrabHgMIafBlNPD1fHvWxehpU+VimVnoByz2SgNxvlFFgM3EfjYgvXujy4ZqN/mKRF5c1
cnZYoGlOTVMGGhJwJ0a/SZ+oGgiKmen4ejkCsH+4Imh4/PGScIQATWLamu1YGInld/fHlYQW5mw4
23kfuRrEPp023XhLMva6U/DO+KN7dsS8eLFaX+skO3lxT018QnxBehqpZNTWx00OEAPqYdlSgxB7
1ZkGj4Y8xsGUiYi1im9O1DLQmsGxGYCKaOoTMhXV1wryofLtwIAe9KTu0PMivgLrhOIp5jtCBVp6
BQmrXUFLzpngt+S98Ehk2IQoOKEeo/yvongbF8tnX1pHaBYiMEz3WyUObTzdu9XUbJNRrb2q63eY
PNvrajW+Z0pn+mG4PM41NQLGLIriMuuQlCnSWUV8lZvlvdMAxLRm0Kx1lZlILrUXdyA2UcNaBsoA
vCUCs02fKiQPrqG/DiyxIrU49Ksa+oO6bMEGDdt4VL5Y0AjnNl52TqE/QWz4GlZI4trO/NIu0hqT
Jw9pisYTv1FjhUqQhvaVk6MmsIDANetwAJySBCN6Vl6380ObgJKhPfQFYvMmnh70tN5rY4JppUgC
K5uu2yXF9c8nZOd8VMZzP8FLmJvxvmzMz6VJKoye9bbExueptZtSv+K4wzQ+xyysCRrqkTdk6jZz
IevmK53rOV6QxWvMTnRM+axQ26E/EFJECdFs2IS6CymVxVedHWagiqRSIibWLDoXiYZbHEEUKAV6
II1O0KMaBktIuWQlfyBw4uY4gL657bo62Y4rcWUQAYIm1UHn2OClyoZLIqkJSMxbI9lO8CU8XS+g
1VLS86IM21JpolGWk7OeIPXO437jGDXaTLV4WUwiLXFbP69R/pCaDbWbmtInpaSGMiv4UayiQ7PP
GwIxwno72eaODg19V+Towq6IADQpUxRESQqX1ZNT4SNb6FdHpIYWyvgQdUT11Gr7VPB19UZVP8eT
rRzGLjupnba+lfAtKdp4TCXWrg6NZ7OhnS8I7+qgwTMMARcSzC6IlBkFAUnuRAyfGhW2WSV40edT
qo4QbCoBNDWvn2atsYPVRY/n0v33ikHdkYdJQQ5aDjJ+CCGuQuASIR9KlCWs5RdGFEzFFC3s2yqp
T2us39KP3NSK8lZU85lFq8dsg3ZCRxSO2gHxVjjiGy3vI8H5LxDUnUwgkR2kH21khWqyWqnMuqD/
pJD1xsi8IhN2DaLLEMoSypSc8ZnxfYJhg9UaS+2AJdFQtKu17VCNQQXxezXdE023+o03fyWVsPBm
hGx1uGieMqXXGQgHjzJ601RfW52+VJdoaNWKhdyVsA7ZtevUYo9hPHxvGG0O7cT3GCHMrjPDmxxF
RumYhzPhPvF1vWAOdpTyWqBGt9IeSWr8nBXjR0PryhtFuGdku+nm02A1X/tmeHQ77TWj99Osx2bR
EnjuMjx9sXEEy+rhak9fchO0Vh+y6O53Ztbc4FJGnVDaLQ0R/GaLTBuMkY7ko+1pufuWYSHwzGx+
yN0VfYhNZifWQxRIKP9zhvpScbTbvs3XAOsyWpcsBPA7qztFI7AV5CauTQIIyvBxUnBHz9V6A/cD
PL2Wf03Jn/Ri47kW1O6LFvKaYtWCetT0xdWYTRRwxedaccu9XSGVgBB3NiJL2ZJiomVpvFfmvqA6
7OOcSFB2LpYXaxbWNwOYKM/55Ewd/T19vG/IXUuprjEaaq7XGP2T7ZZnpadQqtNaLp0Rss9AOh1a
06ZD19ut9pPN/uaw4kj36pnIuHXFzFEUYYalZDggpcXKignec+P0LUwe2w7BwbQwaMb6uYyEYNNF
41zfobeKd4jEMIcwkqatdczc3mJQCPt9XbnLps/Eph+bKjCRyGNGwUuEhi73pumpdglT6rQBEN6K
3wgR4UTLIVsUWRtLMM8v35TklW95twnTKQ1M133G3XKeVeZq2gdPXU0vlqKh16Nc8s6YpqODheI3
axJ7o8dLBUO7wRM9DltRCLJz2fmxjpSlXMi8q/5Su8ZXB6cdwnoWeMybWG5OEJyOtU7othbQ0HvH
q4itoaFNzGrqqa+RWPZ5LYEZIJLC7otQ3PewSPZWDbBmCZXnzALfZqtVwF5/bDbVnO0HYbzgQHmE
MYFfIHduU3suvd7O9+7oBtnENjLLj4Nrf6apJjzTIQqpG6svk0u3EcUF1Jz4ptLjlzB6oSaal3Hv
iYx2daq7O7WeZ9Sz2v7ytxh9oiBheuvIHVhmvPY6Ch5vUs3Fj01csxkc0wh/EPYJmt/wsceUhkhL
5XjfDuuTMuTbBNjJvnTzPJj5fSkYc/vs0xxxYJLuAIJwUb9UK/2mRpgbrTHUjTAkUiZDVQ49gRPs
nObW/Zzli60OsVValD/j7iJai3be0kRPscZ2TU99NSXHVanwGNgvWqSaL0p7ThNxXyC13yg2uTaa
go9mMhjiy7YovmaVQsJuEkwLhBoLTtnGrEnVVFz1I05JxcaaWvbWHaSYlMZrqSG5mV96JNM9fe5R
2vtLJfYrU3laFtVADoRUYapHb2bBg3sb2B3TAEGStnGX1SetLw+GVAEp7Fw7YxvS59wJBUIIG8D2
5xsTGaZnoDUMSFc6s1wF0K7rM33CBbjNiqsLXysWP6SxB94uKmYJ17vc+/0mkgWKAgwD2r+RQAw7
XI+jJOKVubMDF12DmpOB90STbfu1ulkAcR/jpidZC50B6jYYTJdnc3rN3g14jRvC5wzHPaEqRhqW
9ze441vGzvK5dYpkW7Z9f0TjwMyBsgBEQYxaK1VRImrXtSmuRakHEG5xvvXadaohnsuKJy5xpl0j
A3VEYB/UDVYj5tjjQizQmmk9YCeEhB25gZGSfQxtcjethQ7ko/wgPfHajs/IlVnpL9FdGM7XLJOI
UrLju6nqnsoue2iy5FQM1Uc7zadEMwIVA7UzWK/GEZT1C9lPPa2A6kPLozsNhDppdgXbH9v1idsk
9iu7HgeLeX14IhbmgzUUCTFymYKRKRUrUx/FMEfUXrs4sa8sAMKIgZQZsAU5Bm7xyr5vwQKEnmTS
h3Iz2rQeKtI4C89EItBrFOxHBdFGXe8oiZcAEpvyaGn0pM2herZYCR17KZjKONFZZ5JMxVdUScD0
dYsTHi83SNkV+MvZDetuiH0KlyxsqJ2RT+aOIk1zpKztrkg+iZFr2uqRbKf3rmetcjm7l3uXayVZ
TdRzS8g6W4+GeBeqRXmMpdjscg//EnC6xio2MTb9jhgASyOfGvHcNw0Dnp9Z8SFpxdcopfozjeVz
6IS7UhY0ZAgC4oFHNkx7g8Ac3y1N1K3RE6FQcDEsl+MV5j6Zmd3wFZF5OERHZ6G+E/UTG9cRkRNf
gkMq890JZkWoxtLNN3QoQqI0N6a2fjeW6XCpYfYp0iwUbMhUCLCokBPXibld2+GFXRvLI6GIjbVe
W2HFetAkoNieN5PF9gSprdf26SctBcZLU/kAdYDRvuUN9JrimfUMuXfF92mwxDzabC9bm1bjjCcC
xeNnJqd1Wfq7bBJDoh5rCy8nFMa9U9H1v2y515HnVhMLc93YH2qNNsYsXy4J9SdVXTaYQ7k+KOFd
ylwKmLNG5K/NurKuBanhiTx978Ls08BVZff5wQKGB9vxJhaKjmktx/AtpCunF/ephs8/nHiQvdxi
y6o8t2J2xRFJNDrj4WYIadMmKja9CD4VyRkk3q+BarkxWrC7sIeaPS0s4YD2vzl9+GC25T6F9O+3
era38+GtsBaZqKNBotLtKy25IvTWgUiIyMmhrxpjt98ju7X6tw4IqyevmBlIWADePNCsFRxIvB0J
C+RTL+qNCasBsgLmWEGL7XIqnZCzn+JDJQGY7/ggy4pTFbu8rfnc2+330KIiUE7LqQYkJUMJEOWl
0gFT72yk9r4pqmcVX49PlC41jGw6tYYWBiRpskEF+1npLJqouZcIHmxUAwoHZSn93Twi3IbowZf7
cnpiRhrcCr1vhelrz4kgea58ph8GE5PK4GRWt/gpS1K+1ylQwul+NeaJlAi4QGam3yi6cxYmhZOk
YTXtuM69kqixB6aVkGA+FTuligEtg/SI5KyE1HovV102oyhVBYLzmdXJNEtnuoCky/ohHn8uhGQt
F8+qR0RjUHGk/yC8OHQe8xQCaSp/x66t4YI6ILW5nAA9lltqWYmxC/PctsZ7joPMd+EmUUj6gFZx
UxoPeGak5sfFaclHmmBHQs/ny0LlEvEdNUuiiuXprLI31rYVC58xvrILWcdVyPCkOYzRGQHE1GcP
YLlu0orq/FixlysSw/EGgTM6X3F0RYV6nQNUKik20KUniWXlgvfmnvN6KW6XFOOobE+HHhAT3Tk+
XqtAp5YN2r4gOjeAybnRZgrDsMOSvdojP8+XjLIR4Iqhn5ojrLzXyKAKoypXo0pRQrLh8sK4R0CR
bSnfMx3H9gmbXbwpFbQa6ehs3SLpwKWW/d4NH+KuS3Yke/KlTSjWtHt4g0VgplUGEoOdwurOBzVZ
Dq1ivkS0HtgV1JumDI99lH2bomw8ZAMOm9xZPwtBrikXsBlTWFPc7DWZ0Fa3IdvjkhfJqJuprThP
tb0rdKpzIqWsBL0SOxVZ2fLCo35h+mV2uvRkciX9pLzCaZ6cxyTXbvLVPHchly0LqA7xkgQfstwh
Avtyja0Gqpo51bd4pxe+uvgFxNCcO2n0iqvsU6yMtEN7DTvQIfWsAJu2mFTDVO2EeFIJKNiLotlp
eM0Q+SMTEh11NaU+LBk8f0H2N4NM9x6G4bWs4qKT6ZvlHsTwF0F4JtI+TQlyzHru2Mk6GqvgaHQO
VghdYeH7zDvsPpo6a/0liU+mCsWtpse3Tw0KpG6KBY0xxY9jaMSY/1hCR8RhANhEwJXco9d4a5vx
yBQbhMZyYMN/5U4Vtjwqhvh1WCWiiqVZv4Q7rVduoXQVkL+qhq6v1qCu32Z45qIa9Bidgi+J0Z9F
NwFDW1kUoBykiI0fnG3HTi1jzsez1RcsxqJIBJP1tVVzGh358mSt9l4t7LfRUd4x9iK8VskD0ljB
NTryFpaFSZpQijJ1v2V/U2vplzpH6Zcs86ttTorXYQ4Z9fwqK1T2NSU8BESd5LBY3U3oorjutcem
LUkYSm6Idb7RFyIVkSVvMGpdrS7a2jBv924rohN29m/qkL/0EZvFxCGoaRTYc3KuRxvoPtQHyDmJ
+aKGK2KprrlRXAOaypKkp2JN3UAB9mz0w8hKOKtO88IyxerPiUE900uG/bIWy0Yz9Y9w1Rrwx2Gz
IszlUEO9AuMrbyIBA+KHf7cuZc0GobgiOT1to7Y7XYnuW47gqBb54tsGY8g4K8upwwfJWNIEOuMS
rnu0lFWsA3hYrFYgQOTfbhzeAgODCTXIZKxCL69CGrLghEp6dejLKBZ4MXb4TTmJnTWRSbMounrs
s0znipB3axPj+eXe5SbLFDqmzN0gg8m0uNyEQx6zx0XF1MsUjN9/sYJQpeY/b6KUOmFbYXmI9Ido
0JOrGljz1BR88zIgIAZlkX0Z0p+kZMrWuDuQJuGYJzBz6aZi1sZAmf4iBr7cM10kWboxzJu4akrU
ue3xUgj+nyjhH0QJDprvH0rmf0rIDD7yt+mt/fhRlPDz3/yqSUBdgGYSiSy7MtmLR3jwqybBJDnT
Zt9Eq83gFwgPfo8IIAFDM21X/0WU8JsmQXd+MgxVBWZqmTSXNaH/G02C8af+OZ1YS0X7wKVN6qaw
/tBowmgQp+oK2mbMqNs6MKdXFUuCY4Hok6pstiXdJjIWLi/vYm9Q8F5CpC736jjNQQHzCVMFk5Wp
FpHPLt5bUsP0yP2uggWy5MlMh9zb4n7sN3XXA2wvYco4EJ/rbNSCqWLD1hWtDzLjaugqZatEr45V
dwioe8vvLGs4JQ4WWl0hIkxt4jdBj2cH0u1mwiF1ILaJdETDxNQZlLEwWFg4Ec6r6oMQu3VndDKz
iLfos2/bjGX3YszmTVXzthgr2yF/JVXTYfSHrjs3fbAswC/d2H5edBFtsji8cfRWwUJcZptWE/aG
/PHaX2lnQfvYhST/PVRpfhIRGn9lgFE6hvF6shaiyVdjV9tJc92qZogRAd1EMR+cQax7W/QQJ7rs
TouiVyvM1Qc6yYxJzlUI2+4I4Uz1xfI4VNCYFLLSGEZafDfO2qA/t20q9TIdLBJfV8HasCToatXM
h4l9MmvPLHtA0vk1wb2eX+utJdElXbxpDfxApQ2oxa5vVMyyyPCYkReS4rSCVV/bJa9DtUkiRSOC
HjA6+zP8DUkPnmTaFCSibIuiQErWU3AUn9lELpZem1SE0/7hkl5mqZz7Lfvv54JCS7DO7EmAtJxi
y/IpInw3ZQO3DNkNQWY8t6N2NrOhA10L6msaWJ4mbDi2t3FG8nw2AfyLWDsaaZBDCh8FZj+1Kq6x
nnqFYT2GYRl7dmdRRmwX1FzJunXT5vsFx2s2i03DkAK8mRZ3MS+EX5oNk91f91VDFqKmnUtFCvvt
q3AcrtWQZNZ4Lh9GQvmApQDmpyzhz1PNCgx4LaQDyViKzppTgCsurkzxra2Lu7ohhIzNN+H1pFKn
mAUoG0av5F0elppMJgUYNwmRuo5NI3ttTNzUNhLzISs2tlPmz7ipfBhJRT8TEBrHQZghzyxsZU9W
Bgt/Gh01PoqhuQUQtwlt5mkccI8cMfmFzOl+hx+7LlR1W4zMaAoYW5bJ0eAv+V6PlHpTYCBpB/Il
x57eYMF3XAKL9tU0GVurgV5AgB/dgGk+gB8BFUuYojrrwGfKvPZtVgwspZZDkkaPluqAM+sxVkqd
TOoQmglPaAK4U7nqbWgorFspsA+oMa4X5wEV0HSLJvmqENbOXusHS1n6e7BFW3eEP6q28bNe5xg/
kauwXiwK8hEnuMagJTzH7BviaF32jQ8LoWE0fAmfQ1L0OMTXdm61aFxDv5pbci2g3kjwKlAiZKRW
mEHr0jFFp4UgS7SRJNTOYIHIUJO1Y3Kov7U5afTmjU4H6EhR84Y6IunycmxTEhqWVRilBJR8gWtQ
bSMx3hcJCefUY7zRTqUomup2f+xKVFR22wahVdUB9PWOYkBzbsB6XenrDAiaNCl8WGADY71sNyzt
wWNUbLhUKOvrmNM5dI09CXvsTtCGhBnMPnvoCVSNxa0LlnkbAsFohsrH7/5QxSyS0J08kMIOWbcv
PvM0VAn1iMrtEqvvdgLOhiC26SHs0v24oDsqDU9VqE2rd3aDudNdpptxOWs64PBSLWmOxZB2ijBw
QvGeJmMSFJr5vGrlQxINtDxoYPrmEFonyyjtE/Vm9UDc/WZ0imgb1TOt2xmVMeDaYktExrve9O0p
gbV40qaUhqeyfh8zkuPCZasv83Oqmmyx1ZTml+nsdOiF+4U9qz13885VKyixocO8YbcWGwYzOtRD
FJA41cqBX1Pn4SRUIDFVXrITFKLfr+AxjYRAiCxMZXZzk12ZSLzUaIkPuTPuqowa1uBMM4MO4+gi
KfBE4LbQ+2lfF3r3SdtDtpJW5UQAhYJ6rTN30ajdKSB9T0gO6BwqJYTxvClOMTx3+o0yf8Ky0305
rTc9yIc9HNdrnbLNyVELRETsOKeIVIi4cTNpG/jiwrvaoUd0T8vY1Hski9dViqYnLZcUg7BhBUnP
DupyFK08lMu9Zv2M7dQ+Xv5R9NO850L7+SjLmFZfNvRgVukQYaY54ng32TNf7jaJRbvk2XTlCtrS
H+kGaoFC5MRC2NSWCsZ51qnMQfYaL7lsNuTYy70SS9zRUGgC9qkpgmodPwuT4NhqaRrYfy9jzk/J
v9nlDQbbVgNCJhbjLiqNbLO4K0w1Fr0RMtyDSt7kMNjzblLW62amHfm/BWjZJ/3yDwtQ3FUsyf5v
UWyQdH2bvPf/qT7/41f5UHz778Sqn//+18Wo9RPBYhaCVnKPZF4VS85fF6P2T6pqOy4SWP3n9ejv
q1HnJxfJDstDDFZSEYay9ReFLKtRlJe6xi8tFCLavwys4uX/S7XqCmEKQ1dxcZlkVsl3/qPWZFHL
TI2XWewh43vo5Ivo01xP7Ji3gu+sWjDesyKgXMsw/WFSaezGB5A10OG+ayglOxFuEjLaoiLFb3s3
1XuR3PbNi2o0Xp/c/fAx/4XE9q8cZ4KjRNOo8/GgavyDaq0yWWM4TsTRzsSxxpSKUbHdCVsj7dR4
Wdz6ip35hgIw3f09zLF7G3Ncvd4szrhvlP6bhjtjNMimJEommrKNkYfXCIS3k24dFrLKQV7K2jVV
TJKEb239owOxls1IbMJbnqZhSCTmxI/K+k4+3QJoNpQ/4xFZS8hzU73Lx0DK8np6hfLlKpPwBzf0
BdOdfKmeBmqtXzl04eWP5EPkUza1SkKr4Tlw5eRTTWZ9pCW7EfW7wbP/elANyenymOQBXg64mfA7
mxtAwNgekOvxdBFlo3ACjl/zWLqbodt6WsLqhfsN92FK+eQS89LZtouyDcriW/mYuCCqipxdqr/y
1waOhajmT+RDQXeGKfYxhFBOfwtF7KCB5WpgYDUtYhP+2kjcvSjCVzxlwAV4jqQqgyauSR9C5cnf
NuxRomXXcFRT4V7Lp9PS0zB2ewNGvXxElkznhkfD3s58+bJTLz41h7DwbPB1A7byyai2HX+RlTwB
r3E5Ll68Ue3tr29Vvh7Z0Z7tMmcLrynHvfyVoceX/89Qx791KaKRBnCefAM8j0EFLlSSnfx45HuX
L375uZJSJMy28r78CEN5n991VUERLUizR8GhLXr5bAjK+m0MvSzHy6RhiC1YQOPu9SJEHBb3x+ou
1R5J2AwEjXdBF45MWZaVG/lP+eBOnT3aCvuFVqqgxgHWh93HuAUywzhPahg/D9fWG0dcn+trwmvI
5+0y2Pkw2jFnX55C4z6uODKxE18elcXO49c/dTTaMilhNhRkk8TwQu7L3zXyaWECycXbSI2NKlqi
9g8CNDUMaFoRfEw8dMq3lvtV1ZVNZoX7sVlwZbD0gb/wBt7cwyUA98L2C5BifX3FXssXANnexhmq
8JDdz0r46EZwf3K9fs3IsiB6DimefhcW+fNUWylYCGLGHRYHnc0kbF83rSoVB36fZr4da9fDnEBE
cQaVZvJu6qFCkf3+mJUvWiebwUnYsHRAg7WI6b2E/VvEErgc8YVR1PguV7EZjRHXGXbeqT/TWaX/
A5qZ6IIk028ZxP4X9fifj/+fOVQ1bBX/0f89iR6+v8XVjyWcX/7il2lTVVWKODr/UZ2j8CI1kr9M
m8yZP2lUd0wmAMuxfy/hGO5PQgipHHZtJk9SdX6bNA2V+dTE2ajpJuRDZtx/U8KxVemS+XHaFPIp
IC4yr+uqoRIf+d/TZkZtfjDt0LpRF/DqWQlBIE6iw6CtNEXqhABGjO0aQYPyhiSXcWtF8f3PfAUV
qDsdLBmtLG/SDrZKl3aOP0htweWGSPWOnS43l39WczrRQ8tjehkaLnqpTLjcDFgbfyaV/PAzpSx2
UdieSvJ2IOcABDkm8uZyTwN5gKC4dWqkF3xdLmledYqcybvcDRsMGNNIzcOovqyNxbSgtMWmidr8
ZJvOHhbnXWi488btm5vZnZKdGxdUWljE+B2uWp5bEjksN8JX6RTXcVeA3UWhr7pFutX7QQRDadFY
cO1Dt2Tf3BIxFbyH8Uj+8nC8BBAqI1vsRuvuFJMftbILbig28I2oqe8XjPpbxeaYotR5Ghb3YGsI
jxpRHXTJyqABj6NSKidmRI7IeeXdru24q0kpha5CVUkU9HnyOC8gksu9JKnsQ9hvG4mUuNyoaxPv
xJTcziMed7x5+wvUBdIF+pbo2ERhskeIvclra9yqcjvwliZkUEvydN/ZBwn7JZKpPmA49vh85oMR
GQ9FkTRB1kOGlCqCoUvKozrpBhk5Ey3938IFL/ciySv4/WeLFB+gzkjP5C4OJBtqaA5+AyJc7l3Y
C5d7mqNZRKOHCMzYh1yO/HKDsLQ8Xn6mrISHz9R2GMARVF+Op5c8nijbwVzIH1Yap6xl0A2RDpD6
zVm/UjvEGV7zRPXLxuf9vUXcO4Oe9qt+W4otuKZR2aooY718G+5QW/jIQp3ljT1oozyQpwA3+Z57
7rAD3lI8jyWAhaAjNEPcgtDzJnbn1onRP1OvGy75l+xTDVav/VJdx8kmNYHDQa07jCBqqbV0660+
Pxj1d2g2DtJsI/ZapDRkq6E1VfsjJa7Jb04zqipU3pT6fUIxxwNY76eY0s2Kr9RL7qks2jRwcAgJ
lIAkExxI/xLW1mVD1xJ8dGUb2DeDkasQaMRHeufS3GavhjzYoFBIx8orH0o0v1vr2RrApMuPjRAp
MyNA2B/mIDHYB+5SqKor0d/uvpmpcoEnoF3sQYMi4bp2v9XfyQbj47sdH5Oz9ay4MDw2/VX/MI6A
Dj0bG7G3DjsCDzV3k2lUfXx4HcmpOhMm0WHI94Hte/bmDQmGV5+UGwi5zOf1V2qMRHLkBnw+DOKB
hj3H8AW5oLTCPONILso87pbkru58uaj8GCxvat+Z8W0Y8rhB4KMRhvhOjS7r73Fe8+n29KkJdoKN
9sbCSdZe8k13M8coWfxZY8VzhJ863OvzqbzTnvQvFJtVkzEESw3Wu6A7w9ZkcVA/hMf1MLYbuHw6
unGQonw372sHCaFHKRB5v2CbT+rjg3UFaaf/Un6zn8pnd5PfphMeW4hYJ7f9Cg/A3i9IbjiLSF/D
HXLCwcbHjZjuHckAkkFnl1zTuhJ3C/l3PQy4wHnUr2C+xD5vhsvWeDM+5seEJerJOtaH/uCg4kvg
ggWUzPPvVbeN+DqQDfeOHJetNrj34lrTGSn2xjOQnQZ1r0cMTvUwXjXP85326hT79qVNPOg3XGwj
WBV6d97waeVHXHI2Uo9uwwVl5lsCiSjY46Xta8+x/Oi1PW2Sg7A21SPSOykD8GeAveDCi4266c/o
mtZP95j7dFY19Gkb24fk9Om+x4/6qfswvgM0fku+u2fGnaXbWA/Rhp0d4oJifQrz/QwJnGJvdarv
On03k23xBbkFqLQjkWYoqyxiSW/Lffj/6DqrHde5bAs/kSUz3JrDVIGqm6jQGMdMT3++7G6pr466
9at2QcjLa8055oBFv5sKr+Q4gAg4282nDD0ZXCg0WQ8PvyTG8Kdq/IF5mfvTbwhI6Tfl6OlXdY07
Ex4y/QZA0JOxePRgkxiM0G4JHtVevhlg0uOZv0JP8kY+y7xK0Cy0BE2E5l+BacOF5FMyfpT21ijv
7B3M38EER/1HfYBOH7XY44t6LaYL+XOanSe+1HDd7JyHI6Rgmr36nYG7EqY/bRTo2IHYWfg8SrHL
Z958zm+pL309fy22UBvBz6T7zFV6tiiIBbfprK0hqrAtMmn21MXgI/wHHtbOyTvzAPqtgN1y+OhT
f16Ue8JRGf/W94BrGTPVvm9FqO9vd4x1AqgJ+V74rrDUhfkqeFx67r3ibQR/506ERsO8e91d7vNi
rF2RunVwLQG7VxdPH8py7HGEcYXhjAz7goOOfUda5m8pixJbAcGLPmlvYSpIaKQJNW0DMQ2zu6cf
uL0Pj036xRTG+o6O7X2p7QzoJrPya+IOLiN1M+Bs3579Oa02mRRYJ4HxuuDzMPfSoTuahLUhfDQT
GOroP5t1/S2d2tt9Y0k4ku6xvCOXOroMtDnPC/k8dlmHRKZkhBQSGiFdptIRxUMz7hApxdAVcjeK
HTaP5OHd1RX2c4/8F8hA7Bkd22BlN4apkPN428ZpPt37D7n5xSoPi0qnghdt+Aq3ELy9hqQiciWg
YPAYGGTZ4uhlHQ7geLy+toyotQc0BJbdWFwZN79/xP1V7d1HumS08/zLF/wP1qd/Hz3eGPu/GFCb
LePvaHIk+03w1EOU3zJ1I29xyoJNNG+GhXO/MSR6ieFYs2KFY5v9LMIx+n4lxeVO9lgQ3Jt0Pt2h
/AjxgZKfeLzun/VKSDyp3fQDGjZ0lhgHuckDxz2y/2wyuF4kugXmNTAq7XNVLADBU7YxV20OmAeh
BFll79ZSWaZHfTWF6lbZzTv8oJesaLCZlXAzWq9ii8lgtIlOeeMlANrUzU5I3Fjy8akoG6wGU0+i
W0u2hXySyWjWlrDL7sfcG96evuYq/mvgv5AKH0ZMkVySdpuNpKpuJsznV4WX+RfkolxB7UeKv9XY
v8vhKIBpk5cAGczBx8GGIWNHkJySFS63g500q7voVF+knZNF5wiwSYVw1AjIhawcVBIW2hyfwZC+
zbhOaBupD3vVNXMIfw6/z1Qtyg/M/4BKMgFfEbs8shGdXw812I8dPkIm1a1tLcpfXHPrs7CHE4F1
HdS6VHe4SjCf098kO8ip89JHMUqZgjbzSigyKDeISCNkXA8EFamZV2Hopays7GIMoSw7kFEiyU6+
1Wu5sd7h0BYHvjvVwX0V42ezxb6eOMJrRdyKVx7lVY/h8noMzC/1SqbQGqfJxiV4HUHFHz4u9Tay
FrqPg0Ln9gG2B4HiFR/tQQj6w+xFewHbrUWzG1bKexUeSNMsfuuPcdvOnrkreYzZi1dqWAQ6nPYO
Ov/m4WY3MUzubzV+eJJjrviMGIgxTzTAl05wKpu7K1OuWvQKi8L0+uyi7KvWrgGLZTK/CFy160D8
st7Fa9dce2xtzn3m9oeHj3Fkc4LVgS74tw6o2bUp6HTkL3a+zDeF7qQHdZUfputwrRHCvAicCWOJ
gwAnc8vB0Y+e81w0b8MbSR2s2JKgK6yInTnfFkvjIp3n33iEpBY+is18rpe0AUPpttyDKCy+u335
qfo1StNXRhJrCGYx0JhNbkt87BbRSXgzflg4dSCdxfaKh7x2wV0O0ESE89e4ung15xNWwCKv5BNe
lnQh+AYbjaoN6/44xLg1BYgBq5UBt8pCrARzzl7XhNghWmaHh+HxkR5Ad0iNaTovZyroP0HgsiPe
s10P6xy00ce4rNV95RPT+ydU20+vqXbPH85pCzHiw1cugG1xQIa5JwTttmsXJA/J2EqCoOzas/j1
QCt0M0k79LPChzFt4AzXbCA+3Wf/MVDd7vtjfazlDUa//VF5BnBqs/dkwFOaVV/tsbrvLL86Zd8v
az3FG3Y8wYQ5M7GTybLaowxtsRnVPYG/N7ay6ArJsjPtZjcDTFKo614phcVRbRe54RQ5zGiXBZ9+
TOjYttnufuUVddPAzewUET7iQV+4aevTNll/GuU5OfUPp1QP2RDUyckov8ZHiOgHn33CM/BVVdxu
MTEcXmrSbljwmUOJVdfDrDRu0SrUnPh41Xb9ypenLTOXGhZDS2WYqmXZ/cci8J9PIM791lIQUlrL
+gM3X0hjsdVBQu7++9W/7/37T6TyU0tUqTDMGn+7Fl5o2emOQlajWzcyvHoF8ZCDOyTuPS+69r+v
Bmn871cPQeB1waGFdKg2OB/n/Wq0RPi3/35xJGWkCP/fv1bLsnO1l66i1UKDXI4qE25VHfWeXFAp
ag1DS+GJ4WX3ekLZpO1MFD5qK2kw8Z/Q3OZtqM4Eft8L8meLimP/35dKSZ8/5fBgZUS3wKJu+7xG
v89fgkuIABc3tGhIOOClRVBUA63G7NBhvpcY+HnbI8/KnYxBJcDdr7koVnVIWF5vLM3SLr50yTaJ
j2G+aQtbWByggeK7xknhyAQjyoRsujCzaDA3PWTU0RFSomcCHlTVt2Qu2oYjn/STsplwBktXgulr
hs3MXza8x29xnfaCB8vkF5khz0H9eTXhnK1jJ9p07/I7DdK84t1vU1fAh8FpQ4DAwxS7uOK8d5vq
g66TDCiTIB2sqzIcoTzqMaiG/RXfVf09Wop76UM/tV/C5Ea/LbIYuDLvz8CA5YUVhQ5SbeeIVDJb
/u1/0j1NapkftS8IEoeRRmsOs/iobWF6jF+FXywoPCR00et2rWL5x134J8hOe8vC6Tf2pY+Uuu/d
OOArxkdn2tM2/aEoptMbdOf+3vw+P1CKIqdJW4fIConkH7f6pbiM+bMI7AMdt2XLl/oEdAuaH5ck
rNjaWoGU73eHJuCKgNhWmwfJvFSxsc/lJphu2k/ocELt0C6jzUBI0HaC05t6ELWh6RaTLf4MKda/
uFZQsrdpOK54Np2UDdwOn95U+PwRDzUfiVi93f0SS7uni1IEeJbJlpPiWuZHa1YlTPjiK41fPVV/
jfk4mVteBe97dLDBD5L1/c1wEocolsWMRcTm7teTR4zNUkE8ZCt09QHDFS7BD49aKc4rMTBsV5g8
WF8F4WanFpY0fx/yjaNwxMQ626ilDfBFnBn9s7ICR5FWEhvLiQBWFdkmgR4u3tIpgS7vjWLjhj44
rBXjwZOUYX6tcZnmVCtQmWCP7ecc5OcnY3iX6OKV6kWH4u4+Sb8KqmNMaZiA8ALC2HxLHxwlIBGS
zdbaoINJbUKqzynRwq5xrZbSyhyDfPf8ICoXDhCcqh/DUQ733jMIPD23jH8Gh+sCuelrxFKOqwx/
gdZSTzz5R6X5pqMSYFfhqYF5iQ31+n6SF3WI/eZgV4Hll7s7gNC7DA5/Jhr+saF7gWLSRWHyoZa+
RSOAgKojEkFZSEeK80OJkyx2lgZSP8KdnAqtdIiWVNNw8MD5DbzLJgZhJOlKPcIFfR2c5DXRPUiH
DlkGlAYv/TQ2tAMP8+8V/ytstHoh0Lt/U/zRnqKEXbzAMgmCt13HHmTf4eXo/2q7yEmjIfszcete
00eSqjF8zPB4PuO7jdEZDgIFMxwpgBrEWIRmCIpF96l9PUKGUjOgB2Bl6hs46EanIn/Trr54GRfl
jqRuGXtOKXyN8SHoEgGi2OjjenCwa/GOL0g0B13mlqI7V974RXyltCIg74W3NE7z8VpFH+YvKIIK
AMPCyLKXYBsAiAveHUAFhBvNt/bFIolvENlHwak+lNnVvprp8Mi3ceozNUhv3S9bXPxeVki1iaGj
Vlv1+2YrvKKJ3P5aIrGr2SR5XYATC/3AbA2UK90PH5bkAGXgJQeONWnXrASZRB7tib957TUfE5ka
fGjDBtnBzPGN51zimH8N+FfuG4n9+DCXBHSrj0AA9omS5bCxaKZxm/66mz78fHWjEHR1md0uSHfQ
/tLOxqzwwzpO2hbd2kBwh+Tk+SHP3hAHFNeIzAsSHusgGjbN+IJZ2EL1dDveOXsBh6L1XfDlk6gx
zrGPTzY9GgdAB3ACnPur9XzFxnHZh/cTmQJczqeNfMrXnRFOWuXUP9mBmyRSTobGEbqZlVAx/ccU
POKllfjs0IrbnGWP7gUkLawgJp4fB0QU1aYcLqBenER3bY9kgRubI6f+MjxjC4KWrJQr9y7TumlT
7vT9tCezF6EZivVi3VAs4HC7VHzFZTW9Hu6QlEeuY4XBy/m1U6ROfOLKc8sJV1LnzEOCWJkdFulH
+cWp0Uwk0LPdMAjr2HlXz3O2GfbGh+p2loN5q/g7qmHHLZethK9OI4XCF2FyxEtCUUyQ0MQfDftJ
GWFhLvO6Ddm7wBGfwu+/z5sLo3rioWcTMN9dRLIxtsMMflf02feg3BFRpUkOFp1sPhZpJBQhT3jt
kDs8ieZTbchdWopTAIRl/nLUEu6WTIGQ3/R0xQnFLsrCSoaNAQXnYbdvw1H+bbnMJ243qH4PhB9k
QyMCgjol+3hMy4PHE6oI6Qzb4nzlRkEqjGPElpQNen+U4B23tV18xvBymATcULyhzP8YNtxpbNj4
HqbMyGAIIv1Iz6K2wpQ8X9QLxS2Rdxksp+eCDpXPSlDOVAsEqM8hdy1pHGmgCkcE8tZRob/ltfN5
qxhLhtwX+hNfTdBJ5UMbPaNw84dXzosKJxEzqEbfJGyM1fiTeLTHRNljEezB3dOlN9hQRh2iG4af
RmiGiEJiUZ5e75mdpYJ457AckezDB/IeofaVU6eorwt+7zdxGUbGPkuWOM0y38TJhZSSV2Ek3JmZ
OyphbrKXQNDipypwit/mh5YNpuFYGzYcG3XlJfTJd0cvfGvL9msTNnSBRB9TQyHLtXC2dIZfEoWx
1G96usuteOZQBBRE1NH/PA9NtHgGqZ9oey6KclXP0SE6q8TV2sa2X/Xk7l5Hu3Go2qLQ2uHkaZHR
+Z3uSZSGVfVcPLKAe1TlgMU3IwAXuWO0dCYJb0T+zpK4Dr/UXhCIWoZDTEv58NXIqXfSF9nPAJPz
F1bEHDrPQ0sUo21eJi/B5YmAykPDRvKCozO6xeciLV0fj4Czvnx8ZkdEeB9IuHUyauCr/gP0O8Kb
rpo//Fl1GKG68GOHsU6xEMbvkoD3IArNT7ZflWV55pCcVV888cHeu9e92/xSi+NpSrZajY9BuRE+
OdKzJdqvpbkpbxLivT8GyCQHzea5xaglVRxTDEBsMq6hc19mLxkSkUwvYFUEsuzAdB5bev4PA/uP
mGpPJgK1dCsS086Dh/EtdwAF3sDB5z9gUBPpsCpkW/+L2YExNeVhEKN74MDgmLBS5eW4lv/YdV+2
bLODBGXFKmtPxY/q4ZVFRsbISrDL9YS4zbv/4p7KDg7ztQQHSpczw4/hl6joZbqvjlHIav3mRd7x
5G/XgKVlueMiY5i/UCndsCrYoFpMPsxLtSVdbJUEpFogIiI/BtsFMhid7o9jGSOa/E0+U3rBuqYp
WeZrCXft/TQ5/FR0FJfi/MgeVSuhLPmvQOkngcavMuMuoQReQ8OIE7+F5PwkQ8ruv6wvbk7hQZHH
YpF/ZHJzDdtuNsOFcPsdd29zHq9T6nJDuXx8Px/527yuT82ZTTEFPwG/eUsoEzx5ob7PX9Z1boLp
nBG49cG5pKm7vNvG0zcHDeX/fa183ElP0FfmN9UJOuyiCOp0ER8flA9v2qEE0DllMi/Zzllua/nN
YE1e+7D7zel7lvku24wH8abV9nORz/ZjXaxUwxvvzE6w6ib0y0Zjzt0kL0rP2kR7Qk3icPTUHba0
A11NepF9xePeWSeeEmLvsLdWYzgeh5sUmOuaLYlmaTsRYMy13gGJM6iIfa4GjAt8bnKP6iLGP+0L
PXB/Yo/Ehkcd7PxLQgbVh5TvkUD7BOZsEopDN8bORzVZenUVsMJVIn7WWmAFwATDm0hyy+giQAfU
V7BbmQnvdOQOiu1q8qG+Z1bwILATC+ETfONihZEPQRM8QUZ6co82y5V3s2OGnbGcFLTZIaBO8UIb
sIV2BDnMJY8CEdfrb2lZL9uP4a3HD40Qpdvo6C4XnYq5k31sWIodXR+F6fEJwfYDFtHieabjWzEQ
WNBYGGeIHNYm35YQPXGw0HEffrUazbsI0sqmH4VPmtzWFT7v4XAb/0TeHrzoTXUTWr/7bi/ITK0h
zHEUdcjXg42uXcyV+AVwpfWeehWWtRTEx/Ey1J7W+i9Tq5+UColXBZqPqq4Uw1ZZ6rOfzlCYGAAA
bnLBvVIHDvGQODWM8WBN4369RhiukiE0kuDjiGtwH+jM81rxjMA8VbcIRIkRFMW4MXlowipgkqOa
ffS8o2Qx3JLhpKm+NTkTSwdsfg2S/o0HHphXe+Sy4Vbl9DnAG57Etim5ExA52wgB4rbw0zrGn3Jh
6HGPvEcUaIzYpDDZK/MGMnDDsnDgsFTmuemCsvHJZY1pg2HQpmHJZA9yCokXgRrinC0Wdl6g4nBA
FL+RezrRLQcfU50ZZFp+ff4J4WVPezxKxELdqTTwWaXtpMWbdvm2xYKLG2Zvfg91yC/TFxCZYZBY
tWHXzul26Pd+Jl/lpma2uK+20cogktCTfSI7uHkolTlIog3CeP/52V20r3adQuJ9uNGnCJSMrpJA
478nMsu/9t0knyJymfXpQbNsVvGGGWv0p7ylgfXWLAenp+GfPrDwgqJNbFXymo3GDiRZIsq409C4
He/Cfqbtr14zzvmOCn4/Q/glfRG/hNu9WI2yzUBS4rKB/HcYYBEuuXzO2Dau8epiSIdJSt470uwz
2ExeZ9ZZ+hJnpzBDfM8YWipRcDdgnLmCGcyIUbIF7G4tdxgT1fbYBUUUyK86gpkoJpodzpV2dVQp
yrXXs1o3hZANRDcQdEeXzDCOhWZ0zU+K4/sWiXhNFPJiWFIQMC+k8XORVAjfxfsDbE1w2S0L66AR
45VftLA+SZY/mRQwdvodYzPJkeVm4eOTcLKoJkLJzZgG5zsGHNggpvDKscm8sduQpmdsU7+m+dpE
HzL7GNW9J+O6FHL1qICzQ0J6uPR6BTNBJAe0peCfMpQ+n+PM6zbxLtU2DXnPXs2BaDg9SEzAlr3l
7VIZpzeq5Ue5LkZmRM+QGs36NM4PxSku2U+keyz1x5qkA898BwkwkOjRegEzPQ7jOtoyPm3fUpIS
Ddeygv6NHp6BovVek3AMYJISIbXllh6evANP+B2+zXcOOVlzXwdSH1oUGx/4xHF8c8I9dEiL1LbD
Vv19HCpKnIXxjf1ThTbIn+TF/b5uaQ4C7aa4rImCE5Y7CZEwU53JTwqvJZ9w8lm0r72ai0/Z+0Y+
gM80mXkZDlyS3X5zgCpO+jOdn6YnQHBDfbN5eVlcBm/ckUfryUymZmqbasBrx0uxY1HgauMxZM+s
a8GOz4nfnOB5ipKXNSuzCOMPRBzVvjw/nyGSEoYLTBykFMwOEQYOIPtpuFipdycPE51BRLHBS/G7
rwycJ9CBd4jyAbmilWg2xNcvkFaGQEesBSq70u3P4LJT4hIQmZ2MvcZeukP9SEl4UXwCnq7K0y+F
8Nk4/VkmUyUFt10ngMYZsFSPK5o9n6LLfEKE1SkfCURUXiBjCEZZITxaBnNG66SakwjP16TK0Be4
uGHGMhRLJf7Qt7rXLLMXFdCpbwlkg/RcvV5r8knmF3xS/q+Ekxr0056BOQOjofN1wwWypNyAIuip
a4an8wXkwmOMdcNRUT9Le2Hx2FVv+ZFDHeqlvsJqLVB+GBhhFp0Qm7Zg4JA47MUnUd2lS0QuJIyS
5/J7v4pXxAY5hfeiei+CdCm7RKryJ5+A3S/DfrtcPgVs3xzsyD4K7+4RUHxOTrwdFS6zx5QD+/xF
AsGA7Vpz4k20GzdFIOP8Baj0mtBhncWiobbL3+o3bs3xjUXGhkfWh3ZSbvAMhR3iDGmBSZIir/vn
uwiEccFbrm2DgSC7wseQRUwdo8XQzS5/C2VVZ54JJsSsjCOaz55y5xE2UxjTX7XMXHzyATW2lwEX
G/+ZLUlkMMoN5uuxQb5TEBtepwbzyCzDh0X2uPt6xuq37//mD6McmB1hN56VXXO8Blpj1QtbacPB
Uk9LRl98esa/eRxmr1gnZQbzaFt5r3+T0+NrLJzil4HwgYdnxbwuwhLCNwq2J43StVnVv7XIEuFI
t411ei5hKx9N8fXulP7fZAloq7IZAaK76kH93rg6vMeG/oMy7CqvcNLf6DtoQg4yjiOzw7H2jB8t
9dw7OETtGAwK0ROmK33Vf07fmcQ9aKd/zDkW7bYe7RZvsjQYhkvUbeFyKhRpmVccohsiJ5ymDsbG
CERmIyK1rcqgM5g7V8FaR3IezOxenFZ7+kquNBX3R1DHLkyIhuGJ1y3xluXB5S9zRVwEdjXnHM61
LyzYHUTsR4L6ubae/jyEBGZIHrdBhUMGNTDCjF/pODFv/sZBmGhsnz/9FV4OhcASrnzl+Qg4u8pg
VhtMo0IFWzpbcJ8n4V0/jviwhNJC1oLWkb8bSpSfzuWkAIg7C9GidXDuXI9nYwrYMppTvYxHW71G
JzYFXSSxiwBNryRbahdtzQ0y+NItcZtLbe5/TBb3UjB8Z/uW4Zuw70S4+nZ5Vt5VhjzJKVfd8mx+
TYRwAv6sujeGJzNqM0SXgYlh2huP0R7qg/ilrrKdxXutIZBDXWancMbL/FEHSvQatTYADeCiJ4bM
GoaeHuw3+Sa7j1P8wbKLTiJgs2PuXqrqyX2sPz9pqzMQhnAMMmqwX2Ow23MFKOTEPBGvMTmpbHin
9Izxo4QGDmsnfA+gMy+EHu9Ju/qy+Btr/ZfzgVrrPIgcYok6uAvMRk+IrBgrM7iFN+Xlv9NJ9+ND
s3pVyCMHL0QAGwrJGcBy1W4fO30rQFJn+lVyY60Svz6WB2uh7TO32o+B+oXHM1oxaCErVP170/La
G8kt7BbLxC0O+XZwmS5O4wptP7wXYHnKzoOLfCtI8Hn2BSgdRggPD5gFYP6osHmUrzfRXduPHtdB
NPp29fOCbPF8WjOlnF2SnjQbgVxCux7bxZmcu6MeeWvtr4pX3F96iClwUi24zj9gMXHkCU3QaTb0
DohuLF+IN6AODBGRcR4UeaHvKDGz6s1aiqvHK6DZtqo167Jc5mc8ioxP/YvvdZKt/LJFsFCk9xQ6
DZX9td7ILkGHXUJF5Fbyfmi9lEnNZBcwrKCZA4uSOhgFCp1thUWvPRAQRUf8Vh/gfQqM3OioMZRN
P6neS4U8dlwPPUkOcKOzyGD+rtY8EmRZUyGn3Kkvw0mH+cKNULwmwSTDrO6xq312b4+3dMX6ZHiN
yYYAsv1YZqd2Iyyzt24BiwpvDKb8dI1HeR1P7rCgUkd2u+ElcmLSIMaheWWEXWVOsZHewXV/R6qq
dXQhfQiKWOSa48d9Wli76jNecGvN4Kk3OCHMbdBzIsFbCxz30OewjNrdYcTCh7vUt4YWfHBJn2Lf
Hm8V013QqWV0gdEhrPUDqMDLF+mDk+4ty5bmAWLZAZrroX2vrqJLqPcj98tPdmykIKnT435wUHac
IJw0+hLWkFpBQwMIdyg0pWoTYb96oMo29hL+nxiaUR7Xh+mtOWl7jHOCPCOM0DGobC91wAaz61Rf
WFlvOQ55WxECCScz8Mf8jdghciHFoDZ02PkEH84jMAtV7xQ7ihlMgeWyE9xqwx0vzLrrS3qxzjSl
rQnib1vniDaI8suL3G55Q0ZTxK5BXQtizHdf5ik2I9XpDxMS65a+0TC0XMgoyGmavGpfb1NqDtqa
yiHd8ilTKXuPn/aTTjXpg3RrfdxPuAWyJYovW1U3FkO8Iakn78OqIM5bDPVv/TvDaZ2Pig9xbRi4
+ISM0ZMbPVV3UyfGIZ7O4ErcGRS76CP2ww9qxucJUSGOHHhCOsansOekI4/9Eb1XcFgUFpdKPzWE
4rQmVswqjkl+GJTwHuNvBj3JwaWS+d+VGoKQR8qMJzCWW4GtnKPvMfMwLkLqye3DaiRh6EGOGTYz
koM3Sldf8aegV+doqoDTJNiyIausfoIuM3cFvGLWhOgaQtTmuWoDJ//gsSbKKr7P1tJ7On667w/J
K4PhKykWDdnDoY5xoROPr4ZaKRglvDbkWXhVNNHDe3BYI9lChHKawvZ3DORVwh3Uv2YL2ltzJUlj
jsL4uSYjTwP9IB1YCZ/4KMHMiGx2PoGxPiQ+g6bNkb6nZbwuwTLmVwlLdwNuGTmkKpJdxRoqDrhX
UuSOpBMvTMamfago0FDXnNOMpVGykkEVDtMxml1lXFaQIPSl3PlUJLzgR47HCZTR0hYEClGCsJ6u
xKHCMILaWn59/JXsZbtyWDyEVY+31POYZDv5sXmg9nxCZHcgGc7CRRgWQ78viP56BQutOLbxtR77
jZKj11qqJmSxy2QC1xQhZQl1GbUQRQKBAjVgCCU7ZTd+cYnPXsnlmFO4emtLCO6Q6iasZsN77+q6
C+0uv6lHaw89qWvhxjotA+tnKAg2hRFpydLzM1IXzbjWkN1mFzZmJKP9Wf/q9/8G+91r2v+/Of+/
f0oKu7r+IPv7fz+IzeiFjtTw4fiDUY8yPKbq+0A2Zrz4973prqu+0Rr7/v6wFri+e48OYCxtuBNK
AVCO0FfkRhEehP++MkoY9cMkaYuqXpuCSq/471v/fihjDuqifIbn9/o1aS74sfX68t+/rVr1TZTe
QavCq3+kcuOJY/IjDS+u/b/v1a8fVMRU/uc/U4P04N8///eDf7/3nz8x1a5gN8c+zu1Vxlv/fumR
mwo73uuB/v0qanoak1TOlr2W1zuSKseSblwlgn7q7qHCi5X0xAzqoXn696gNJjhAcvrPUoDEZ73w
knPWTZs6mg7Ev7duhJc/fguKttOLZJfn8aelPI6KKnzKBJ75aq7if8d4I8mQ46MBq7lfu/tuJK46
iJ8StnH57S5YDY5N+ejn8OmyqCehsG0iHLafNHkgCFbBqDGHFjspqegagkRLYxq0yR080VxJt0KS
3R79c1hg9QXLXoSmLeJj6ugvz4Wy6cbwgZY4TwYCSJ8yKWnQopoonEzV46osUtJua03sffL0NNYg
0Oiwf7SytCKnhemGof2YIrN4U/FLg/lk1rhmPX2gCmnsfKbg6Hod4x8oaUJEYZQnjCwT+J0abIum
ryJv6qA1NgMHYUYm/DSIxJU841ufystX7t1LSHJnPNBZJbJPjeC2BINxPpDC0RDfQ/muIF5aFVbL
CSSvWU0h0/X9JtLl30aEzqzHMPwbyZ9n5uVlPIiOPBs/6UP7LCzwjDzR8B3QMixkYSaMJtwXkk4W
uC87qsFor1ckyZUEbJtxGCyRvAtDQce6e8SQ7SAETsWPORapNzTM3pJjSf/QwBbDmAC60xRh6ocR
nIZtpSPEVr5K4ktS98Xx/swgPGGYIeGg4miKNq2N+FkExQPXNBHDrmWjfY1TqBXCcsZmwZ6exPDy
kXvNCMVdSvKZENLudhfjclE+/kScOvEthLCOHeFAEoi2tJgF9IgeEqzO3LpN0i0uAx6GBOw1efGZ
VKgtpG2KiS2giQlpYW7pyDPjIya1LyDY68siLBmnfUApU4J5LGr+lECvzXhHkQq2Kcf6uEVXDqvl
eQ+12KTo5VZbGEqHtco4hu00w+aOMZB6MFNU9OelYiV60iCBQ+JjKWOQidMSB4mZ/9VDXK9Kc9rN
M5iImUxs0AX3x32IRXgaKkOenNr15ePvlX/qI/pJ9RpoLedsy17mgTJLtgVDk/HbX8/mtDRmhbsk
pRpQ0+ZdMDkLShC0qmVAVKu64MmdzmYg559aheO/XKc3I0Hl297hOhvlScxoCXqhAFfumaqK4IZR
ytGGMe4J0SWwX5lpbs1WlpYPbSfR/cvDHksPTD8I71XlyHTxpIWdm8P+Lv4GIevWUsbOrcqKa3UV
FXnySALdYtTdUdKk92gM7tiLONjvULCo8AzFAvZ8LgZkq2scqM8+f/qThosDH0BfgR4SCEw89QwK
Hg2xSgYdFP+5TtddQqHyaKj6ijI7DNFn0oxLiZxwiIgmQIiKhatmOpPKGCLJhp9Hjlo4S6Jb/GSk
/DRyySaII5gUnL6TOpsDuVMLvzEnbhOYqlFfAP7Xs5rQAGfXep4varYfS0ZTLTPEMZsgP3es4Lg2
7VwAxHoy+EwswSXoUjwY2GHunjItTDZ+i4b4Po5ca3TMBJNPuKTfq6/mSW+P2bfMpZ2UnakCOQrq
pdAxaoj/UYAmBi6pCNn2gUP3XauP40NQ3zPgRllhVmmABUcxXts4mQwUEfKoc+A0ZrvM+uQj70z0
qbmyUkiyhhU5M7XuGZCOGJrjQ6OQKl8dLKm1zQ4roKfCmDitqBxaSSFMunrWr1j4ndxifaYTQZuZ
d9qeWjnhfVlAfgczNMYnMewjJjbdXCO/MeJdIUXyVpS7Wy13Z/LZvGc3P712FGnjseWl0Wri7aOk
AdUY2s8aefUijrjY0wCRlCWPy/4mC/ejcI+YU1RCtoSLWLXaKtaoL1KLIbmF31DnP82bmAFT3h8p
A3wUCkQItWEzDp6g52drfMkV9O6jNeP7QjQohwf9i7SO36nVrUAbh97RRTB4PF51Q3azO9QSWX7E
mGJI0q57QjXH5iNzTZV+qRuAtJBJB8hooU3gS2TF1kV9ijlIMzgFtxlMuWaEKGLObsQqh+nnNBH6
HibOQ5HqeHz4fQTfsBCbwuE0uojdcRqaS/M8vl7i8m7ELKpYFwJluttk+Wmsk/ySWAoxEIUmLeWE
GU1dTANjHDgekvVK8mm5FXOiPn2ro5guGHz0utBBgRad5v/YO5Pmxpnsav8VR6+dDgCJceGNSHAW
Rc3DBlGSqjDPQwL49d8Dvu/X1d1uu8N7L4ohihKLIgFk3nvPeY4+QfKJwmAzDNZdGrAbdSyz9L2G
jHM9qny7ze5hI5G7xJhHuaSOmsZMOOWMsGFWGeOKKUBon9FjdK7xrS0GEZ5kpMLpk7WeN3cE6pqs
3u2wnpY2dctG3Iz5TD2ty7EloF0RFUGSDc3lah5csMH0voxAYwjRWa+ZRtMgd08z7BXfrBdesGo7
lEvzrqqG5FCO+N6tMPPLgi2kl2PtS0K6/ETH9zcD+JVNQBWWijhmgkYJg/BEIVkIgaj4cmrSjdPc
S70SfmRpDAlHCvvEpOvR2tR+AyssIcs0vxxvwoGYMcMUaLFRjtTTMNzUdlttwwIJHyQ0iNH0jMuD
Nw3MYnvm+zGRoAaX/k3UYJRJBUnjoWMlOzAAiKmhgAcI5JvIeNVdusuC49vvaKiVyRRTJIpnkg6A
QQDzYz5v0f4w80ejSF4Igd7pIxfksG8VfXiKEa0w1gRJZIeiTfAtsZhAcH1tU8t4yc3zJBvwwE61
Ez0NzElLcWx15TfvOCW7673arqXept79CrL8cTS6+ZwDCziqcC9H5gGGHaujZQD5sT2K+iGnC9V4
7skr8h9WEBCvoDHFL5PLSAjqQc7988QRyMHKtobdXaXaLc5WWq9MGpNAw7XO3gsd14z3hvlTbptv
pE9uyW7IYeVAUuoWMqDUoKPPtf4tU+ulBI64HisNrtJ0ioEBrQfqlzVk7Gxd6ea2SJEuRO3D7Dh7
oh/XeoyowdDrLeEDtApDPD8ytD9kq2qqL5J2YmIiclGcF8qX3cwYxhgeVLmx8YROgBWvf03IdXMu
p+YciOh9Gt1oZyu6Mespyc17s9N24UQ3KTe8eVs7gz806H+0lsk2aWwA11qCVeP5YLbqUmdlvC1k
tI1iuld6hIq/JGyW/k2PWXEpgUST+RF7gXZgmY69c6j0ae/0dF/As65TMRCJUzGkzyLSBsxbW+TJ
yg4Zr1o2RkZN/2Wp7svVOn4svCCDno7s73jDqucgn919ffLGznycDRvfrQ5YC0vazOZkO79ESWxu
cIDPOw/+Y8wwxww4avXZOqnIYphSixvdQSvkGM0+XvLcx9aoqXMuVZhjuJ2wkhIo47gdES9VHpFz
4KC7UrejxyqhmP20tb0A2VBDqv5FSpnsswzAGLtao8FwiaC+JscOZtAofU3AlMLtC5SqdvYThD1z
NMOHKoHhZUTw0JAquhJCu1l3H45XqVPugSHyKFc8q9oO40dh3RpVfGqxCkO3dxkBTcDGYueVeJfH
jkiyVc9r5W1KUBOSxsAGMn2aQvcztgZrJyfpbdqie9DBjJ9yk0tZMaXvVip+ph1vqEWf1LOGfWRV
79BVA/Z07VtuxMw1tPIMFMFCBDweFGfuOrcbqP4d70JsCYqSDEuTfCQmYV3Fw11INsONvq1DV9u4
Jcjhjp1TXcwnwITfjsqhUYefQUpnJyDCmcgfVtqums7S0c95JMwb0aFS2Jh6heS4oqnWU/Vy8ffq
e81jotLFZbutFmVvUvd7z6nFKpTovzBswumiiRGy92xxiNTW9GISW7MbF6JrSDKR7xEVU2u5DyLj
vTRYhyGqb1Od3lFZpCiFWppv0yQuDdaCJ42hmYrb93xM2lUkFbpJoqW2FsL89GgPBiW0MZBmyvpB
hAImkyLnqwntnBbKZu3E6NMs2QDJQKrRxCYXmC9tnpOV6Ar+0vuuxgOtsJRFOtQx28IcqoYYmeIU
JpsgoNSbJVjAyI7XWc+slk+jXPVW6g+Z1vo6dL8VVTT9fCJyYsqOPTTfi+7U9LvaTapNB4FuYswZ
D7kMKSRVKhLmfPZZtOAMKCJ9Wu+hrU5Ntommfum4oRXk5EHjVOVrL1J7SdQt4euMlaeou6en8Cxg
alVmLnYy4AMUekMPZOw/0r5IV7bpkuoXiVXbaadgYlqrWTkqSNqNE2Jpy763qYYOunWvNAZiyfSS
hP3Og9N14wDe3uSh4A3jZDdcP1Gv1sLTjQIdWa23+GXbF8zd49Go0FvdmUXhHUkZ39WZ2aOItaKt
tMf7YdCpvBs2M4FMaIXW7hlgZ4XwJbydg2WzrHNwsi9FkNPecpznazf0mO96n27TN3SjkqMuhksS
GrfX1Hm3pWADFoeHfajPjpZ8pDIl6MTiHSJOIN4CvF6bTvpgjKjHB9khLZl4f7Xlcw/Qk0o9OBqB
l71q0I+xsHXHZMnhdnMwgtmUFUs8yDbrLGZ9GnOX0aM3zUdpdgw2rBQY5Lj0+dpKnJvosx+tQ0Oe
xtFzW44O12Ss04S4fJC0upQV4UTO1zDjtlXS2UfJQ5khYwij7isiRFI2NAfqjqLHY64+mt1ac/D2
F4p3t6I5swl7BDtdzMBblBQXdo1ra5rGZscqgAG6keh00SPatU1kculsKs9SSysDj7eBKC42gt63
R4lgFSzdvm/Q1/XmXFBtmyslUZNrQeVuezQuDcJHqzRtTFXNr4lLr+VF0ynvs5nDorERMaI+Up4V
rM0gUOc2jXbDMN/OmpEeCxfd3zhXR6/vWmLrA7SDQexbSXCfNoivYbsf5TLesUwuTGbevtiZwwhO
W9vqdQbjfAAI8jKYEjHX0Do3vCgb6H8e7Uwxo4oZGbkXVn6URY9RqkM7PU0c17nYSAtfw/QiMxsr
qjaPq6RCWdWyHIQc9Woutc1YRMGaKvgVaUalNcbXXD9GRqz7y1Xf4QPFYLpq47MRx3iDiZItEXZU
BgrDaqp3bZqta10EjySak6/FXJg/LNOz18yWhGjtZYu3Qsj4yLbwno7JjNhCbQvN+MWF8juaa8Ly
Cqq7olfkEMh8HbSmgLoPUicxiO8q3NK3Y4+C1vWeisniJLQ5UB2GhWQQ0QjlYoM5y/ma4xhNCML3
vtWodmz1joOKFB/ZNKfJ4o+NUFTXVTFuRJ0w5xBddD/Zn274gMWhoicFx7D3fEcZH1rHMEUt06Pp
zVFULmTAfxBeQHbnpgW4FZR4S7FgHbQOnQehdT86jaZQAjMgKaH5GIptVcKQsq3rN045GkyBjl9E
M8mQ6tWNLhGeanZhIHPXPqWtHueGmUZnn9OmRArQusj5dARkKv2OnLi4zEj1jZJRWbnUsRYlnM4e
rlLhSWCccBUtkDHTT8Ecu0QhMBBRDK8mml+hjPWzU+rr0sJGBSQsOaQVANJZap9upUef1DbfVsAp
rdtPSx6Gr8n2m/XtPbfpvVhdyC7rrqz7hmCygzWG4yas43fiHNFl7XvFghqbmHnbnrYal4ZTjsJl
KvDtd8Y6lvDYrZBNjAOroZHQvTLBaMIsD47K3BX88M/ASKqVgVK8DNidTEET4LoedpGZ6ZvR5fJW
TPqPLPCeiznBv5JdL1YMn4LxHI/Zu6u3ajvbeXuqR+D9XSb0tR1rJYKc+segzO1SZqzKxpr9yTbn
o+cNSDnYt5RzU2wGPbjlQpccXcMje6wqaG64+lPl1dSG+SiQemKKs/o3Fq/4Ph27iew/79F1Qs8P
5gDVf90+uySD21NtQmmvsaWW8tHsuP4Vutmss5CwB6GJLRpVo8L+FLhZzjpHj2fk2kdmRAN1ZLA3
eWMemrKwdw7KA5k5/TYQbEJdnJwyIEKYjQp+BHZJGnn1Llv3fIAOzLts7kl3ilcihCVZJN5Osrc4
hKX5FefCuyNi7gK6t/eVIUeCA6j2ZhfHS16wkTdt306sTVBrm2EiNsz0iu4sPxXCk5wLP6guwudT
Nnu50zJ1CF6BL/ruLBHpD8wzSMpqqtK5uLSjqRqmG3twXjzEdzlWPzwv5kRUkfhVADxWtkvG2Czu
nL75Dmm8+WWDVkJVcgadbzJzpFlfB2y7l659qeVAUR2Z3qgodHaEEJzdcZQ3gcOM1AomNnI1mwNH
oCgOBBqECfw/qi+5DmcS1qNoFCun79/DULwkJDSS+EmVHFXQssDC7wwrPQZBq60mhf1Q9ovIsuvW
+YSPXygupKVOs1m2l0a4oBjCnD5HGFmb9qMX/bFpJ6ZJs8LUYTfwClrAwlxJ2/Wg4+XRirldW3HB
bH+mHTGywq0S3ct2yUJ0rg3eVQh+X3ZvPcg2t949gcbKTaqPhIAArRNno7FPrLUXxSf7UgXWAbxl
toqKFsVKyzmYZyapmG8jVfEuaODICNQMxSlVGPkTpO+54uLfYctiIRlvqEdYn+36KwsLNqS6i7y4
XMg7//zLaGrugYthqLKs/DB6VpncXX88rB13YlC9FBGDmtYU/sXhjx9afvL33by2YSJc7//x5fXX
/+njv399Hhpe1+/7jsuEUW11oX7xX0Z4JCSveLm5fnW9EXCyD801fGh54Hr3+sD1e7/v/rPv/bMf
CaDNVMOX3gDQhk7uezlxyUFa8ddMy5/4x5fX717vz3LkIZFD+zC88pH65M8sJI4uHLe/74uZ6IE/
7puLzxYfTfzm5LO1S2cBE1lrYfDTyjxkKeFWsSu6vRnkN1k1ubtglNByXKan+VBbh0iLLFLHAnft
uWxprne7ev7zgXT5Ecc2mTwIufv9C9cfu96FK4vgTkXH67diyzQPo+HiZOvJVsO/DLfn+nPXR643
Zd7wn1N0PiSxxLhtFxi6kuVlXB/uDMval8bXZBoWgmFvwN1qoxWIoYgd2ThA2VpoRU7NMJ/gBxB8
FdNfE4x3lzCgGZqpWdml3R2uN8bYIYiIymZG3zijEIE645Td9yjQWgDHo/tJ7NUxZQE3GyZmUdsy
LhSCNF7C4OKFKpUsoCiySjhclrvXmzxXSLd7p2l2TditS33A3nB9ZAgLffahRf7MFF3537+XtREL
6tTbhwA42ja9PsP1uatQLOQRMRz5c+Lt7//vj//l+rR//Mz1obFjkqKrAlfoX19U+tdXdv3p6wN/
89z/7cO/n6Fyk3br9ZDC//pUf/N/lrG7i9PmmOlsgGFmcflzc0AKFumqUeg9KhPhoqHjs3Om7kSy
cwdOCnoGsUgMw0RM6/JHaur1zqkDpgJltHfSqdjbUdKcRK+YKqXM8Tvyr6PBT0hwEiG6FbKOzRWI
FaKExY+h0X7ZZpSTF8cgvsnY6jfsXKg4LapsSAXCtumJMbM0AipPr5AjBBgYRIPXbgNmHwLEtr/A
aAl+fWIDVp5TxSXNqzWksxoI0y4N1lU4wGRvGdYPRYPw06UWMUegBi0MjyL/OYQxweoVGij2Aus+
nS49Lbo1dnnURXb51NkMEOoIMggg2JuBLtmaTTfz7g6/YpyZ4b4e9UfDKe7Y3hI8m2kIEeJkl7EE
7wZbb266AgaPTl2mBTFyKhc/V9lDWyxZzOKgP486g6WeCaYuGdPBcITEFnqHoRwnEOyYthKBltia
q5lTCyiOg1YZ7seEUNKtRHMpmS0GyR3pPtkKqDoSGr37tsLU9eeE7FU4sccyUoSdmAFi9DY4hC4G
EM3xXlNklR1zkHUYxjiIehQ9RUvzXvzo+zTbNEX7qTmblJg8Bo0WE/00vbQ1xXZiVWioI/y6AWpQ
g+Ha0bTIfpE/jLTHPNvSTDMnfWfZaMdJ5ZlW5d2QIjd0svoVlwF4UBfOSdOF4U3t0ifV09hiCWxn
gBxcH4RZjvvaoXYImcGmXdwcHSXOzAmaoXuqNfbFOpVpV8AwmdoY8vx4Vql+UtK10I/1id+55a3o
ZA0pNrgjlvSzqJe+LS9HcAjTHDFIbE56kIEFxpg0KH45WXzMAoVxPKzFbVTQQ2M5gykUC94TgolC
KCNSG5pV09IOqJHATFVoEGSkv2md/GmnYleEmCv41VvaAZww0XzJhf042M14ofdohGzWUgsFGOhi
8tvh0dQ0Qw7C1CZcU2m6112qoMITRyd4TM3Buu8y45dl4OKPs+eQDQqO+gLdrvk+tBq4lG5+JRE1
1CkTZiPZmemi67U7GOxA/6xKCd+tqfW6EhOf7DO/SriqyZyMNGIPkBIXjLSRwLaFo60ZYxERnjpf
4QAPv6S9FQRetY5UvKkV4LaAvu4myIODlsZ7mpnPRm0G+5p3SHhS0OosrWe97E5Z7qGBc7mImrnC
Vmdau0FG7q6rgts2ipuDuaBzhzI/0BK41TBhje3wXmfNh1bxCvIKEWwe3FelfmmjkdKP93sQ/rDE
Fch++tZTWxDNhE/AaGnhiUhHTYMOK42RgSdW8BbFiKrnQoOpQ8w2gWNINaOAHG2bXi/nB/QI8UW5
hqJC2xceBt+wP5oo7BTGnrYBqcTlfCMVNL5K5CGa2rz+zG3aBi2ExLW0ge+Z6Nt0WnuIX9J248ym
esy7BpVhglCG9xYBcxeJM3t6AH46otupOHZOHF6cnjU5ZCxkmnG4GaX+4SaehhqmQH9ppM+TGffb
NqUM1yPHOg9R8NXRQuvJ7DinBvKused11X1yibsKfOAscc8GPWf3OAzIYqYbb6AzZYWIpgaiFK15
NPzK6RTpHYqxpXqq21ZDWxr9NGQvwQ5LueksNL+jbujs4XlSpsRoXPrFiag8b9Xgmc7avIN3khi+
GO54icbaaIMOxSitD3Ns620Bo5IxPkrYcSqPRajIJbBRkyLk2M5CWL5KMFVAA8pTlMZ2a+V7+P/y
aInorszYiZJ3wXnP9G4TJG6370Ltrp7RhTGseu7nDFPTcE+077wyXHofU6VjL9RC86Dc/iuBlEqj
rfgeE5CEqolIqhi0F6HVLe86MRjCgpRJAsJRs1yMbb2zGZKeFn4pafBIZ8GAFpgt6vGR2Db04GZM
t1isZ6Oajx3imswK89tFZMaRSwhyfEqrOfebnEQJY7gT2lWAHhPGl9gk2dZOs+079P9qnNPDRIzY
xpvbsxmCSO6rIaCNML47KRqQbBzvUvr2B1UxWMldbFxEm2EaLr29NqbvCsGrM47vmc0wXbOTW4JT
0UdPWC1sAwuT1shVaCGFn4bp1DdJdqg3k8rvCcTjmlp4P6qipZnfYfG1m5fU1WI0M8RfMNQq5hiK
qM3KnAvn215OVdtghJPmp0ZxAtGzY7c3j5+BVp+VNlVAc/jrExzvuoYl282xINfRk+61lo5UlxhX
dDl5jRCBtE2eLj8oG7gdY2ZsUMv3rg/MLmy82jGfyLcPj15kvcUZZMOk0cg6Xgg2arnRVYqZIiye
IxFFhyhvvMNkjm8RYY90+uV00NntIS/hhsS60Ldy5AQJOqgjSa76vvZmMu7oHgatsR2XGkBz2P7X
1JFuW+pbbYF8Xm+Mv351vfvHS1x+oY1jBnP+9RtDZ7CdG5dX7ir9SaRklRqO0tYu3nJ0ka/52B2r
Yiq2bB9nGk5T2h1cw+VLBunlTWmTGqt7AgBJ420LmIh5Q4Y42n/dQ+d53dJfb0yXQwFK/p/b/Ei4
dNAp2NZm1/SHNCAEsF9SM5d3U7atIqxsau+j5QhPTdYDONDzjc3ZQnFJEVEboEvK5eb61T98b3BJ
QO1tDEaNkdCcvBZIomJLG8oe9WVqncO+p6Arls/y9w1JgoBZYwt6NRPnayxlvtMXMusVkRqmITVL
oW3HtoOVsNwkjoWU6Xo/Xnisc003xsvkzhZDiq7eIePpSmbNm4ehc/W97UAscpebOUPIK7qaiD5N
LaQqYLGHvsJ11pTWbeSUXCBswzhMfSkP168aTRiHStklzQxaseHCiK2lXPZiFiUH966v4fqVTam7
tk0kXOSgVVZNrlrr6gd07ENEaI5VQzMxUkS/YRVhgs90Mvki+cBYpDwUultvo8QFyta+z4p9HrVe
vmJsUPMRloRUhALLjkOwRWWQadHKpFn3rKE3nY36wDG4VC7oZFiXnlNAC4B4kwXQFCoEpRXTuqk1
jZUcqGWYY16qIIi3hPJxOHmUvH4Xi19qqWOuN/3yla4CxPSzpDHEh3G9cYrYXTcZDZGmcQuyRHTs
S4IFDapXRT7wmMQonLmhv7ovu1knwReA1LzcXN//611JSzHLaebwdocA9JbPgJ3bnzfeCEPFRSuw
mj2BAjejIDIiiahUbcsexUvNhterADz9PgCvd6cET3k5zcG6b91HKdV7VeGpG+ZFK5nMSbuJtPFT
Yo/nuu/s1Vgd/z03hzYyOzGeDWCEs7enuQN8M2TlpWcNfDIlb8VPfQd3mPYxf0cUEAltQh95NTxH
nzDaT/FUHhlNaYhUUWove0GYywkb4hWOJucUPc/v4MW+xzsmFsFzRDz5jUsWK4TTVf4LiOJyUo5b
2p5MECt8SYwCphtp+gxBoFsngCOZhr8VC3AMBMmGi/r8CE+6UYBeNz1B2cM6Gnbaw3zXfZXcnZAN
3piIIUAcMQN8Nzh99TXCnO6N/8pmFof8C+b9A2Y0hoQ5bnCEN/Yp/iTjHfFyBU6eI5D2064UR7xT
XeKzc27GLY4Qw9xE1hdiGGA1FaDRJ/39HoCVH18I+LJvsBkjtHgSdErFBtt5soCm3NP0FV6ME+o0
wAU+/liIBBmj1++K5Sxb2Y/2t3U2HsWHPASP9OPZ67XYsSTs3ZsgOrFn4LJivCev013wPeINf1Uw
sLtteNLjvYmBvyfoF1MCheTGrNeCKRZy8hPw2bmi6L4p3zgOcMDPTCeYGp2yY/KJ47IiMsfXzU3Y
4CjAEYveAmMvgIeeGIaYEdYKeRygKHVhJ8Z1A0m8d39CbbEdP8P6xnr46XWbbkIqf5rwebs1i+HO
rHee8yiy7d/g2i/sSMKy+Leizy9lXHTtf/6F5Lu//D0D3SU5hO2ERaKeBo7dIqPkb6NDqnpUSSZ1
jJraoRJIVvz0lziWu/SzP4QPUE5Jn2LbHFxiZz3lW9qKzsm9nb84QtjXotHLFrbLZK/1TROwbdqL
bOGkJuE2cvdBcYHZqSoYqmsptqSTMGNn37A1kPy9QTRBGfgy/4Lut8k3+TsUjls8oLvqZbhPHvKn
6qWj47Ay1s3P5ACx9i37YWJw2Q7n7MDajw5T44DFWL+T24mJxNa552KG1mCHbAY7NfJpfPsE1YfT
1lArc83ZsQLzhrJ0NnFHdS/OLRjmkW72yR58r9/8bIZv+yk/geONfmFMwNDg/MIBZc0r+0iVtgaY
9p58IobUvulbI39VjwwWnmo+dKw2sIp5hLMaXgOR2DukZHsMs8HJuueQ7Rg/PiA2q1+RWLjncnPG
KIFXl95wxvt3QBL17sRssnfZJ1r9jbiXL1AwN54f/pw/bYzdchs/ZQun0XhzpR+f+r22i7bmGV+o
+dFWK+xTPtb77h4MIILn/LWELILrBWWTj9wZcyTnqYMb4DPxV/G+sMC13nCGTXcLAuBJaqufgMli
x2d3sO5W8XoHzBLYJxPsCAPhsV+MF0d8CuDUff2BYaUesdM50SKHLr7QGzhskfGdpzW7jLWodxAZ
9vyJ4UZe9O8839e78QclOC+VBXxrHer36ei9U1du2blt2JvvBI6h9QJaOL9bHygJUYj6h2Tr+v/i
yF/g/n+cEPvv//wLiqvlwLcNTTdtx/Y8w/z7Ax+QfYuiy1Bnwx3OeJai9XKN4fB6drw3Y1GY3sTQ
uj6wzaBswmj0jCOpXYjfi1b5X7wYghD+y4vRTRPFM6GXmvOPZ6GVdKPdeIM6xwa9Qv512j4qfPIQ
oTm3OGxYP9b47IgDo64K76ruLmSAi83yGf9IfHd9Of8XWvovMqN009UII/of8i4y2ntl3P595MX1
l/6MvHCd/zBJSJHEV3Bw/Y6J8vT/sDTbsvm2+w8xUaaxPMT3Td12eAWm85d/+/8xUeRO2Y7j8iu2
cX3G/03iheXq/3C1Z2duONLjwPdM2lxs2f7+oI/t2CSUrY0Afz23peftp2CBnrVoYt4ms0E6l5sG
M0eKSMpDE8sEySpurbkbM42/7bH6NdedWDTHNWJKvAYhiGAVe5epHfIDAz6PkhIJpaASQqVyco0W
1m/cQ9ILiY5PrBeNOZ/+FUrlPI61dZrFCLDBcuYH1c5ImHMu8HQiiBvsJ8QYQFjzOus2dg0LrGkm
psgzMRyyRTydvamyqtlwsb8ZjNOYpZpfNNlWV8krIZ1oat0Qhi+h52uEp7UfavRiEaNzzYoRWFSW
dWqT7MWdwvmoyb1TFMZmZBTYGbAZkQC9KfsgelbnqSiai5EXq8mSHh61eZ8HLD9MfUELSK7e4Qg7
IusXekkrL13hBsBWADYG6DmtaSi2ITbQ1EuaV23EnlSOjPvR7GlbWTFp7C1JHQ/XZHYS30WYfb7e
dLaxR100+cRb8hp4NzJDbaae5SGldwW+IJF+nrCsQmLFvhuLBxNN7tni/2ubat5aujpWDSyQeKL+
0+fA92yrRHdPHgDT0QpuRo9WAArMVMz6LjWnn42a9sSWKT9r2Qq4Wbm1y/HOXEbFGXx7ZDbjpckG
5yZRgljykiHIIKjcE9zsKTpkugLeYaa/E4e0iYD7VFX7lKsFEDkC+ykYNMaU/5vIxlwoVUlygHdH
KWM0hQSMxGg3L+mhmJa9S8ocEWw3u3yC7I6tJH+No/DOzSKiD8MKiLPzpsFFSlVr3gsFJoIN99Kw
C+TFNrh4F477Qdy5AqAtAPNkFXh6J/brkq1njsflID0FSseuMuygor1NS6Q3aJXWBWafbozhBvYd
jKLRzv644U+zpih7HGIiwysK4rYp6dtXd6FRvDODJcwigNdoEBohXOa6Kqh2ee3GOzdmMCoj9j6F
0ZeXcmAj4LRIgi2oOy0uoTFNMYVq+oNjN5g+5u7OhYKoSyO+JUB704ZSx0rBXKETNMacKTwzqtuL
NAUMI0v3M2V7xTTrlFd2C7mafh+CLdJ8nbWsjT0mhuSn7Ua3RaB/mlGJ4i9gSy5w8dwRzXQRNfoh
GnvTetYgTXT0N1e9HQdrbUQsanuHIo/vmSIn/tjTNxo6/YtIS1AsTJ211KJlOWYEz3kI7kTPSu7h
LZ8BRYTHsV2VZqmvVEASeoWlahUPc+rPHR09M2k26WRbJ1dPO3yDEcRdcAhTmDIhRj/lDQdFdMM8
G19Wkz6VfSdgaoITnxuN5lXlviYDu7S6DNJVZLp7N4lANNUzWx6yOs2C3fdUlRdNAdUqJFj8Mgab
nNLMKJdKeXKcLSJTZoZ+jSBXj3Ng8jEKupzPPRV3kc3su5rU81AWNEcbLMCi5U+0Y1jpBC/YhgTx
qKtPQ5YvBo0sZGTdjtocUaWJ/9QW42LorNsz9fVZglips0OEyti04EipFL0vU6Z8FbmfTfTumPa4
+WnnMMqV8V2gBMLbdGNeuq64y8ZKrdK2fpvcmdQFd8DiO6flBqVKdROU0XgztAXlE9MEq6CVrxXZ
rzpUjzT2alQR67ymGK8pX91gBFncE4dZU7T0MvrMkKDx5qWfTVbviSjF9N+pX0wf4rWWll8ExXYr
5F3I35qRthfbIYmI8GaoUVLOcbHtPQfZRw7hbolcTiId2UnwmIfZr2GQ/JY50cvQQUDOZXMp5nkr
VH3JvKfIpVKLrPnVMwWS4SxAvm/sao63qe3PdtU+x1n9UYzxpc0CtOi2CGnCMPisZqIDArf/yFE3
HiooFq5lTLQfkPENNDF81wBy4TDxGguyj6JZWxfDoQNkm1NZ9U31XfyMVHjJomw8GJN2tjuLE3mU
xyR3bw3CfaIcLbCJWjKJLAOYPdFyRoXLztFoltuufDWC7CPLgpg8nem7irV9pab3qaK/XQ/yLUwr
ANJ1/Dpq+jmKemurv1UaGYWQpEnIMbFlE2BL1ErsgIGz29cY7HLQB4pKEy9AraFMlO38OBfDLxS3
NXL0lQyCe0vXkOUayL6MX+UclUvLm4CVLinvvDZ0yKSYaaxE8C3dNyOzk1PpMLPiXPc2YwRMCi3p
nead3Q7jt22gERaEggxV842EcVwVhDD7Hf/XTdf7sYHwcYjdH3Ec3w46zXE9QOPOteVZNO2joVhZ
g6T7aVrN0W0Sxl2O2IxeeBdah6Cm71cVXLkTbH/HSMw7VTTgEgw3AGinHdGp8RjnR5XmgKMmXmT8
K26tH2a/9Cti87k2iGhOy5bs7MHYtzmDLO8t0cyHKazN2z4C0zlM5WES8SOXHrfl2YmzBojPuoEG
+1h48/PklMAAcI63k33nKfeHJYYXW8OrJs2fLivQxsjgrtIbZPaDanLCNi7FukqnZi0MfZ/Z9ERb
hh5sI8p9n7w6MdUkGQ2hX9ROio/beM+DoTrz8qA5yWntOSwciAROjsRfiSAFbclyDVf99GxyYqwx
B3Rh/s2pOu9FpFiLTdA6fMRTbrCVqZ2t1yjSKKBzsFs6Mt+m8h+Kn0pme6+muO3jAVmnrb21gUXY
EQrOsDK/6vE+qKW9nm38t31OQRCziwpbKzr2Ds2+2XZOVT+HNxbhPdHdNJuUFqEGpkly6Ur0n33O
Ulph24KhKvXIr2LGx2bvrKI6/zS87K6z5C1iyE+jsz7C9mUcUNPG+raABIyyH261+xSkO4bhzwMm
PL9faK+2Q8EP0FzrSMEEmpvmt06DoEE1P+YJ92s9XrzMfNDr8JYe5LdR2/sWeKrR0dQkr6K3qld9
osC1OcS0GsFELXYcjZtKm6MtjpBhy6SlwATv/j+uzms5dW1dt0+kKuVwixLRgA1m2DcqB4ZQzvHp
TxNzrTP33lVzejiC1NXDH9v3nXd/2wdEtqLBL8qGGnRZWvyMwXZKfqiG8h8JdfpSaPxpcvJ6ofZL
sxWIwsC4RxDxhl5At6YHPxgT/0k164P4ckD6lBEjnVTWpbYeNCEki52fprQ1bCEwPqO83OUKuUYM
hENYamRoEsu0GaWCKKl8fND23GD6MWFtuf+ewQST1Dsbdfgd9u1Vj4WtudiVYqVsIVIqtFVITOsI
XYLqgWcNuYV7opaOppU5llVbaoRNwQ5eCOCkhIcXZX+EMoGx1lGhSFOkuS76yZGAvgY0MY3DvCO1
/UYCHjRwKF5bacltZGwtYyZeuqneVKa+QT0SaMR4mzNIZhinwdqkOxecmUxCknjcrGvgblvLJ/oP
l80acrAbFk8VTwAwjo59a4oUDEDlDB7SLa0Fyrh7qIWWCkOh91tV/rSS9hCHwrfxMF81lNioIwS1
PizB2ZlSjgVkX9Io1BTmek7e5ARhEEXXLlKdl/aA8kvQNwe5iZEATXn8JKjXuQrmPWGjUyP4YBEV
hTotVlDP4gEYFIGOuAl9pkyEDsRyyIgxYnyCTpF+NYCieH6qmR0CKvQlUP3Dj81QqP7zk+fXUVU9
HLOjber5288Pzx/IjD0sz+XV/v3w/Mm/Xxoy0irSFK3/z/f/x9s/f/l5Yf/nd5Ik3ilyl/uk+VrJ
ff4eJyxdE89P2ffpLf33rSpNWpvK8MBYRxmo6N4KA8Lw84WfHyRLhDW03OG/H0ip/c8vO5pethXd
v0EwEf4yv7Lnezx/S/3fv/rP99StiJ1Klw2h+0YlS9EtH+aso8suWiAvgUhg5/nN5+88P2g12RXi
G5nd6JfiMcN4/t9//++XfUJAtGspNKpS7AgAkv99I6nQE79ihJ5FeM/6ukdFNkJacgfP7xn9mNhD
Sq11MkaB15Bz+kcx4ikW8chGsjvPTzshPOXgSLLOr4bHXjg06gun1awd8Cfi+Erzgw4KYhW4nNRb
ABTjx3BW3ghEHQu7Ahy3w3IhzX7N/Dywy9t8wyIFQF/8UE9Gj5GNJb2NLhJ0btrqzD09lTEZB7wg
GyDQPT5aL7AAZyDXY2mc04t5UsZ59UOcEiGBetrTEpvZZNbFVQ8LavC6O+sXXwW+nQyp5JPaMxTj
dNgA6+hrYOPJXDHzdWQotoBh+LT9yZHpAagy0XDoFP0ndEkCoQ+OFkf5bg4BHCq78ZUbWwndBx5K
WJQErYL38pLs6D1EYgvUIv1zxPjR+6NbkiPtkPo0N0kXCu0eJGDoqFFdndAZahWn9GieABdG1Srx
284T6ZwJcWYfx2xbvIatV7wuPDrgO5S87nP6H+hA38jyH2jCI3Um5gTV/cBHyViZoMbu9E/POjkJ
XqYfN/g9+jbyM5/gfiOsCdvjstJLCY2rTrbso4jwUdWiIF1QYNZ1aBtwqtvqJYAxcBlfY/EqfJ0o
0GoDZ15r0P536Vv2yQadnqKVtC7sFOW/6ozQ4YoKYvq3TYcs0krGyF2RyfiyvD+GdQTVA/4jgJoI
v5Jmmc6BediK6HaA55OpNAORZ+NiOnSmxF/QQ9a1O/1Rj6X7g2Ma7q1DOzjTn5w21E9S+Xtgptr5
BvT0CKR4T/B0JAJM0Y+qOLiHqzSwT3AL67XpnGhc4tsrlfZW7hG5DVs9Bb/mBrK/Q9kvOEdzA83X
10/RQd/ov/k3/6LgdK9vdP5+R1faFYNfofPaGzrgTNXgFLokfFaYXwwAMN2GefWgNXaLJpXu3MVT
fgNhceJULBCf2AguveM4o070GXz8WFfzZJ6oIFuKLN1R3QThFiFl4uWydiKIhCqZ4VEfnq580igE
y0O3uCKl8dkKticmjuJ8Fi/H8PWPRlExiT97Z8D+OKKml6IEpa11IOuErIMVEVkTdpU92uRffel1
opP+SjT95a68vkb9RrDvLbjT7xIiHkLOxwiKlg1gvbteYgesubSbEZFcLbbIeXz4KQ0LTsZaym2i
Oc0ACjOB9FkJd4QmjhNCjSXdAStkRa4DhXg7tA0qH1m7kZEqDqkzogTmQddtCSZ9Up303+8S0PDC
LcCNHo5E/ormg0jRghI70JFW4XYGcn/ldeNj5Vd3en2Yy4ilUEqWD85ol+/NHg9FpqHbJ85CrAeh
RibbzyHej17t9B4NJRFyLfWRWlOFLWQ6mocR4jkyX2sK0OyHd1eRpoBlB1Y4ggLt/jNT7ontW3aK
j7oyJqe+/SR+vSYvcSHmw/mNmAAyOZmdQdVzJkgRB+GFfh9hRTqPqN2ynHmYzLIdzeQhkhrIB943
Ej8ermQvyXnlxzI/BOHGIMaxDbOduNV+SFmNaIzMZ5r7gnUHblhfj9UmenmcQvivhl0cxlX4SZCE
3MSNxMGKDNln5CZbagijLX5OccZgYuQKn0LDPjt71CIZ3xTJJq54mDePx84rUOMCT/fyWZQn+dz9
zUEoTMda8FCOrNZwwHXqXixGrbDs6qt5iV5Jv9LGCFeu/pR/EzJH0juWLqGsqncjn/jk7EglDFYY
ugjkzHt4opb61f9qi+DRoaKpDemk1ScN6lCb/0biMVZW3+QUdXKXUKe1ykuuyMLcYJZDPnaEpb8q
39CwSiSqXT2OgKeRGSid7F74tWBjW9GccM+1zQzZlUS5uYpcoLUHJkvhMypuuKVgcro+/nTnwe+N
I6Mz7wDW2smiuWA6xrzCN5JzOF8elY+8PjOdHi61/ygOEo8IYuifpHdyAIo066yyLauQfgSQVvOe
NRK5Yv6qrKHOXSWHWgnV3LfUTb3GxGsAwlPvT7s4Nfg+/ISRRz/c6QVagb9HpkP55rDkCKzscUcn
FpsDDd3FJyAKeB2hyxhUfnhG0Cj1xu8JS5W6PdRyOP5ob1+ePaEa1Ma3M6ItoGrEXwVMCRPl8PD6
tbrMvZIEVveOWEmwPPYIEy+WXwlcppdP5DKBMp2fyrbHVy5RvMPkXQ3LTR/YesZgEz3WrLdNTPZs
g7Zl6EAjXsO3ff4fDmjHktTZha7XXEdxUVqi9dpNXqj7tINzfoKffUXZ9KGuKftjJFAZGAobasao
++mPCM/bvM/qUcPYRQ+AK6D2loI9DHCgt7R90mOc2LHgw/Ydrtmdk4Ft5AaiYSHk0DdEEvLIPOd4
C7bVSnSpAV4zreJf868O5JsC5JozymMKNayVyueA8jhJucFxhRQHWkd0kMK4+pbv1CuxnafWjwHQ
EWl74nOkReM32rVn7RhtNyoHkUdxLApWWz5u9cpHO3UFzoMaHHjEyNOKyJad50101zqoZ01Jiv+l
pNqM2rTHxaKCgDnwklxwvL/bm3hlod4fDnoE4VbZVZ+IJNlsnuwZVPHT1flt7AbotuHKC3fd1yLD
yjL4E34Fn8KOLuFd6AHOZATt3uOI3RbNCaI+Ufn0JH+FOxKqIxEQZK3d58bksDk5o+HRUZa+n2CF
0JCzosGWZNkLD6e5Qs5hCMF/Lg8Rpj/3GztIg7KW/J6oEToV5lJs77I7Lr0gq5ZChi/Ko2f2OpT6
PHSbYhr9bYpXdlQq2jgNwkLfxxyai08qLjB4lrqLbD1lJ7VPd2g/OAJSC6mjB3tYzTJCdKjkdG+G
6ZfDG30nMGcphBA3IY9WjzeauotJ675Ch7LvvqnbwnrniD7ZYGiElgXCGr1NFx4yECUeuULlwKr7
rI8PL7ZO5dpw/cAjmuUEHiWJNrP8VXEialLc4TyiDnAMq29E4LKfSrjUaWiPvwrepKxYB4FyL3FL
maGADp8RnqSupKopc+kkmgv0FpjLGUoPNGZTDEIdxro1vlLqHrH3UPSTaEiaL2qZuuKGSmyOK8JU
o/FGiFML9uSOVbgTvpD/yJd6soGWU2onU15pLvW/wSFYWz3aLEQSKG/asu1Ia2QRjjGp97Xyzd7G
eYIhLQHlZ2tj+Xc8uexM22VteZgr1ZU232okMLbBUGXhHdl5HnRRbbs7oPErzeZ0QpdsHHC9ESwh
CcTm8dqojvZa0ZfHvq2B1seCdH/mXR+Qjlmko5rEkTS/XxRN3BlZY5Y2xxWaJljcLSqRoPDs+m0u
16Wn3tW7UK4B7t4HXzExIz7KI+vcuCVuuxER4tsQMZFB/HA984royip7lYDjUCbaugSJa3htkp/U
RKBXIyHokNY69gobHeKIXYwVD5uPOhUqk7B3ZEgY5CKIBJGszzcyq1Uet6N6JKQyp9QSe8JrEL+E
SA0ekk/jT4DYpvoy9h7D1//SKvjPeLD3UQTWJa7KNfucCWWxYbTTo4DjgaYZiiuYLoQfxWFTqbQb
MHA2dUGJ4LL8u+QdXHHssZ4nCBHcS7W6qMNaC/ca1Qy2fpi2ott3KL7si+Q07mgJQxQVuZVqm6U0
49wFdR9HbpY7n5FoC5IrYhahGgWgYoVeC+fzH+q6upf6NF1BVQ2yJxavPbpfsBUTh6CKeG2iNQSC
jivQMdI2in5QmrdJeA/GDzOyC4jH2AwQYD9bcYVFeGuJMGOC0wbZ2DL1SrQmWJ6BdGblYmBMftgd
MVDnHdUrzHntSKDRQGVhEUFDz8VBw6c6BMvoMZWKa/omJBeSOtupAp6zQWaKk2A4pR7CPgWyCThh
1GSXjrTuy3WdnfXHdoRdGFzSGIwCLpydOyNJNxj+7Gboiy96NcX3UnMspvQHeKly6qQj5swi+IeU
PXilu3lHSpjueBSB48mzDL9SvQRKTFpcHsBRHoJXovYU2GLpqgzNkSRtCFLIYG+zEWtQIDgkoITX
RrarQvC4ztj9xU+AmGC+EQuhyZxQI2UF5OiA4Q4awW8njx2xhDXqBZaLUDA8pZEeX8OBpX9cph8a
NqBfcssnHZNkjvZTPl7jTW6sJU+nWCXeT4DzMcI4RzSHTM90DhHVfewJR6PMDT8joa2c1kTYBa9Z
AkUCh0QA7yH2NjYi/8UpjZjY2jyA+RtrEKkvHW0YzuUqOSGWg8wTNPmexu5kh/yPoX6ZxqmmSl3c
cmRLMhyE7+FTJbb1XdJ9hi9z51SSNfsugxNEOa9biyf0MEh+7YFxsXuFPKotkW/00WEj0KYRe4Pi
cUyTOoasokbrCXtZuGpem3lovOtQ82615GaP34DirTtHEvV7xSYaL1w0ew413kq5DYmFcBRhMLHX
zel5BEx74XjgfFq1R9YN0piksL0jslfYrxXxcA+7o30DGs6OjgT9S/iVfLX7z3JTrD7LXwWZuR8q
xnR6Ku32t1TZwRHFQ1ruK2Jjmg48hJuBTcMUfScs0KzqE77sOjpk5xj2JjF2IrO4d1/CG1Lt45vO
IH0pTn8cdTf+wexCDI9jzNhfSnjzDo0q1dXc1N/9jb00d9DmYu5JTOKx9hsUxF2ySWSRsVL5mB+z
Q7Llhlbtm7ZeggcwG73l4CXq/h0LHtsNnl6CBk1erofX8berbUyaSO7RF17Td68RjGBWV27WfI7M
yhLWomfJxD1Md6Trg5nZLANKVIKvqJZTN5G5T8jnniAYD4flIBnfWFu8E567X13Zxopz57PgYAcc
wT6Y7Fn7/I3Fy4pMPXLlxAvY00f2oJWM+TSsUaomCb6R9gDamGXTner9XzopqP1B0ixw6AVF2skj
FvVXvEpnljvvkuE0nFo6sH6pTMru0Tk7G7vCN1zMO/3wvJ6wP8Y/ojvvkUhb3GaM/BKxw2PQHfP4
Yza2DfpeA743/YdocpjxS0EIAbN4SZh2VwWDyrrFf/DJDQ8hPm0t3wkwCd+JG2Q/Rul0Z9nF0mGD
zJExdngO+XhiarVHPFXphnmp2+0HEDU63hTvKG544oZfH4mVPNXU5shb1O2waBkc2qMjW/ohcBQ1
DbYowWoy+mmA40LvtuktnW6UJH3qHw06eCT42P8o8DxgNGnW5W5AhHXl6zh4OO29AirLAeziSw61
qMUGN0NMkI0/1voxyv4CuLnx5u3gWcxojuNqKQuJW3epNQ1d8SJ4BfVpHNUasiYhAqivA+qeHnoR
9WOFNasqJ0CI4odO7EM/gTZr7kygTeBzDzJUB5stCxWeedM7yVe9r+VVeQFMIvwscuiKnVG40Lu0
OZzQSp5UOyDyUjnhHkWwW/UDAWQ/XB674FZfBw5MnE7YaTREm6vH2Yb19FYbNyqmoQV/jVugC4QT
V5nnFJMD9AY2OdJ1Dod9RXfCV/AXYTdrT3+YVEKoXSXR20Avse6wEgv9ElmOAcW435f9n+GL84y3
+cx8DVuo/biVfzOk+jTiTfhsqvC3bEiq2sln+nYpkELZN2eske4T1biusGV5t0CZkWgt1lRcEGZs
sWOJDjT3qVk9qFdb0bk2g0K8KzvfesU232UuHiZ5UacjhikvUq4eD1JMXsKXadggKzTJO8oi43lP
qYjs4UxwPOdv2ALZpzz5F4NsGDMVKYjFocMIW/ZpVJqJgyzBjnsMw9pDNOcwJT7fFeWdwBwaNwIJ
jeYgzsSa3XjfJA2TOzOuZeAO6gl8UHkj5lsCTmHjwQ41m132brbHsX7lqR9EEsDdLum51aNVYwmk
3wUHQUUMLg5L6oZ3mbEXpz9E6HKdXop9kNNY9M1/RGQsSnCWf16UYAcydjWUV8s4j81OX+xQPToB
6Fkjfnah0dd8/KaZ0ws73qMj4u8Hf/Mjs/6H2Iil+uMaDRYTEZbAYUPb4+Mv8RGIAesAGDIbK+2c
qKi9GsGOPj8F74p2/w/idJjwUJJvWLx4SwQsyy3iddTUk+5ZVdegJXxut7f2xj9LxG2t3azXKn+F
V72j117/6IQ1jtcL8x7NlcTv6T1x21vP9jOXLmYYu8YRT8PMv8QBfBgahDk34IzpgR2VtyF8jdfG
Yn6wq2P+Qspfx95Ck6NvFT0Gt/3GuaTEkRKe7ogc3hLQlXcoMyIHhvN5E144hgqHTVWn4oTED0YU
skPhOiNq48sIxEBC7b1xvQzIJ1fUDGykJMLo/Fy8aE5EqsOAKNH1+dwBswPb7Ru+evkGufcpcvnN
aPU3bC22NaqFAeQts49ND7s0+Oiujx9cF+xiYrlskDTalJ6xluMdjsXuDn4v+IjUN0zMmKAfOaGG
/OM3u9v4J5P8nt/RoUjtKOlHrpu+vDeCGiytRUEn3TThAdJMN6wlTumbRE/dt0QSGwwpoZlA8hJ/
g2u/GiNqRXxRRVVUpKoYL2yXGNYqvtDLFyVIdh8bFCdeGOSoQnvGDVWaIdzuMFxVd9pC48Cu9lhk
ynf7Ri3ZnoBHRbQGA9T8wLoHp8qnRP9xhTApJGJW2AhI8SXvIb4iVR0uxoikrKX42C1yctDC/yJf
iEWV6DYhd7rNBhdyT+VjllAZAXitJ6p0H7QbTbFUWoXbePNHeCMmypbhJ48tISUuiweE9MtwDwnn
/F2opRVl04WHThNmFTp3jCiFKQkuUrLFSQo+puGg3PJj4nK2fTBsYnwLsLPwv00iNAmUCsSrv0dU
ciOAxRu2hgW3dB2/eSW2FQhixKU44YfumFI9ddFxam0TJEixV75VeSezwSHgS1XsuMzA5B1ZShyb
4BAnR0PzebG0ASL7IjMy+BZvyrp/y97JJEP7Rev5HWL8J79fhnuILe03NA7rDX4Vi5gsu0ud3YEJ
TqTJ5PApSiKKLgPC3oVgKMEeHPXFHaF2Y3AtcwX6EwVSMXnX6htqqaTaSIbivyYXfpfAToVxATpe
g8jo8zR6jeSSOxISwq1GetI4QdTgE/5ugCPqjGs6QPAkBoap9nkpK98gjlhoN7Iz6HxbH4Xwt6U6
BhonEaZoS6x91D9zy9PDdalusJwbZZdpN4Gtn2sWUPOs/Slcp7U/itMyeaLF82DLxrVeNCydgVmZ
k/t1eQ4IZbXHucdtcx8CxCaHoz19wzABu6E8a9C5eq6VV+YTRWI+E0/n6VYESKtlbLjfVrnyhuxk
jEfJljJe+GmGxIjm5LJLNJHPcbmKqzjaqnSJEexSoeEkSNLaxeO3HH8Z1G744M95n8VdAQaxAsWF
naXsGFbuiPuiiRtp1AmwlLLmkiTy9aTA+PFMec2SzzH6E2chI854qbQ3W15M1xsl+/hXEAQdAwpV
R7AHv7jkKRKi/GR28poAyzj3aGcqxD/cdUqwsUreCfvzBZdPZB1RuADytZfKxK3ZKTn5cKkl+JBk
MzUE5IhqLl3H5OXouM7OtPpjOfJQOecZVRgCAgENqspZ8WS8KW2BMUsHAoAO2WVu0cdrBZDooRwu
j4hdgakUaOxwZ6F5o+XHrz4tNDo8tMY86hP6Yi0Kf1XC9gcTVCcxtN4jTkKosjPdZdKari79Ya7w
JSFX5LkWK+H5zrwDXfdcArKexDTUFXfGnMQ9KZVFHZW9mgvlXicqgmDhJ+jEbxh+3p6DP0eHb8uw
8vdkxpcHijQpWrDM5WjB4nI7THrF5apYRPyEX+FxDP74IDW83DZ3i1I0lwbAkKFjCLhGOAnc/wzC
LVz0tvkjrpdJsDwkUEodEncPUkg8QHxQRCeX9I04Nftgi7MBmpXNiNtkOpidMx2GT964fyNLIOAx
ebwvt8N/c/PGC+qEebQXHg9x4QSvWVWRQD6yKjR1w5LPlF2rbTqyAhpUYJLAokP9Gw+RF1sWRmSz
UCsNmTuSdRdjp+L/mB4PlgXCe/CLPHbukNtcIEBOr/vVOZTREiA65M7IoFEmueQPKAPF+nUAb6I5
LVnrrLTnwBvJ6lqOdNHTHcETISGY8Mac580Dqp4FSjndyTjFrY3CHKAi7mdgKmEPro15z2Pgd+kn
XeYihSmEn0GV4JxS+krEHXOHuUpZ53W4azUQqEVxmKvg93gMkgkBhQZwCLKretEX9yzlyh88xP1g
7cnXMT94lCPdGZlfST7vRM79kWJwb1Er5nUy19oNy+ozcPu4Ki573pPYYFkkpd12OyZZe+peSZCG
NQKPDmj09kLjJFGPsgVPitlClY5Pig2WNUq8uaM8vmgm5upYx9rDxXIcO4/mFNGyy0yiiWXzOlsO
24nVnfv2I6ZMrKGHlT5h9UBJmyh7UJoa+QCR9TF7NL0W4obUODJwVIwlkhtqnqjdeMZcZh9cWHtG
88aX3O5SwYW+T7TGLg+ktdGvasGReuYtaa5lYOkIpkRHdnGeqHCcURNfhn+FvHvuwrVmTprVVR03
/4wwBdtCu6amkvEBSo8vnNT2AHzqfdxQ68adTciFEg2Geq1CRfRZcPmSdbLrE7JwJhRgB+JEkawl
2WEWUlMAMFoWXAYMzXbUAXl0DNTCGKb9Z/ZSCj4ZWHYgvq41d3GkcrfkumPKxCFrbRlTiIAs5X8W
ZAN9cOURk/vl/niuTMuAvJ26xCeHdGd9V+eAe8JxYjJGWwYWN49L4v6XgiCD4iL7obsBwfxVWCy+
KfWREQyw7DrPO95+mQQ9oUwbMJEJm5qGqsBXiXLila3IXMjoOlm0JRNSW3X9tBqsyvbZPW0Izhn0
yOE10v+wGK3d44cq1ex1ma9QR3FSzQ3o9zj/XOCjHHkJbsZKxWsrhkti0fS/F0fgp8JNpMbzuexM
1dP7ZaRhvLCTEeWjEb32MS2UhlI4p2SO5eBofXABqLQsA67DiLBLROjfH/gO7OWUd5FhpHrKmVgU
065XzpT0VxfibFRyWCYIS5QTciJEZyMNfJbBsn5U1EOpL3RKyu9OdEoX3Z5v8KiralfDHuwdi8Q5
NSwvwTsjKsoHKrtiIveywwoo2EMQYm3Wukb/w7o2v5d5rZx5lgRaRRKipD0rmr8I1ANpElAkat2u
8Si4JJLLDpQTJqWcK7OWcZsmc8s+LMsWuz8uPmhN6vthdVhIADpZv9ZUP2udJHTZngt1yzTkLgBT
4kALGOos0NpFngZpaSzSeGM9XtqQAnAvFFk8bhv7tFKw0qjINONNMXwJP1SssI2p9wosKkTY16xw
G8YU88b6Aym7bBxqEJeZBIAPNeSlvckWD/DsG4Zn3inhC5m9sNr1j92Uw2f+A2NlyXoRSni4DySB
WaH1lr1KJuTULgcNaxGZFfWLMIJFmsYvqzUTk0fBlKXin5BUHqGeyQrUiPVhZBlAauFHXDmMYJ0x
20niDeaOH7G1LzYHWi1n4ZuvzQcIZlhpF51bKKEK2ZzkuchpvxWS15Sc2bTcBb9ZoDzIl7pTIoVA
YSTEKoqtDWToIa3Yy7oXqP38ICLC2xuNw8rjlck4cW6nHKd2ITMbSfpPywaynNkpkbQNOwkFyjMC
ZsiZEwzSzixLitOD5r1io0fKq9/KvBTN9xH0oR8mPDmQQDmzdFv0wmhXmF0ApSM3RLEDqwLs21w5
OvzwdktvyWrueWDUwHQ7RVuHw1qYPJHQeeiUNCaSiIHT0u+AOxPIYbiF/BxgcbGxPDcjFmt5Sj+Y
MywproydaIanyhU8t3M2I3YOHlFIZ3G64aGx82QUreggYkgvUajlNF8UhLBBcd4J2oZfB72H34y9
DECImrXMLqQj21gXHWqTOmNsc6CgNmYDb8a7cvYRLONLxhDjjNUijvioJzI4mkXYfkky8Fj5qyyk
MYea8YMlcdjRkhOPgCLVd8g85DMXe4+XwgRJfLaQdIYqv0AT4oTocM/sDwdochvWDPG0VPl6pSaA
lAyWGHdv/LDJn4iN4qzjry7HN5UnhD+pLIIHupQZtA1VfxsqLQgmczjXRJiAP88owAuS6ZkjoEO7
gUYD1Z7NQ7OQfAsr+tSVqh0ZzOVroc7JFvWaHvPybLBVNTfbrq5kqoRjLCR9eJnNlCbKvDW2GuyX
UIlRdUmo5EQQJvJLXUVWYFS2AJ6UrbWoXogxRVS5mm1oWPuMW9oosnaStwmAcVAbyUYcHiS6BZpa
Ir1GuLpOwLKjc7ANuyAE6ywjhJYPimj34E2Y7ATOal0a4Iyg/hTpgifNPBHoVtdBH1I7DBqDxopx
wcupCmCDS6WaOFILiMGcAxibs/ZbZ+HXEHDIlAqn82PO/M5wY+yaMDRhE1A0vRpaC3iRIb2NJlKq
aCH9588DXZ+8IDGPz2/ViZJh5Ihvz5fOEMxYj0Ru8qUtKJfHdps1gNyGKmLIun4fyRRRJv//gxzO
FGI+v24fBsWgcglmp2Lh1mpZbcPk8d8PSuNrWsFRMkwV5ob4+u8vxHr8Y056h95XThJo+VD3C8b+
36+fn/UgNKF/ZJtpYVRET0bF89NULChohBMcQ7WZd0JFZaeQ1BOKOGNN95PBGomo93faAO2n59Wa
AhWhdZW0SPUtnz6/+c8fLn9NZSc/+febZRJs+hofrIV6a9eo9UB74CKeHwA0IzL+vJznp89vamV1
s0QyiaNCt1KYiaDKVE464O//+TAsX/6f7z1/+vyejKq0EuuRrxjg11FI8fI+rCh1qRBCB/5mPEKB
HaB6r0W5AeX3MICJ0F4QNoMj9ppmyzpV5ta+i00deWij8BuQkkhJijPFYpq5hLdjIgP5+BdIUo3n
F3yD3kixCKptEVitO1QaiZGZmraYEFpsADMo+zw85os8o6LOuH5LI92jIeYJug6TvKGzaRFmAvcF
YbdbuDfDqWw5kHtRQzA9LalpnnCJUsRPl25CU01g1yIyYY3md9a81RoBQa2W8otIKgRmPFjUDIVv
s4pRBytJhBAkUWv9PMnSCZ5X4Ssqha/VEKzaEfNkoubQ12roGTAudFwC4nPF5CkPsL6RypFW9N1r
Q11lSdTKTFD5K7NuA2lejCSFJFxdOcHYkTU08bUg0K+bdCAOVaquRXOfm42MdDjR5g1XtAZA5NTG
PgmBxk9J9Tt2Agc0qH4Q4ANa7iTTYyEhW88hRO+hYZNVeCABh1eItgR5bKTTgfIwqL3pDD3xUUtE
2WqgIiST8DAger8XYruhnj7Swb8XMf5zYRjRRpqpQSqIMpsECPUBZh4qLJ99waDV1aASeX1XLHyH
fMTaFIF70azo9BkdbeMn/YHAPYyein9l9VAef6oJkMSje4SwVQvVTwvIDUSANCnR1qOCdF2ZYjw+
chIwHcEqPSAfNRPbESPUYzs9Dmlp6vJDVslviDQ4Oq0QG5MQIqVedNAaVB5ZcDnA/NW9YPjiY/go
Oq5YEBKKAgVz37Wj9iJydhkd4uIjWnpqRLFn+Ug+jBZrVNS+rdjS9mHHAZdpNJqWUXiTdDxD6pgR
UZVRe330IxqEeb6zlJ5GCcS8ekMrnFRazHupCNxwyNMD7WBDMfRQGnrlkMvleR46KqRI9NKCMu8k
Q/tTyQqlBL3gl10EB2dAVclE4zEMz0N+bBTdukVLCFFzLch1u2wEKB4VLUrGGki6sthpQn0wDG1Y
J0gn6KEmecNQUavC4rUrwTh3UsS5F6F7nYZmtEwi/JzI6InmGL95OQ9w/elti1X1twI5L4SgwVod
e0To8xylKoNiBoSWIDeJu4eB4h3kJyee0TQpDBS3pbj7QNOELNDcJl4scf5O6q8RGsN6qGnso+3j
RekTeatAJg2LFOt/Cr40BUFEIRkQVA9hUV+yyvB6VbL2dVnt6adpd/StgNqT/ipTQwNNSeCMI4Bc
AwVJ6AFpmhT7QtwD+6fzKJOqrTi/tjrNsw10tm1OcQRtfhuzN6hikyecpDJe5Hr0ZkuHFPqigfYL
Gzjzs0L3AynlJKib61Dnn4Oe0tLWSf6spC/LTKdT1xJdTUhlRMymbzMpEV6KHq75oOVtoEWlkhp/
xP5WrbWgSOshAggm6rTa5Ba1HvU8wM/hHLHaPnLmgGZvJGDhvmkVZSBGRQdspRkbocPe0mQY6nJo
bDMUcOjyCSYn6R4ohYfNRhKFeTMo+XRWH491XGo7pkj2nQbywUQfSm6L8Yoogm90tLnpA5m1oSFs
+Kg/1GZcq2Yr7OaIMg2wiTSAjTNQCLO5TmI6bhRR2Vc8GkKOVH+HD/ScO+WuDfg3dFyB+rCwiiRp
ehnJ7w4A3mB1afNRU5VbbUkNkY852tQgugktEogC0Y9PSBOWXkLtEup+3BQSajPFgywyBBno3E6h
0KYjVvrbRP/rdgrVwY8CAL2TnOfbGUNGT4tF40s5d1V8CSSr8tiMk40cX/WwEF/aoNxb4azsZPJZ
ehLJl3bqSepQitXUAEAQUhsn6xc0ETSzIfo7PVBok5XHtXBCWk43hfkpRHO/t8riEFRT6sOAiOge
EL/AqOHNB+SzzLLeiyWaI4n0QJerx88jkzGl0kESZrZNsx88ITEerpSV78xSu6yEEi5hi3veQ/4S
LC11o0YgCxhqbyoKKOms6S4tpfd4DPZxIyuU02apPZeYncUQwUXE200T0i6VShrITCR91wX9pUUj
chPSoUPiYQmR0Dsc1nF0iJLKU43sb2NI9AdIyPwAtwmDYVgEQBLgOfKtzcLBfaja6A99CRzc6DeV
NnHUqrLuaQPukYEcZSam71KvUKPRTGfBCEmKKagMZ2jeWUWR0/iI3p48ggKs2Fo6tZe9QZS7PRoi
J/hzH2PRHuusIUaQjArIuX4PoTj02+jRE4MekKOemmNs2Axe4QtyhjhQGxqOoWvIPiYTJS4CkleB
HGzksU9xLYR622o0JDU6QYWqldML7T/HYRr34MBehFiHrj9ndEFg0FclYCqNZkmEs4igxEL+myMg
mcaai/2ufgUivc9M9tdclQiVG+YmwkJfo7ex6Cd2e7jfrxJtyGFeo+UnmjkF3A6aTvG67JurteBZ
e+ig6GPibM2h+RPNWJuF2VEqoxOnquVw8//YO7PluJEsTb9KWV0PytwBx9Y2PRckY2cEg0EqSOkG
RlEi9n1xAE8/H1g5M1mq7Eyb+06zZJJSMjbA3c/5z784AkgzLVx7R37f5K/TkeZQDlBNugimadmB
zXk1a0bIfqPcEpZ5MhxRPY5p8YFwH1dhx36r5te6GbzbMMZGvxh4/w6Kl3n24+MUPXh2Dreh/4rL
HWTWiW7APExzcujqZrxvMAOHN/wjtB0K87DprpFx0aRG3qV+W+OXOPyIMXd98pksiTLusRPwvGMY
Du9h6wYbY2fZ1ZZIA3y5uhEYYC53dU5Jn8r8EDUEI9lp+y67YdOYlBu1BwjeePMriYlLqAZ93zSx
jL+5bbtS4dytbDkwbpYBR9CcnuR4nKw4uu8rRqheYq219BkQujQ5tOG4J9LwLkazOOHhORS5X5vY
32mz/8qBc3EwAya0BEcJQntZpyt8zuz7irzJUc4davMFYxLl0+jH5S6BBzdlI2/SROBrA9BbvmI8
2Fronx3cXet7mxTEB4xV6yPGBMD62JH7IAReNBArM1YPlsQ4K/UZvY4IcdII2xedzAF7U/rdK4Pk
vgl62EFJunEcG8h1tHF40IKcYvcuMu/okeyDHDGEdSf5ghPow9xr5yiz5opsnXPSg72ZIEg3Tbac
cQLcmwr/nDpcSowiYDWZFlY+EXNOoas7Rz6CmHVZjtNMRz7PLIpjodoEBLwDq3Mqe5WF7T4Zhvra
QltcV8zXcXe4OE4DfKEqLllGQTcIpvS1JIhobkg6jDOsxpOedhiDRvKP7B2GneZO+T7uvVhA9hj0
LMU3yJnbDs+0ptWmRYYNHZgfcy8jayu1v004+ZB53Bw0ImNAS/mtUfVDvnhm9vPc3S6Lx0knbDBD
PlzbUQsnl5LUyNeFM05rTAtt9NiUEQY7U0ZIgy7BQYJEfSupfVdWLn7mDZ6So9DYamLbeYjxk/ZZ
pJUZso1Z3OBLSE6me7kLhpzYyhLDeYdtstAoLSwPrWzQPpM65h1JDCV22Sy3ZbzIECB8FtKWhzGY
T0IMcmtiDrGln7b0vFQFUNfTkFATNUNnhBBGQ72XaZM+9rGfbKKe4TqBC822LF1MxpzJuhdBigHf
4ICaxQHx7OPO0ciPPLen6cMNYZ9lQ8R5lYJJYaKo5GxRnmw8K5uQfk/h1cPB9nZOsflOSvkavmYu
EvyEov7Ocef0vsUzFxFcwZlniuA0uemiF2B8EtjZFyHARRwl5bnyEMMqShuC5Uk8GlsPpbyFF4Ry
wzU0wGRTBTMxk115QMf4s57ceO/PZQxyQjSBU+1mA4/nvMv0ei7lPmhgbvtui00+MFoR8maFFz50
Fhd3CQiqxUxjaGP7pT0BjWyCm2EkBKqWRftqGFjgWebgU7Mkza6ZoKPTRQA5xbD+u7nbz+hf2u5k
mEN49ETyYCptPNPuWpyd73PT1reqPQxODGLjMWvsjUtZuLib0Si4PVNNEXB8Zx1T9MI90QzdFan1
rtPIgddM7mGi8oKxA/bsefc6BOMV2MGmffLY5ex2W7pNjYDCr+6D3tIMJLJdSnO/d6uGvaWO9i2T
fqMRwSat0wFNJJcTSfPGmPPihvi+pQsVA225BXEyZGbYUzoXGcxQaaE+kTrfuXlnnZUedgPwyEAK
2jGaDKjtZIOcuD/ZThNrxpaYWCvqNMptx/hhoiw4eDJ+HWOOVRGxGrlbWNCUsEsUWbFuZLluob22
km10cgjMrELl8T80X0tLW9h+Nt+EtrEFi2OWaFUxyZlfZSy+RAmjwnlgLO/52P+aGaP+YCLJ0Cjq
b1GM6bY1hgwp4Zq3FfT/qGb6EUUDbVeensbYejJcPWyEP7nMPeYb77sOoV9PUQVVw8CMu7PI32ii
x2yervM8ISHzAYD7Mj8VbftljoqtkYXhU2a/tMPwPiY+JNqIVrIC5sCWlEQxE+zWbMW+HXPUITBI
sP+Hr+DtBy89Rs29JcW3ZsaSIbf8g4vbAOltjgf3dri0fj48pkL/tDQyEo/QPAwVfPumddP0iZy7
V0dfq7K0f8zqqYjTx3xssKUtZsZAybgMnZkEtT5wa6qOIwcSnrbdx1D7w7bzmeXhWzNw0s/+Bgcl
rMkkjEb8W96MmcmCxJp7IKv6zoDDt5LpCxvWsO4TwlOBiZJDNcTvcZn9qNywBtWtz40M+vsCLuXA
qerO3g+/FZIUKcU8spuvb70nx5PoDVIk+JDwrSg3tRXAA1jhhW+eZTNs3TSnp9HdumAHv+3leD8M
JMKZoUXBHx3nHHc5f3AZXVTzdsRd43acJmQHPcYRsbPLzQVzWYSJugHEmLoKQLyvsZybKabM6gGN
L6MLco7gzqrXwvd/WrlRrpO+/V44XHEzDqrNNDsPViZBpBN33RpURS69XeUhpVEGasC+qJHoQxgf
FU4gProtrjrLR0V37ejC9UhtoIIhMtmwkQoY6RScBr/6ETOm7Lr8ww4wg+wdNKhECxrsNIEv3owc
OpEMcYCcMubIMcM4Q2FO2TbfC4kKimCCqa3LXaNKtldFKxcM0Uvftq/jMM8PmX32c5TGuNFnGzw/
CriLmCoZBhVzC5bu8xhG1j52aUPSp277m/82eiu6uJv+wujNdB0Hv7//2ujtEpU/fv5t16IE+vF7
s7fffvE3szdX/kOawpQOEIjz6c/297/pn233n383+CvPV0r40vUd4sz+/reibLroP/+O2xu/gdOc
40lH/dMj7je3N8XDKcpvn6hHrOP+1/98H/8j/Ikh1KeNZ/vLz7+39XTcX9wNlcc/JHBRWSp84yzX
/FejN+xm+ob8SkbPHJo3pDR/m/aRI54noqw2IiiR6YpuRXorXi9o4Zm4jg6HZbKjnZbrPkMZdtuH
+dmrB8hcaGBN+9ULmSBaMeaYQGK2RAqRvlFDHF0gA01spJcco7zcteXJsuPH5SjUic+er0eoig2Z
dwO00dKDGRzMl3h0vL2sHlmAa1wHYAyUEGQlDKMwz07EU3R3hCMsOqYsx3gCjCjrxbWfcRLx1F08
9oK6Xu1T6hasLqE5CQv3L2l/EFd1KIxvZRqhdIzElU7t5BfdzAiULbCjnExo6MoBC5XCTD6SiVmP
16J4ywaozaM8EySx7ZT7Y5jcu4adHGK0RvjSqq1v5UdKPkSiaMAMvamb/rlTPDdDWt/Nf+ppuhh1
syL1+CfEANeCgBXYsNR73OJi48l1SA8OzOGYBuUhbPk0XaQCRTE8apEd4y47lgVEngLqow0jphY7
Q0/nuHFPBshXLOZD6YuzH6DLMwgULaZzUPeMWtZNLq8N5T7xdqBP0yZ20At18Yes2E+NmLyA6RJ7
/bMZ2a89M9183wbEZ5feybXGTT6mRydN3qQ9HybN20yLo5bDJRI0wyGTN8SvhEAoMz3i4HxWyXRI
HKyxEd9rP97jAQQ4mByJHuauiI9o6RSqEndAbk7EYVxCz8z0xu5SxOX+SZvitnQdIFjaE2M6C2Sf
3fQiMLWCXBt9WDn3ASEWh9Fmxgo7N6gJsy/C1ZTAzTcU5Z3lyW3PM5ctIsYMCTkhA3eys17TIXsL
7eye7dP3KEIjG4+kaJ8ULXKRcC+a9LhcYRnoa9/i9jmn31Wafdhh9MEw7bJ8jJUxX2tOeFfNODhs
mlS8T4stmswYRI6bqWDK40mIjOmuTnsGafriF5jcNKU+zA4HMGGyaPj8PXkp5xHtcz/Fe0gDqbRP
5WyfTCy6VDUeJJStMJwOcZR9kELRLSmejCBJ61Tp0bLn63JPzrW9FYIRth2TRD2+exVQG8SuFK5k
NF10pV4jK93j6w1HNSVOM3n7fI4JTcg4WecWfmOoF0feOvwIWuawWTFuwjF7c8V4cBTVHlclcou7
lHgdxf3XTWdAmBvChF/tPvlo0pZNogO0SfZiyo6GSqECJMec+VuAP3jZTNdxrm9z0Pwxmc/xnB5T
CoE64V41mqe0XA3JuCHn86Ky/rkx8iMRopvB+z5GM/lqTOYxNAjHC5kR18bJ3sjYoADYd3q+uvV8
Xa5gL6aDkaVHMnjelg9muR9lqC8uPZtRztcWEt4gkWVok96jxeQJyjNFp+WqrY2z4I1Rz2fdinNn
YvUdrs0x3xEPy+M1QODIpnyGiABeWtuvLQ2fT5xVrLzvPhPbiD0hUP1TD/NsubfTdDwsry3DyIes
2O6ZZNnbZDY3SVIck5itoI+gGNsYDAes9T7v13mbfYxKreL4VS/tPdohk4zU5WbyUb7WsXkNgG7N
/NrxSVmD+zpWaFVTMV+F2rWG/xQyM2nshKE8QlGL5PliPrtktUQ2MiQBk45ONB/PmO9d3UQz5O3Z
Zcr4DWObl8EPH+9bhg2qEe8RuZ1xEN4NZhjfWsLBumt8J+PzS2Frqtfkgwygg9nL25qb2QiBtad9
GTon2FKVcQ40tNxygPct0Qd025rUiMxzTsoenudanCvan3H51t7aFnyN7+ATj6JM9l1jUS5mTEt4
7SPLY8KYvOGTppi6bb61VvPQM4nwq+65bef1nCHTCJCcsxCWf8lXX5eQRixur9FxCQ2R9Iz9exuM
55F7s1E9vFOWWKKqTRDNq8a1t8tmRdvS3cwS5VsXZnvpDs/Lhs109C4kC87nZOuS+SqT/O0zCDi4
9vn4bAUoaWI1vpvRzxYIKBwdBjXpcdkThO+eooRrxyJqTdaYlHEMKcZ77fsKQKzgpPHVa93beNAL
JBGiuziKNc9GdZMO56hL3jqeIyvY3fz+GFF30tI7LLX8LfE16yO6b6LT8ly56Z4+VxzVtzTBUQJD
4Z9hnGQR4PcCFDnEDSSRRCNDmawvTKfwmqjMZD9CW7gxJ2ubjSGKQbt78ZL6bQL839qJfE9ChzAo
uhF3QbAtbCXxI1/GpkV4n0YTePE0Cep/bKldoLiw+5LF87RNAC7yqIal0Kev+YiDF3lJh6nMDwiF
v1lEl5DtSMRgmhoceoWe4J3HqMAKG396RXjILhPPo46GvUx0v48dRX7G8t3nn00zOk2dM1Nyncc4
Ssz1TDDqPg9gkX1+9/nFUARLfn6nmC/fMnkp8nbve327B2pv9r4bvgxqYuxndfdM1ggB8qHKZ7RC
t0yqY+uWKAi5//zCRF7u80R162C2X0hJuCFOINgHDEHHMnuJYrMlmSvQxCxUIeQO6CfZQGyJiK/S
ldFuyjXzl5ktpBfbunPW0sPpv2C2hMNlQaCo7qE9SH1TGq9e++E0Dohstppw5kmm7g5Zv1tjJMef
dOa9UUUaLRwE/Jre/VBNZffPLz1khAMvbt7Obntyo2aEHI/bd1dAkZmgJRvRucBjc0X9dYXfm9lv
M1ymiFNgVUfeW0P+A3YMAwzPov8W47VbGAnjAlTnfQJk1Dsjp3Gmrs7odndVtTijGE7KdiPINkPN
Fhbc2JiQvWcGQeiFffJUhcyRSUQK6aaspldiLlA1ssyThs2DJVBM/SX350uIKpzFtpoCCh1le18z
kXcPImGKiB4Chz+P7W806+BmSt1X13BOdq6fzWZ6TlV5ypwA+0NvM9toHtXW0M1BOen+d0X9H9jf
S/GL8TZ1su/6to/tsu8Kpexf6mTmod1YTnlBNAh1Ms6F6E6QdsUdq7vBlpM+UBzKDKBHRrojlCLe
6LbaRaPB4BfJuJqHU8NmNLCB9co59crbt92VYGxIePZ22WCG4dzm4yUyEG55JpS/5KsPL70qOgpH
cUqs+GXy0rfE5PFdk+1RF/1O4WBVUp4WNtZ/pr1Lag6qgf2Fz6yQKeSe8dLDE59cypV5eC8DWEmi
PcSBfncVdXkWv7lWeQR0QUIAKU3Z5CuNG8kRSI0ZGOPF94aL7Pu73h7Xeflt2UpdEnWB8Tf23K0r
jvDW6je5PVyW2s2pxmsdiTPb0KhhT1LSFRGrB4uRkC2HcItT0a1D2e9V017yQb9P/bgppnplt8vB
ar36CfQteCFO4ILE6Ktj8477EC2hRZAWhWSHla2NjXEF0+DPL7RPu/M7s/flMnvc1PwjLZ/+65fL
rMPazTo9FFvtMRrzcVOqCM5jeLxZTjCrG89qyUcMD3/+tAAVf/DEprCUZUtpejBMfunDlDVZpuqL
xSHxmjfZEf9tXCtx6SDGVnAxsvwYaILAqfJSOFk4VG4bqJUVwaxLHW5SJlqtDZS9GBNTWFE1Yx4L
SwwOdM31dL47HPeKXIbCadYe5bw7npczuEi9VyII17pO9kvBoeMjXI1NCy0dZy9Xs2oz394G+fQe
Bs4pggOgKEGTRWFUZUc7F9e8RHPFTZcgqgyJgW1yG5nrqk1ImfJRT6f6EqpiSzVb1vO76UI8LxZl
qLp3CP0ZuvRYWJwayXwZswlxHoW9ojIILfSRvGdrFtdZCswoxLHuuS7pd8PNjhPDkp7fTWOG1ORR
MEVZjU22D53p4I7i0HHbt+yvs4KKn5265s4jTo2qlRU7eK/LORoO2FxG0V1nqRMRWB/Loe0N40PR
rIofZe1vhnw8yg5nSOxuATA7nR8J2MFXeJ7fcwGDmRiMFGuGxTpjPM0dq1KV4jzbxdss6Hz1hP8+
Izih9KJjJioU5gkWk5ACs/0kyJ/3xLHCU2NK3FM/pm/95CKtVFtJVbnURFPNXHrCQY1S0Vb0GLxp
aBzPZgrHx8AGyaXmS/qL5EONWRt6IOcomM7LzxXkD7HYB2T7BvJjQdMzjHjnYE2go3mEBA39OYjw
5MgUKSLpcan/YEo8q254kCjylq126p+9Sb/LMnmaKSFkL56M/VKw9LRyIkiOJg2unDEyi5MjCONz
4EVvSvGqDPtVFPQI+TARcU3mchpChoBFQj2YA9o3rN5C2K+Zok/M4qPIh0sVPSWYcoQ2j5VNV5Wp
1ySE0xyYQJTz+xD1F6skga/I98aQ7COfatdv1iYYGFyEGOr5UhF2XUYRjKCu3EKi2lfVhP8BNzyt
OWGem9hU21HzebJ7Kc4uRcLzcmZklXvys+6OSvfWzDWmHQofye6ytGQDrOsifIfZgLKNG27pEZJK
cU93yOpraooxp1HmEGzd4ZrN4BAYGK4AYyGCDpsBY6ic7XipZkFff/759iGtxY//133LdAmtFLbD
JrKkE/w+nSUDyK1NZeMT4E7vRcsHOWOIEXyhGuNY7hUk6XG4eH1+T7ENkqCBEou7pUNabqw2ggbl
LfYYnU8jU+rswsTsc9v+fADX/F4n0/vQxB+lP70nngHwANhrxk9+6t8Jx0MzpVMS52kQVu0j415k
xAxpRoifezVw5hSNwUAt6xbu2bS16iq/tfr+nMMq2YQYTgi7atDuz0diFV7lUus4M8uEDKpmLc36
rWr8CDVIBQ9FZs9NScXelVTgwqr0zangs7plQH4zmiWD12ihLD0l3XT18Roahg/RWNVtyQJf9pdo
tnZlArelElBpnZOjusPKZHNa9pyn0BAnUSMwbBCWeOke6sQVr94L4dNkPhKDK4kybVbLGZ4xsg6s
FpOxDrOB+bBsgX6fHbE4Xy/rr3X9J2k9DXTfWSLOy6N1UXwMTRgOOt6nzGrcVUnnutwVqatOy4P4
dKWED0DH6i8GTW+Kt0tX6Y1aRpups7XL6X3KeQF0l/mETtOX621TdRe/7C/iPoaqcwdFYEM+KdtS
tQprRJ9d/2w543lZ0J0LjvUXt9+/g4i+ySDTUZ7puLYrf8kGihOK9ESn5bZ30w84v5pLVLCPBN54
wpBpNqZDDco0uvVfhLPIPyjLTB9s1WLvU9Jzfjk2faV7IhjcYhuE8jwt4VpThpPhHdSWNcag+Dlh
DZGB0vvOaTkS/+KNL9kvvyw7nMw9l1cgTArDX55eu+5oJTDbtmZHKUUntlQ6Bre0L9g19MWx4re2
3HXjY2znh0bR8wH7Rcn0F/FMclnf//ZCPFBnIC1/+e+/rv/QKvyINIhiu5TGy1K3wW0y40CY08NU
AZtk3cWFferVUE0lpxt311JyLSVilgHn+WobF4rS7+XPP6IFwf73V+YzUnUh3ElX/bIzwauCsoct
MvorCmdRHKzIQrIYI8jQlHX4xK9U2n//LP6rFvQym97BqZ7DliTg5E3447sV0R59gmeePZ/DjekY
L1U2Xzsaeyth4U+ANCBfDvrQpdZZABrH15s0sbcE3xGQ2q5ERx+RjRdyYvdezgmNVqHhWuiQ4IiS
WVo0XJK+WUnWqieIdKTi8fpN0U+QR9oLRKxt1mGWinJHYr0YDQGsgGYt4ArUlGFjHl6NcHpPZ/HC
SOzkM7tyrebsyf4SVPlH7fc8fPLWlAQMg6GZCrWYy11DEFkAYgg6npeQdXs9PEdNWfzFCv2j20NJ
YdrSkcI2zV/uUzOL/bw0KcEis10vBUrvZ9gwff/EHcer7Jrdn192af3RdSfwb5lpeFS13i/X3dfS
A7lnZS7lGMNfpPZrJ7GuSakvLbDAmpP5bRo5c2a4SqIfnhkG7GtFFCRbcTbYEHmfIsicRclgcLj4
fo9xXfFgucvNgIf2TTZMZwtyc+OZD615iDvmu06Bvg4pd6GL+5lusQeoWh5Xe9XawrV1cLYKeG7B
TDPuBD/K99IcD77GGY4OaQBzzu1m5Sfw+/JvDgFOS8HA9GOz1ONFPGDI9d2LqABluvi6IhwZ0YKY
brWNJ9NZjdqjB5OErSryMMObPDSrVd9kPXcRVmcewmEmIbCTeuK/qOLgq+c9rPF0vGo3eI5hOw0A
1OCTFv78YIcN7DDb+toA1pN48rZAestpgET6lE/tS9NzLJuAVUXMQCO61ByiMXOEcDfwGS9lVCry
Y+SpV5OySQ/7XE33o5F8GGaFrMi+88J+PVXZm8wCHAIphM9jZW2jyd5O7NpD5706gzwvYDh4zmFa
GSxXG1OgBUUuna3Zz2y7eEMXj6NJS8/7gLt08p3wpK2SVGtKfTkcIFu8B5iQufIvD58/6NgsCGC+
KwX8mH9rnGbXKGtlWMV2AbcXwHvkssurG1Qvy1tm7rst/mK3/aNd3xYAcp7nAgqYy9+/v13iIiQ5
T/4PaGWxS9HKZpsCVyNuXfqfv1g/nxXbLzu660hTqeWrb3q/PEkMk6HLhCjgw6Jy13bLiCubnxsy
hOvQv11M+6EO1Jd5Bjnx6HykOLRR+rFgkI1PMdI5q9jyV/7iV0bB6xvmKQUUHkz16rIRukW2TyJ+
p0SHnyTfPYenqQfaMvAuhb5k2YjTfLz2oXkdErbqpkHnapLbMOXH1vFhW1GMc/37IH0z/YmquzuU
ENuXJtK15mvkq1NKiTxaAJZtcbTdy6wxKwEGXl6kTcVdO85psjD7ZqTjUC171Re4UkBpN3M8nlMr
Ofq6f16o52GOQJDE4KKxjpEZ4t87HZbibSmoxExctt3cc3scZqJ/Ajq8lmmK2dCOMftkWl++yN7F
XYSstH4EmKJ0/bA5LowJxJbOB0twSG5EwnMlPaJcl9J/eTqBNuFmSOzXwumf85ZuryZOqFjUSlRc
I2EvvJYg0M/LDr7Uj5+3wX8HrP3V3N1yllX1X8/dT8uQ/G93b2nZvf3L3P2fv/jb3N13/kE75Nuu
KTmCbOWwefw2dycH5R9CLTFr7BmfIWz/b/Lu/wMUhaA15QgTsZXL0fV/Ju/2P3z4OpbLr3kWZaf8
/5m+S/eXvo2Ru6ssijaTV8gxKa1f8Cble1ULpGreg8STxr7//JJ1MZTzjnjnWLjmxvxU7i2Js2gT
Eswe/+/PxvKH2LIy0DYKmHxDiOiqsQrUfs0efYkkDcLHZz9rAvh/kOSRyi6Jy1mZeTiWLWHRTRqP
RL8YD/1nDvLyRbNb59vYGnyCV8DvcNYPobYVGFHj4f/5s20GB2usI+i7+TIkwDLpNr8UzIsYheXX
DM46s4aLCDOxLYbTWJEBnZbxypkQZQTDA9j/iK/gDOOyrr604cx8Svf3GgaaoeHlL2Q4Z8IhIImY
obqo9m4hjD3qGC5psPg8zBYcZhQlNUPAu4CrtxoD+jMp87twqnENyVGiREX9bhF2AEXLPVeMT5iX
XNo6fJxE95IhasD2okYFiv4JmRUSnxx5BFMkxoMYl9YFQZld7H84413eEAIx2pCzu9iTN0XVHf0+
WQKzjwry98pgNFDn04OdFo/Sir/ZFYn3GcnlRYVPIlFAEM0vjoCLRCbR4GPBbil8P8cQdIRx6GZ5
QKI8XkabxD1YB9OIpZGd5+1NusTWtSEkrzyukEzY6MbrclCAv5fSgCcZlJwEPRS9xLqPuuJbFfKp
jm4IUd2h8bHkfIji5mvlkb8y1U+ypiht3S9+JK+tx5YY6mQLpxhJK3K1FMGEWz+apKMapLWmarid
ySnWuoE6G9Y/6g5YtrSKH566GculBkPkljkFVHL9rnX7DkKb3eTgjyFeI0mxQgC5D1p734fxejSo
wUSMPXbAlMt1do3AZa+VEdS0wg5Wpao/TJODZRJEQEWIQ27CR981H7JO/kSkd0d81jN4ccZUY5JY
KNofRD/c2onDYRcyUXU7MGONnfjMmzaQAfoZiZyT23PjNdG3WNcTsSVI3hqzs9aIWOIaEYbW2ELa
WXbX6OahKF71QhDxKyTSkvsBi7nySb6kJh+VDy3hZlDOWgzBvTX6CNTSSwWbuhTeYyhxUctEizn+
jMVitiu08ZCCPQ458YCu82AOhK1asw2mHKMWL/HradPpx8zcLnPwzQ07bJo8ITZdakW3vc1vyvyx
QRcCazW9Qr97ocs7db1j3DLqXoWxgV1H3uMfU5k/VAfi3u/dDjeBOpXzLaJDxqsmBkoeOQqjK9de
VX2xtfOjJ7DjLsUe2Rjw1oqa7Anp7gwnBHX+PD5YHrK7UmOwb1oxKJtGSeHgDNGqMzIfiNlZcLIz
wobD9KX2SXXpU5BoskcFaVjSXETW3bNONf4tfr4CW4tuHBNaTeFk16oLsWxB5G40dF2Jxncn2TZP
evC4yC5hLTgh68k+2nONAUaKKzPhS48duVtzhqSrhyNkPIiCKt1Lzeomq6YPnuBrHquzESH3SJv4
u8rHnRhymNTNU+Ak3/k+Boh1tp5hULRAV0p3VTykawt+fFyHlwiLFSTjA84Q5fJ+WhtGqWV6ZMyo
lOmhyutbG+ZhDmsUOmXy0EqPWUb9kZBwGfqnwm+eu0Zc/HBxj4JxQMFgnfvomDXuUka1j8AAV62G
tdHihV93/U5TJAOQ6bNZTBe332ScEtxeybcB0sRN3jofrUdviEytugkNGBiZePITbmYGC8hcO/1T
2KfAR40ceg9tFv8M5LgEpOkLfFYsbovuWcIAuFEIAdA8FfgetM7KmzlSoj54GqLhvbXKi6iI/Fgc
vK25OKlFLdERzsM7v/NcdY5wmtIJBiQuU2djbL5IjTOoqb6UWY2R6ezdpjiSyoK8k0xcAg4Bd5g+
pFk8a13jkZp8jGFBHvu8ptnAYiLkNOk6TIWIUnAXY8Osx7WMWMyELsgsT0aN46dpD7dtX3wRPLxJ
DPuK7Eb0spbYZrmDkx4+R9Ad352EvaKPzolnv8+oTFZj5C38zvjoexDU7YL9b57xtupmdYoHdQiz
Ypsm6iWIxU83wE68ZPQazapHcYQBoDms/VEfkEEEt0MOgSDoD6NoVkoNRLbYCEVxyRvM7I2cSCHC
C+x5zAW6e8vajSl233lQ8pmhgkHruGp6fx+XZDp1cpNlxWM2ZD/DxDrODmFN/jC+AUbjOzWW56Fe
wlBYXXBj6E+tJSc5+jnbDEW0Pd1ADYluEtIE9ZRBJKMfXRyJWn9bM4buQo17ZcrIhXrl5BXB+1DM
iCQkYQgFVnZmeB3H+BJ60205JDCd+9raQviCKe2K1yLAk8i2IkaV3rQba5o1F1mDWTe0h+l5iign
dHBrk8d1U2BCFDFLEvZ8kXlPzFYybMugvm2ckceFfCyK0btLuhTs1dlW8D5q230ZR7C/5W73zUpu
WuS4ALgka4/m11Bjphe21vfcah4HjdkgCno/fy0isXWn8ac/djj5uMdMW18qaT8VIyZ77th/TRAZ
bGZP79vZuu17BzdXA3QmREjI1rDr/K1svegWMvSjVZoXNUcHz8c1EcWVZdbp2m+cMywJ8H3+J694
9mvGMVX6prSJ62CcXCsMzw2Byqly8kNr4P3r2hX7HbICo3Sx2C/oVfIZWm9hc98MgNxNgKkOEhJM
CLP61dYEdwibP68Ed24RTME9JQXuy4LTjTvEUg1OPRkcZ7V3hNoPRG6i2p2/MEE4NJpEjsT/Gssh
3iWz8yNKzY3j1tldoo3vhPV6t5X9YCeRv9OpdewypANtnX3rtC02i8TfQz00pEvYj0hhW4Y1bsV+
ATqCCUjfm+VNFRfPTsUSd/L6DTL1czGx5TRN/RP5arrGkMhKhb9KKk2eQZbdVx31UFAaLAfrSzmw
XKPKu5KiYlfel3jAS8Zyg5c0daIVab9fTS97mJwSP40yuTh58JNMXLEyfMonN0FiOr04nbeHrkH+
osBjxVgwwHz8blUkZ5qhOFVkRpTYs+nsWfr4fbhf89OgGEKGksShJmNHzFX7/L/ZO6/kxrUtTY8I
N+DNKwlDK4qi/AtCqcyE9x6jrw/QqaNT2fdW9wA6IoMJgCIBbr/X+o2pqmhYZOKLIMCnV3pagi8G
bt/wEbEwX8YSSomCTxAA0RIIy3BQVUQSOwJs6Kqiz6z0N8ksPzXrnkTw+6CZP5sQ+mDTDKeE9DsQ
wxgmW2bLRfEE3XPcdOS0G4MEREwKyFTCeiO36FSKg4oI1ygjRBpc5HDXqem+EyPWR0nwlirJj7gK
PsCl3oVK/IBl8J3ki2djQg4mz8Sj0kibtsmg3hY0RBm7VT0cnyFZwU2Zq9tsKu+5oB8LMj/EHdNb
l+qnQuI3NiOiIZHgZvFwPxTBi1ZgY5gn4VGrFMZdFIMZ/mwhVx+R3kAuADpTbQE/zaPxVVsoYllb
3vssrPkpoBYnvW7tIWYSCoNLocHNHNHAkndamvzMJYmsPYzoDBSSaJL/Id0pBoYA8CFPXXPhUzTa
kRW5oGZIK+HOuvRzdAceYY+juNaKGJAu+3QrQFMz1AiN9tdCCdCNahjg8Mp98AWNe7cBN9BylGd7
/yNQEc0xZ5YpuY+8ygR5QW2Kl0QCmqdXJLnUh1jA4SFNw4/RHF6NsP85de0vedZtVto/IisPNqVI
WYV+/NAJ5MDSLjtgCOH1ahvvoDM8SHLmTdpwkmr/qMuk/aagfu+CZpHCrd2o8JICh5E43sWR8SrH
GRjT6nfYMsVOUvoOkQywn7mDow/PX06uUof4k1mbn2ELYVPMh7MkJhdL6hHsCfUfbQp5JTc6Z06W
CQ/du+EXurGQKIcaByAdDRVdkL1JrJj+u5tamD/ILoSse00sKgr4JcRWDIiOAFRwjGxQZzLHTwac
ByVc5PGuA3I5xNtR5YvRlAkTp4jI9hlJdR3iHN9Gq6h3oQQmO34a1fwRV02mf8TaYCYhHoNe/kDW
ORTR4BVi9ciCwK07DdIb5DBSc+q26OTLHBqXwRcvcokQ01Q1+7Ya2QQ1+jYyM6JLaFUVw02uB1yy
ECFc8Ahgaj7VYHpolJSge1fdT4P0LJbmm484PLBrxheRDmaCDYVOj1YnmmLzgJqggClxRJ9qE/3n
1EjkFU3wgBDUkjk6hTkjVGU9y2DB3aJBY0OJAEeIhnqpUd5KWul5YTzrpuZVfo/1wZDtYnTvR/8x
HrD21dNlVYvv1ID1BoIbw0YTgD40MCgiBYCDUow7BRjX1rJa/GHe/EECdkZOSQqIIoWPgqhLdm6Q
iGwm0yf5cFIGhKP9zHhS1PDZxFSsGAxgBcxuZQdzNP3VyYgmVT0smhdV7n9Fof8zmIdXy9B+dKH+
HKisty2TYLUI9Ncgk1ZefdMcbSMqvTEsfYT0dGRuC20raZ+xnO8lKDR1dMFkrcVhvfDMAsgKQmKS
0oGkZLGAeWFOUmEqnEhHKiooysemKg9tjGp0krOptch1bmcj/QB0idcceCV2fOFbWF/UpNEgyzLN
W6AN2yh5kGcF1OsU/opN1e2CR415j5j3Zwev74DCiLHLfRANsZ8d1pdkDTOsh3HrI3ysSxHJL97O
ssoLS9r6OGdTtstxLga0MO86ocoP/RKEwCcWetewb3M8H6yy/Ll+DqQiUt011gVWKxPCWC8Wy+1z
38LXGB7pP66Npdx5sTCCcOhxNFn/2FyCHn0vCRhnQb51RLn+8Jdr68tAT+tq8ud2rsfItleDjq4g
mCAUvYixChHPHljoTGxCMXjvySA7VhNCj9RV0htt0tz6ac4POvpBQ9eP7vwVjBmiZK8RlGyXAE1q
TOSuQ3LHzd+/FmUPxHy1JrBFTcsO7VIC61EpmdxsPbSyMTto4WJZQKO1ip5C0lQrYV2yHC4vhYAE
IF4rlUSCPicjP2/Xn4VLuwqpcPmZX4frXxuTGaEJZyr54etwTntHz+GJr/cbm2ZEJWxZ1r3Mo3xY
S+6rlCKh3BRain34UplrqSQtc37TIkP/XSfrJ9baWa99NYf1fH1RUgtpSJR8KtWy2wHVx+VnR0ZL
xa5F890a1nfqcWD3aWHAtRbF+pByX1M+bVAgUdgS7pi06kdLNt1sUuhaS/mquYE8gIDAfWb5Gq2O
EEjeAuwO3XwuZruVJ7KjxLjU5SWLdcObg9kNgopqFdkD7VBx6rAiSPLi/7jxP55hPTRSJd9IMtTq
9RG/ai8KxYUir2AnuzSOcImidbVQ7PRGsceHNE2QSlzqZiTcB7rku9eQ6PUnZAL+Z4f6KrwqvCsi
zxTmBgWfXJqBpofvQgco6buE6SIH2TBz5jha1fpIhdjfZ/WA9vbyLL1fXTAxFt1S1HrUwzI6+iBj
oL60tfV71k+uR//xmtWV6JQx3dhrS+hjmOpJgZHL8twySOyd6uPP93cnW/5Ax2jcC1WWxWUw7dYW
PHYIwyyw1xnoGOiBmATs0tP+4311RDz9UC1RREY7fb33d9sDnGSydGNpWOj1/qslrb94aWPr6fe1
wlCdZUTS5NlwfKMa3NBI741AoCGuLW99+e6t/2iiX4fr+zNhUPwRiYMshf31EcB8nvDcNrn7Vat5
FTSeHNT77x6+/rz1I+u19TRYWiHSGW7TJhQT4uXre+ra2Ne/+P78n01wPV9rbT36+sx6/nX4x/vr
6R/XvpptSXLmr6GnyFhFaam6h2HQofW3kxa8jdjreLwv5SlboE8DuQFNLrsxIjhQWdkNLTU+6DKu
48Yln9urAR3ML8yTjBXIjEBJOyTYOCm7oUb4tVfxnBrLa57h3DpClrTklhhRItY7RUBhtxI6lAWR
XFtfCqtoD7VU61gHLRcNpAhwBBCDwTYKAzS/7KOSnvchUVAoBQR2+Pt/f5ibPlLbpnxL0hLwuf44
YcR9HJYXPxqYBdZzX9ZRqF4PO7mud1EteoMyDmidanpwXN8IAiYK3cSvO2OEzpZpaX2xlmnj+/T7
2qiMFPH69tfh+pa5Nvvvv/9f3v/+5mg00Giv5Xg8aWM9u98f/8fXfR0ay+P84+rXrf9x4fsBv7/l
3137vvv67qhr77lfm4EHENX5483vz3/dTl4axx9fP9d54JZR+/T1dd+F88ff/eNRv7+mJQQGxY29
1PetMOkGry2+hXlasWjsiFv943CMuuogZ5O1AyCN59J/p1+ksS4P68t6bT1a8zLraTMmbod7sSd2
Eb5F1pKCqeTxrxdEfLgYJLhvNmMQOATNmUbCZY7lYRj8v8+TrNS3BKpYhK7jfr4uY5YXa20AwTJ8
WnW5cHmk65qeAdzDfN8u05rIBOdoDZuael1FzDExDd1AnWXpkOYC5h2/cjrVuoRokz7YqdgpsF8m
I5Q3YSgiqs1UhK5dcYC3vSmiXEcjGiXEVPXJMyWLct96jnZYeVhPYU+8Z+QOHFgyZKuWTrsesZLw
wJTWRCojUFcilhEBWxucwXJArnHZB3a+aE2aiDweyr+P/rhW16LBLhT5jKYig9VKw18vQ1DUh69r
MXyoBFMlcUaNdvmDXsVqI6xYSy71GRHmOaxHEgXzdbReiwaZNgA3C0lbXNOaumH1q2lmeRhni8O1
htdzvYZpVSCLtqbX1mxbRGYEbdylmr+zb1NZJ+R/QyLGy7quWl7Wo7Wm/7imLOtH9j6f8Tq9f2Xg
vo7Xiu5zYmqtiRjeUp1rFX9n5PR1Kvo6X9eXM0svaAGISLFmiVaBx/VwyhYz7H4RX0yi6lcfQXpf
a1BFi+ifNbpejPOC2Cxr1U4QKYE5rBtPZ5SH+VGB2qRu/V7J0Y5czoMJt7cqS5+0ZqoOQFOgfpVF
3CKr/OaLC6lmUYr8fvl314jA7LAYlLxQUprDJMDHWV9gqcCFNJQEf7H/vgbwuT3EAdFlS8TBrg5K
5DeiHwryF3tikJozNP0rXvF0t7WegrWK1sOOIcSHyuxKTUNb/66JtWK+ayesJTapxjQheE1f+34x
lsHp+3TtmVarF04yJb/Walgr6N9VFcRXJr0CdE1AuGutlFK3XLXMdG/taV9VtPY8M+6x9p0GUiIh
8qD9ElGfjGmX+DmEt3jREV1W53sNBQ5l1RKNkvLTJ5PgDEs5BRLFDgiiTzfr+dehFSDTgZIgcuFL
EYrLy1d5/30qqT17x4gE2NJbolg2nSYxX9YBcu071jRaM+hdOtRXXyr0aK/Dsu5Kk9S0npkjEKAC
LbdlZMAHU96K6L+wK8IObszxs8hDAs3ru0ik0ZDyUXD0uYRlTVuqVORP0fuBrPf36Xq0XtME3CcG
FhBrSwuXYkBxp/xC2Px/aMX/BVqBooAJyuA/Qyv2+c/oI/8fqIq/PvMXqsJU/2VY4CkM2bLIDOoL
tO8vVIVp/ku0iLCoomQueIvlrf/WM5D+ZWgLRBaBR0kFKgy+4y9UhWL8y+ANywKrYVqyBuDiDw2D
/03TYJEu+BNzKimSydchkCAjuSX/gT3s5CaMllDGfvIdUjxeqpNeE+Iou/gT2WagH9sUTaS7JkbW
So/HmkQZmsoT+dZUjWVbGVUPubYBZwNmM6FFaqwbUi9D0BPNvg8CtgIiYPIP4H+TrebStQbOAjoj
+qiMMETUMsQQCn2cY1Ggl5ouOdo4w5xl0LFKQHLEmQt03wEYED0bX9tOS3BPmL2yU3qI9QG9Xl4y
tDDeUIztiI8XJyvNUfaY+lM/WQlWmBgTgVM9a+hNIBWPF1NVxT8mua22goo7HOFhUg/oEZUtMPIa
kKSlNmTd0Hsi3Ifx+YSkiaKYW18mnxOSAp00470gVuJOGQaCZZ0ekU3Y8CfkPILBEwKcmbpewlyY
eawuDmWs5j81XXuL0V0wMrF0krn83b9YWJprapMeuwIBTKRMLBs1ARCVmeEhJRRvdZQPNn6gUsSg
P4E7gkvEOjFFM9TxNXKDRZmRwP0IO+tX0hPik41TluJilUsXACWyV0H2mCHhPGskicsy2XVpG55Z
/rV3atyd6q6HIB+FbHNVfD8K9QeR5PYSqjpUVrYAuyKAwnLLQgmBqUbFFzsr8YnJu4PJugZVR+vO
8kfxWnUkeC+WLAcvw2gWLCux/URA47NTDYN9DRHCiswSUm7znZrBf5uNhykiAjtlqn6p0ivwYzKi
UoyfSAorYsZYtyHLvc9a4QHA4sKeTn7qFYYA/YzZg6VhZhALQ+BFRvZQ9PiXhpI0YwhBNiquiMSA
L7o2Jq5YqY4BRV+mn34Bjjc2Sk9nxthIwyBDOhCaXWQKT1EOoAO43DUM2W91fTa50URClpTNZmTh
5TTPxVjoexnbTSQUJVsphmbvG6hkynp5YtlLbMtHplhBO2LERkTWpuE4iUNAxluynM6fOjyh9RvA
//KFuYT0kW2mAbyjtFBRhGPq7QN1JhoNp2YOMS9BW8w21QkPsG7YESJ/BsJza+YyR1gYt225aVwh
NTBnheWy061J3kpJXrmI+oiaipubAsIhzFRcGsP5jt2GMajjY4fNj+UjCDQH8rSPBeTLWM/YkwyH
Dd0iJyuqi2GCZBlzMqNdRrxTNoyTVCSu1qQamd10sAeR0EckNh/RrL90zcS2coi3htW9yzFKhhNW
FWaEV2bSlg+CGWintLoSojDvkhg4UhynCdhiMbZ741dCLnM/ZFD0ZvTSJNXABboNfgj4EybNFHrW
nH0KSUI+SJi8fKx3MvWNw1PISCOgP6YhM0dOIMoJBSVlzzYaVXlFigEXTyoSwgRzj1qn30+5iHu5
WmibvoBWPETboTXMzVy1r/FUHePOxOAXq5POnD/zdNFC6fQzDBr8n8aSHW/QXjut+5WIoEkFucXk
IppIdgoE/Uj4b1oUoYmQqw/VWaG41Lbwgel09WZWAnjFJ1lu7gJJhBQ13bWsfZEyQ/Y4m5FT8jF9
KWA3G+UiiKYFpoPS8K5v47OgkHdV9DJ00h5at8jeoJQKPHgy0dh25GFoHfsxH3f49OHyGujI9+bV
FX1lQrgmembEqIkTKWc1ZWiPLCDdLWyfXgJrVhpvmg/FMciy4yC8pHIXuVmXvAiqrCIshrznBNkc
xTr1KlhVwPA3Ba8JdtTWiHa22OaMETo2uqL1Gg6jBjUC895Z7k1vrKuPoJLv+gj2dZ8Uz+ZUGthw
gPIOk3xXD9EvqSiGq2Xl4RZcBCAlwXdVoTVvBWmFAJVuTymCe3/uHsaILE6gi4Uj1SQlLcZxCcUp
O4FfBHkTfpT5O5AiLFLk7qlsM9Qso19mO7aenqH7PGiVQ0Rb82K1e50zNkqz/opg8LkQ0wd0NR9a
sfqpmh3dsYcCYwzmyU+Z8iIyY4dpvEhi45oSO92gHJEtE8reIcFQ4KXhBbOIKDLszlK8G5qovHSS
8ZSH0nw2pWbCqAj/CaV6Yz8XHWNJOCmJJRDWmj/GKi69WQp/KXMxnmLjN+JvcHCsfS5MFZ4Oyn4q
JSePpe5qKCkmyvMF6M38oPqMoXLig8jtZEohnnb1nAOQaUi8RYN2ia1J22jgAdicY1Y/Q8RwoLiS
OIQKMBq3YJj2siCKl0UuRxk1FDDTDj3UjvB0KM4VNOr5w1fz+JCUyTPaSMOdVWoEsQAEaeVYPmQj
6l+JSYpcZTRAvBsN6UBDHiW/DnKIk15Dnr9DeHehr6VOI5a/SisXT3UiM/pHsr+Rdazra70+TJgf
mpkcn5H3jze+SeZB68hUpXmwJfnRwLNTpq3kW8VREYcf0E/uxLgSnhV94ZJZP3qUbJ22IlllxDIC
45mKEWKR3wuafpAC5tvImn8mffcjnjrVa1Ss2KtFhYNBiV2Swjyehcfc1G5TbI224IvoAiHSDS5B
GlClqx7FhCUOMmS9g+iGU0pYhYzsOmw5nx+rcjH1btP7MmMuFKZmUYcXsb2XHsPSwoJjYjhryzFG
LAixe13Q92OdYbARk1opE2Kec9xmMCF+y8ROPLPUz0Yr7gJEGuwJ7fhwJgcPlry9q3bWLLHDUZYs
Zamz+lJEw4s7JtIgTMJt2ppI6ANglabXpg4yuyVAFkdwv4ko2hnrp+NkiPcBEq1A0Xv1ru3TaW/0
8odfEXfUjc44Q+qFhdsIkqcZWPuIavtTCrTxVKGubGtptnAh43P8CL+33EpF/RMgO+6FUvGkq9V7
WyrojTdMI4Gq6E6L5HPRprcIcRKb0dCUUD0vhQzhh0pFu6jcIL6Bn2mfk/EXR8bskp2OLMw/IvAE
WynO7+pCw6pMw4pTitRnQEEyAtER6ze3t+rn8l70Ba8wM1xZgIDaUimprtmSmI/7FNAUykViMX+G
A9BMmZUeEPXuGMv4ZJdGxghfst0sk8orJ2xPs1l6E7q2YRFXM7CRCwaTgk/kBDDXimBKtaTzfFzp
Zgmj5kKAFNn14iUdMeQu8Ipliuj2vRYNUAdBNHRiBvyMNUgxx8+mUokXGN0hSjNR0iLDG7WIvEiT
o1ZgMufmmMXmfGinCPfMGdcQwKyI9D3PDPSjBgTRKgbXTE23l6RgkZdAjgrVfnQqWAUaY7Vv60re
t/45JNx8l6gi+o4leGZW+UBhB2sbq3o0Hf1Qq7xREPGUyG8y0gXumJsEAZSaoIcxEb2yZJG8XFku
RuUYcmeCVKDRXeMw04FIAFUQ+egiTn3dIzOfAJ42VVg2bYEnt+lH3UFfXjRInQeXkMZf5+tF1tjS
PqkflGGJGNUqwaMqYTDlszHuWfxeoVig25qKgoc5jAEugbydR63oap14qTpiKswi7ICXo393+u+u
jb1sIFeN7c/62bROa7zN9HL7H79l/Tu/kmT26uTLMb0TkO78+55akhHW+T5vWcPboZniqPP9zj8O
vx8q0BXwx2aNEvzf3yYIOGUGSwpOBDj+1/f+v/5KkunsvEryrHSB96nSJef7bl+/YP2qpERoI1ME
6+vG6zUAyJjMGIm5bVRimBYK3VVbKDttbQq1QihsfaNYWsB61KTIEmMhA6R6+cT6BgyPeWssrYyw
Z7aVoLGgJ7rElcI1pFQvUb/1xY/zY8Fi3iOmTPBzCRN/v6zXLGWEpZwn8iYD3e61XYqkGSG6NdeU
pACQvhK/BlSerZhXISTV9EleKjTMaKHfKaA1JfOd6vnOEqmquRNjAKuTwbrlKFdaviC8DuqUsgLU
SjCWSyBSX/qOrCWgJSE/G2Dh8btHdQ+B0Qhf8yLogXyQ5Pt++SPTt75RELpKcdRBYZiI2JqmC+Ze
wJU8Oa2J4+/rfQ8geipkTNKJpXVGyY4bwc7tV3Y61B9CkKLuV8b6K7m6vqPAEENyt96tD1wuZb0e
/XEqT1PnzuqRFn1anYyWJ0ibNvJWW5pvL5pvv5qwxHLBDDEM1JeIZb2E2Ool5rSefl2j3WGDuPGS
/f3kzof7ItrcxzUNjTST6r6I1sYDxU947gGmqJuc8o1xfhkP+SbYA3CyGxsL0slpjN2AIIbm3s+H
l8H10Jve6OiqOWWKjOjJ8h1UjfwbuLxDdkrNreffake7ppvOPZFB2yJLtkUg25sPjY1qnPO23Ayt
HzaIm/uktl9ic3sat8n+JTfsF1Nw9cv0yYXO5obpxr8Bnp+Ln1LmCMmNju1lpxf/tqTDWejAKAzN
7XyI9qyCrzwb7sbc3OO7GcJ+gwjD2lw6zNvBxpNksJHYLmq7tG7ZnGxDygImK79ueI2qs5pfKBbs
lJoZcu4nxTMl+NfPe0t7JRUyYmRwya0Bw2h8DOVD1TgtsH70aQW3gdiI++N0QWNNRxI5cMZ5j/A5
i5w77u2f0zZwUlbqwNlcqgQ2woCGf3xKkx3eWf3v3MTABi8sm5itiG388MJzJKfO9HgM0m31BBJs
g708kwKePPwseBANIFFrYwYOB5xaqkuKbwb6ERIh2LTA0y8hfmDD0ZpwlNlQCSwJdOtssmH+VDQm
XJcokKzvpPfed7gKErgcsLdF0+Q2oMtTKSg+H6LUNXK43+vNkOFCrJuU4+usuksapdtyd2SMBN0m
iBrgBbtRUlu8zMxrZ5T5rQhvZ5YbHbFgR8cNwwduB4ThZl6qvQky3geOPDr8p74Ujuwx3slXovka
4uOpPbde8kwIO3pWLkAfgXNtS9ggD0jCSNv+HALPiDYHFUTbIztMCVMj84f4KXY7jbI2vfCHeI8q
AwXW/6rCbf5O6WTTs//AqLixZFiyH+DV3PCxt6NkO/3YNY+i64yMrKdiH9XndtH7/VUW+EzukXR4
APX/I8/O8YCBQ/KM+U+NQ0NSncUHMCt2ZIsb67f/yWIReDNj4F0Jm+/Y3uVPaXkS9r9VOk41vPX7
Mb228s5wi2yvkfMC+2SsRP4+HFHLbZ1MUWyWOFp6AO74G8IESOBT/EET6DTBFY09EtR27HS3/i77
WQLSfZbivdl6mbItse5GZv9ZL6/W4s9VPkqZF1TXJn/j421NJnspD/XSWJsA0RgaI3vszBnHdyG1
y+lCe6TKuu3LfBA/Pd7sXomVvEvxDpHUJZO4RQ2RhpTOu/y3hVcpjm4PUrnN8gv3jicapJ3+pvpL
5BuWFOKWEKJanmlcQWiHxnJLBN9n85bP5/CZH8dX0iFCKtZoHtrJqdSlRScKjqAuDX9GNkPtN4tj
ucZWBbe0oyqQ2blN8m+hX6DfH7Tkpt7Lkm0JpzA40ygh1CCKoakuFzvEfMr8aDaHdC2lHBEp86kq
H63ys1N+4usCOtuBXFzUexRlDAJbiK4IbgR+r/7R+Mw+iHebN6V2M/nUs7jvUzQ/JE8app3UfSj+
fQ8+lC6fVddkAlI2vlf5myhi91Pcy+XZvM3SocK3UKBGhrTY0L+lHIO9GCKz5oSSx1egxfuCu13x
jHMDGApGRvoesUBtU9MnwS7Dqd53yrbfqp+wtCY3Afkx31vv5oUalusd5dpvP6KteWk3d1H4oHnT
Jz1YR6hnCRmyIdoO9Q7orbHLrMugOh/KVfFKNCXwedokpzlj9OSI6jC8/tA7y9jNGPtGU+IennTo
PhlXRzZFi9Azo27+W+PE4VFO+TNxpgkJ8625UfmlgfVRQha6Cb9qAnXvdJWG3OQnWBwHM+qaZC1r
8jt8B276BbPddWiKOrjogNkd5UAj5EnGw/SKzNodZUDcjSiGN6uvnWRDpvUvkzvIm+CRkTM6UXEQ
WSkto3viEVT+GBp375DSeTVHd3LTiZsz+jCUjvS1Dg8LpkV/Jx0kb5k5VOQgnWhbLqNmjuIT92Nz
36F7tokBofMbDM+MTvrFTJhJafXCk9p6+W8UdpncBbc/UFmEceQLsEkVadm9hZEfMIn4/U29Cedf
WGOInxRdZ/MUk2TTk+iOy9fHL0RSGHa1aA/djB7MuwzV6+2VzBOMbXEyyu2H8e5Q+sKTcW03wysq
d+/GlemPegTThX/mB5JnHnlqm17NLIKpIR4UaP0yDzOxi1T0MhOiFgXW+iA8AR4xN7QNJb8vAc6b
uMLYTGbzFXKVQ9PiWfMNbpQnNvY0h3oD3PKANaLHUjLZLz95K35+0PKYLowtJmyH6sT8ZV6oJetK
r5+ZiRt33iYn45rxfcwH3ovxzjbsVPLFIViWFJj9VvHEi3AWnqQDlcS/l/h53H5SCPptsde2KSbt
TIlzyO/nZ9H4mUL7w9JPtWPp4P8HLO3K9KLptlY8p8/yjWosTkzP/s04tyjzbBXGKM+KGbIoKwNp
WSqdXpad+Nr4I8yPMvUHRN8Rph13nD2mMizBccH2BnhVLE/4nUDtzwyVxFldRtHm9Y0Ps0bJaNJW
dmSoDPb5vEMamjmQAfKZYVA60PPIl5z4ZYwBr0zu2vmNX6G882twcGAOpWS1Tes0gsutjHfkEE4R
E+o7L0Q8J5w77eCRZp/tp8AxrujFT3Qj6gV/eNUNP3Lt2DBP7ltHtRklaazkfHgAw6OEs9pWroz/
i8r80kh1cJuwGn/zWEz+3IKtONDUelf6980n3RpZOmoln/dM2ROmMnCbGFfPGN5Ge1ZRAnwPAPVY
196WVqo6qeTJNPSTInp+tSdoPLJYUN3hPv1NLN5cREgeALrNSNOPN+IHANX17mlxNmJMrd5JMwNU
QCRYY4qL7uNp2wxehwXeHnX/wMmPfrdfYvq0+hana5ma3JTxNjMQse/OwsNCdNyh9oXo8qG0mhPB
j55YSdg0/F2NXnOvH9Mw2oHuPWb71nBJalUiuPf7Gm9R/bEkfZCSIo6lrXb+MG9s0jc4ujE0jMsg
J0sbazuMd4HxdD9Vr3nmpTAc33EkmUWiAdtAQMRIgKwA4rht92h6n5bCl/J1ieZGw+0lzYgsuiyb
FjWMrdkfccuTTnp2YYgyCEsMn+NBmohgLEGAcktG5I3pdOBrYARv1RheCLPaWDloIVrnsnjWzrp1
KKlEEiKS56PVkt9Zo6P2SzMwi3NZL7Hh7VMA/WI270I8Cqd7VuYI7ckF4uTExw7sNlRbVJyCwZ+V
K/XzEJw1XKtxGcp+mez1n5lajaeYHSUNOHAU+mlgk/phTbM0sFPFOMJa/5M2u/i3gF3dGNlutOzh
HiOr5g1dNEDirbaRRC/V3Op16vbi3nep6K7bxao7qi5zIMZ9oXnXcnodzTsJ/T8YhpatK47neQxy
bf0gPNW1S0srXhmvaAGIdWrEtEe3s84Zy6EAbbizGtmWk3gFNk2MAgwrODsRAANjr+N0v6xWxq2I
s7enQNgRH4cedvWGHQdtywsxi2S/w/TK2m0D9dJ8xMmNuCOLdGaMpttJd2mNjAvocydkITwwQW2V
8zihMmJnp+ZzbH5nOcm/K9k9XIXmh1Y7yI/Se2XTKQ30eBmM2W8cIXGaLI0ZkDGTxkfTJ8qOBvJ9
RUQah9Kd8cOqJTb84VsF9jz+CODTspWJrFsaH7T2OfH4YMAW1Y2yBwBJFIW5z97LYj8aB1WzY/SX
uk3YbrNtlGLdd4mugsPa0tFoXDsWtrVDA2xraMzRCQk/QTk3by3dPfOYSFm1ItW7I2UBl6MTthiB
3AHf+KTLFbFDJ14oNGjI4Dq8iemPpBlYyFkoru2JfI0b64V400Q8PtiCWa0+299MU8bRyh0cVYUz
gwmVG6pwgM9FbAfCLpW22Xk4E3wk2dlcoSPM2TvJ3epApoXsSegiLOazdMkA7gewnVCycxCvqaE8
4+5OuFbfTwIUgI2wHWsStXemci++VUixW/ZIV0Y7oPtpWuEGOUEQuW4mEI79aYb3rbjNu+eBTLd2
iIVXXH6xGh6Vs1AduTKx834u4EzcTbkLs09l5IfDMr6O2gLF3ja22GHb/UvXGYXeOhgLpRfjscs7
ZI8g4eauqLBvu7bhBX8MEur8FAxdS/DWrJ51YJyOLrr4vjw+WNvGDe/WhYnMrm0TvFt3dBzjwdK8
7FfwNCGztLEwd4mOqniMieziUpIEux7jWmbdDC5Ol59ihWWIJ2ynnwFB+odOtZNjzjS4yV+EDsTz
xn/0d2y6x87tQqWwCz09iDG0b6EdSPZctYeGwLBqx9i9oxFI6hOU2rvB+FO9o+VLXbNzCm2W90Kz
seqt9uBfMZhRfmKwkz3776rAkJGhVrSJb7gH5RvtwepgKP3AfhA4Tll5A8nIG7ZaSm8zjEnv/sl6
aGGIFgsivnb6XRxDH3ynmtV+D/ZbPkGG9G/jgfGHpmBs+CbqGvmSyjhp7R36Vpv6OPWIj90Hw+Oc
voIcKsLJC8M3ZWV+VVDgodNVOM8COjhJzba+pJ+zYnfX/G14r1K28jYzMKPkEW69HZ0mG966dWhO
zMpyvl0Uin7wf3hJL/JTe08iBq/2JNsQjNb7i9XfAXsAvqUOW5jXQewICFbb6CdWRNoAHnwwYjQD
8rYQ99E12AJdyGWnwfC63OvedFjMieB1+++zC7D1FDK6Oe0pkBgJ4WiwPPgwvXOwmx8TJxnYW8LM
CSiRfo9taaC/g16wq8qJjAOWTqyV2e8hUPGBs+q9aNCnyj2kpnfLlVzGTCZzp3pGD8w8608EWRyZ
0LCIshg7jINMq31pe9fHaphMO4E78qiWi20XegNEO5B13oy+rUOKw6EByQ03wbkBdb6LcDxO2Z40
hn4NjpUXPMlwc2I7QZ7MhvQWwqTaqG/JeTxq4kbZZYmj7CCbP6BxtQlPIcOZDS1QOGoX6EY3mVEh
4c/GU4E8YvChALak+WzrV5SySP7Y/lvliRURAG+xAzqUnnrq9hBRq/sbvH07PBkXgZDCxrgUTnEU
p814w0INLjSrUPmEQiLbu8t/sXcey61j25b9lYrq4wa8aVQHht5KpCiqg5CF9x5fX4PKFzfzZVa8
V9WvzjnylEhg77XXmnPManTHS+Sh08eYM7/q9+Ctu5I2JJKR4FbE3q9Yffa8WPG8E9EjtI8gc7bV
m/SEFa7YT8mhkLeF6dXNMy9045isHnbmYEvMowWjrUFY1XATAoqtZbEfAKqyJhaOxZp/AM8jrw2v
eY1vrKLinQlZsMTA2yrrKGb93hakahiwimDMvpXRRY9c7mLpqVJPU2lj+ZzVtSn9UHWZ9YoaQayJ
oXVyqu4sAzRZK6J95+jE9keFIPSPQ0xWIPqoR7Tkwevj/0LDF01R5MY70yPl08NO3qxrp05YM7d4
1VL6KvwuAL91Iulx/+lO6wAweTWQIFDTmrdsF4FENkmdhyB3Q6NQBJ6awg2yA68UtgyzOFUx0mHU
ZiIMwkJpd2fVdKe9bD2y6QtStHBD5t7YrvNuJY+4LZeDxN0aXyk3OaFPr4nskihEqY/K0zrN0plW
v7jOH2d2lCRexINgYhIWdDOE/bR4f0hYUUuyCywZ20zxW25zQ0DPPYSr4YvRH6cm8HQGcxM7uKY9
Z0/Da2+WvkFiYUcvnbEI8pW6L7DDPVbv4NoyGrKVxfia/ES37iOhC0P73ZU+NbonrrVKMLFbJHat
xWaXTG+gKOFMKygmWMetvcCfUzncFz8khbHGoS6g4thJlctYnAGU3OxoB8i0UUKvstM1Yyb0QbQP
UABRIbDKo+goBTd+LZ/DxGmWAxOMlbmmyH+eYRTApIkeUZsLv3wvzrg2wbXpyRb9E80h6xAe1QEY
/yq9mexVAwFcZD/b/lecS16yzsxu1yiYVXkac5IiNtGdkCU6Rcrj9BK+9NKyk2HIOvETuak9x2er
upcvtFQ/2/hMpSUsM/XUtW4ADrDYSLgax5Ix07xi6Ug2GPV8IXb69XCQbua9E+xlteR4v+OWVBb9
c3vT7yGrKCPxRRFAbVzA30ZUekpItEm1JVKB7ptngFPgT0ZywLcG179Vd8rTSD1xBaYhkx/zLnPu
DbyZS4RgsgVhpg7IYoYEBePlW/lRfhSf1l7b1Jzs6WsckQugFlCq55QbugN5YI8epcp3TAZmRLV9
sg7KlqsjwhnsmEvtiGMjoL+wQWgq/fi79iO6ljeoo1RlR/+SK6ugPQaAtxRbGkkG9L+rRuVueSwG
bElptMjlqxm19jc2cOIEV8GW1oDhYRoRPMhdHNEfLwtHxmX/ga3D7rl9+KkhQ7ftuGpXI1oEcn2c
fsVKEpwpb/fWoarsS7koDpDgZtpoC1F1Ie7biDeen6xD8Ma8KjSYq97FZ3psL+8MgPTHavsS3iih
iETLeFgs7tXVPMFrJmZHCGyW/f5mHAjOpi9+VFjJsW7Q/LTjhcw5fpnttdv49fCavClPeMbXnWob
t2gzXrgSv6v41BMsVsUvarAxni6qwN/2WTnRVbKNAxyWuXGEQ7IhB5kdmUvBP6UuwbrVsre7wgne
MiSL9jEJV73syeIr4SEOXBl7pruRyKQj+asEt6R1MQph1wrBKXgMgKCmcfb/fXNQHrOgeqKGFA1r
EQyF4ogtcQXDw640dcKDhtQz+hhwIPx+zKoiFN4zG9VjhBX+Cs9/VV1yTUsynofJ+fMz2eNr/nxX
DYj0jsVLS/KC0z5mbb/f//vP75e2KkmRrPpaiNoSLvbfvj+Ra2kdDGjbUf+2gl798U/wePf3Y345
UKKHpvZuoRnydI7Dj4j0P7/0b9/5+wkN8s1fvqSo/WKRYtpE9o/4rw49BrUrMparze8/QfV4jN83
NQb2kvf7JobMRvIMPBHLZsQj9O8v7//9a/75MSsQcB38+f7v12RpHeFlChZ/+/if7/7xVpiFgOYe
P/XPzyRqqKCQYWv68xOm0vIgv+8XA3WZVJaW+/stf3n43ycARWjAWXnitmoCCkju6ay0eg9lFM2v
Rw83yqdFX4KDrqtsHfcVuD4jhDJgiktZqfZBxswriuldzcpFSh44i+G5kbDQlBz/EgXzQN9qLjF1
do3FuG3Z2vXQfIoC4cNM2n2jym+W0S6nHB1lK9JGAziTdcotVOoB6I6E2dhCMKLS/5kIEXLQ8gIb
sOKZXjMu+EyS6Bj36gIL70qskRUkvmGtFA2ZbJjc0iEeHb3R1u1Uo8ETL+Wv1ifpR37keFWIkyCe
MX4eAC1nPuWZiNWwn9xYWsmx5Y0qtWWVnOLsNQBYpdLlGDi8aaa1FpqRUjEmiHNIgbjUEeeV6EjW
5UKV8JspSnCa30VT3RhdhbooFjZqVl/LSHgX9fmca8nCDz6GXmEWBMvsoaG38NLXhJ+iUTGZkmqy
p3ft3uiI8gN9vfV9421ELvrAlJyQmpGnWZcahyPUkZwAmL6yi2jWPQgQ65UqDZ1i6IV9mB4G3/ie
2pEUYrhQKEn2sBpegwQJK7TO5Qh9VNoEQ/qZDzV5bjBjmG826Fe7nzA3Pxgj59tOVPplIc7hMiRU
pxRWc4U0UdM4TrcyMt02vxlTzKxc2tTVtEFMss4y5iyzvxsj+amp+9NEqnw01Kij8s2UMBGqAeCL
UNDbxKkHnVqM5d6vUTWq8rWzlr150YlktAtCcDttJrDA3Ab0PFvtjafpo0H0J1npUZLjD5VqKx2t
Ec5X4MkqHlK6HhnPmRJL32XcfTSB6DNsUKn22ONrRC48Y5Nu7NoHNlOotRAIOJ7+VlL5MLM6q1J0
txzPVVCqnzOJb7WvPWXt9JqVNX1Qq6ObqqTojPJvKSDiN+yE7dAU7qgWYIUqYzlmtME0EoRM9TGn
prCMY2Fah1X8VWSOKgPlDrLhWprsrlOrlfiBm3HdJ/FuRA/kNtqIW7kGbSKm5SFqxPtcQm6qZFMg
o4bzZCa/jJ1UrJtsfiN+mSVFltDKAPJCBiDAchnunPWZPgWOlKK8JPJnYSnqN1eSJ0ntiz+Y7+2k
H32m0rOBVGMWx+s49ts+jbxar1Du9lngSuJ+MoJnI8SbJymk8Fm0P5RBfhpf6oyGTmr18jpmllnK
rUz2t3pVOpOIGk1+rz5FxfqpkqxfJwVP11hhBTemraxJPtkS/HBrmti8en/basD5hAoQYahtpFA4
zKK/QOHrkwdYb624/ZYGS3Z9Dg9pqV9Rk9cIMVHfYmjZz732rufIF8aCOpqJ2JxZlUfqLVOLqfiK
p4wgGaU7JlBgnAd2Je2OUpVQf9SEnauB/+MrQ7wbOsxDLHOVOG60VNc9SWG6HU7gPIbaykHL/NSE
JrfWwC5umufabygyHgDr/kdt5mfUzsQoBRwLfT8i2quIt7re3KKO00UmD62NApA2DJHsbmpWiVe+
pFKmLVttPpSC8BJyb/Lsaq+RbpULSaAjE4lrM5iYVeoRZKP4bRqkWx8i/5LrNliKAifmKNQwJ4BZ
axOAR34D4r/R95opbfUI9y20ikMWplSqQ3Aqvvu6/PJb5jwaA0iwyuEsuhWUBic0YB3KvtPpRuPJ
PYQIQ5MfJSETFx9uKkFJb8XM9FMTaHsKrD2rOiXcGbnkKUwr6IbNtcqHA8/5Ya7lFUQ4d+xipqaC
eAtMml6JdfGJjM3g+AlleYoe/B4hZ2OojVkEkRH9qOMzgA3VDuDS23ERnmRVSZAGp3TkxcSJLQkW
GApTR9B6FF26CLoyIV24Tz+FwgwRV7c/qk57q0qrdaAmHwmLN8zM8MOs53iNNHjcGj5HftbvtCrg
HiUqYkSkcEb73HTQkgmxPkktV/8coFZXwZchreYOnJNikZl9RHuwi724qV6TET5F08KePil0QgRS
AILsW8tk2fnSVcYFVXhP2w89nLnVRdg5xSTm0AMBbepkqmRnwa8PwVg1B9TVD1UpDXWpmDjZ+PXK
H1KmNW32IoTdhyYrpWtAhtTADxqZWkMPTFPYUbnA9jxcI31uqE6tI7JPqCkI50rmnuWEgF32hLTc
CKOBc7wAb5InwPMKOuZlSxPERNsLEumk5My+kOLmtuoPN3G0JjLMzHVd+ImTj0RZET98E2uRil3M
uWq7lkZInVzEWf4syAMvmg5otjMGNGtLQD/Ad0xYxAkKgknXdgrJc1PL6TN8pFsVGcDM3k/7da5C
qhyg6ikbodsZQCKJlWPMEPjAzcoxXUmJ5u8DWo5WhujTUKZPK1XgaDW0jLKMFm1PQz8xD1lXwCLr
O+hJI3OSPB8nKh2JRnuZP3UNoUe9KoIBb2gBmPJG9MF6kqQ3upFP7nctxU6EOMxruvLzEabw/2m9
eft/kZKrEIr1X1nKDt/D/1i9ZyW2q5pok+/fH7r++l//U/7jO//DWGaI/9Il6c+42/8wlRnyvyjA
HxxfmQBdQ/qrqUz7F/GDkmZZhiKpKnm4/zaVkZ+LZg+yrwIRXjNlUfl/MZVp/8hngvStQLNXIXCa
pqj/zVKmCvoYVKYxrywIDkmk75Us9MzIE67VLl0ZujPLi8rYkFMDOLO7tO/qZ3BpXxhN5Lk7WUt/
WowM34VbW247AD06jYcltCiNSlJcWbGbEfCKU/zKrVTRDfaf8Ju58iJ/BwqoKB4twIwr/yp9VVvQ
iWuq0vi/CQmQ/hHj8fgbifGwoFka/Pc3GHHtyxNALKwa4my8dJL0FFIvVswL4CV9dnX3IwgU/GUS
3bVIevrLBXH6A2z+1yRiyMZ/N+3x6CqvlKGpoiHi3OPzn39S1YvMHyuU7PPKvFrDVvwpnmAQhY74
Rs34Ez7sbHb3YzyrT6wA6jaky/yMeHhvPZuGMzN089SzVO+lHZ7+9+wwr5MzhP7mEDEkPHelw9J2
mN5NCj5OOc9GvJxjt1iNn8VLuGMisizN70CjDhCs+SX5TgZPP6n3xh3oN2Et4nv2NBlnw360Arq3
6ppde07sypoWJf0Kw3IRxjKUpL4k5hSHTLPLdrAivwBPKauW3nwFLApSnG269XN1gMIlbZuluaHV
+1ZcJdEOP+MLf85ivDGBXwpPWOijvb9iXM0Uo38PKEx23REgprmIv6dV5pIdSlY4KN3S/pG3VUOx
ErAFr8XAbj5mjAsoMN3sA0zYCKJuXb/B18pIY7+aGVJXW6aPgOr+wt5oXf1mmcbn6TQbTrAPdKc2
L8U5+Q4QtWfMpYoLDacneoP5jXwRTBEMp3g6gt30mr/jPYLrwaHnJ64cY6/r616CFoDjwwkYwpiL
gSZyDOzYpmvLzEqfXhmcKsp+pi2d4gwRz6q4QBVnnOu3Yat/FCf/2BYH+Zn4G1Oh5bdiXMbEznpi
6HSgO3EIMEuvgpO+7QtncnUwQsi63tNNhfAgtMNz4So/KLIXMrGqNIA55nyAREv6BeV3zPDT8V/Z
69gPowvWQXOr4nzCkKA7sdcyUJ+XiAY8tXFgSkUMau7Sl7+nYNP38ysHLcvFSOqkb+Fe3isBT22D
6QRnEYcQxuKzHS+N3QglOl6SO3Wz6LSp7lS46Xd9Tkd7PMiMa47ina6R9hSsGdOHhg2xjKqcCAPr
0vNMPJxmADl3zD7kVfze0XvOjvKTxOD1Gnzoh67ZtnSQbv7VPM9Mnw9TySzG7XDHrPVDdhzWpHZn
CsKSRqUw8AhB+BgWecmIs1qlr9ZjpED8I6rVvXWyXuYKS94SDQ0eFCfj7rDT7/6g8mxu5fjCLl4d
i7UOaXYxo2+jXx5hpdwMr8gajLPauF1vy/bgu6nXvuuriIrLljzqBEyGgoPq96xtQP+F+wZ1ZWZr
RGt5amTrn7UzPf5AfQFkdt3DJ5t5IvExLmEvrvxyhQeNpvshy5xuHe4TTpwqa6DSuhj0+t7zRWpY
tw+8gJHMV3rFVrZS7gnWiiWF3ooEAYS4ywcbdB1f27fJXU2r8Kpi7uMAFjjB0aA7i8ji4r83P0ID
lcmW932/nm5QIbxH0toZQ9k42sKSfoLIlHWJa6pBVnxUuqt17vftnYmIDqRyehJvoouKXrXFJ+lY
/3cZS/+MUyHqXX3EXEgS25z2t4Af9OIm7Ga5WjUBqWnWvJQz42ZGjftfL8P/WIRNHkZ7pDmJbHaU
1f95Ea7pDXUQd2n7SERs8hCQANDUjN8ziT32lFGBzxVb/L/t5f+HpV+W/7m7mpIqiyaOcQimKhbh
//ywSlBRRltNs5Jw1ihT5HvamMcrPGqPuELItxJyBnBhNPJf4sBiIma+F8qAb1RvnJ5Yq7VaTpfC
9/vVDPYJRRRki44RASR9cZd043EMhNrBuNAsJGXSHNijqmeOsgkLXCoX88woO6FAp23SLdI5da1C
3YqQ4QEXKdVOHSbTVWIDhBBNu6Z5kUtG2rrB9LQXKUYJ6hU8xUTUkGU+QFk2+gDlg4LNxCyurWZ0
z4HWyIi08i1uOcwxicGkUA3KtdWiyDHyaDkFbGT4tu5WX6wD7ZgGmbFItc8ugMCdd+mixjmNJweP
SUZLmoZ7liCLFOe10eXzgmB25oh5vRR0H80b0p2SRHfo5g9jcN6faOyZLi97y3IAIJjAx6qWhE0h
MoExQ+sml7XgEhxCQDoxb13dJgf5F0tZiM+J7qv7qK9UO5/ptBYyI8tCEyjIp5VW1Wc9RRssTtli
jCqsV1qu8EuaP/IllHzW1BzNLpcc48qUKEVimQk7EGb831WGJkLM4UMnIe1/ESVaY+xjFXIpZj02
PliO5BlMS11QPwbrkauEWCRlLut3Rrrqexr5Yqs160dHdhzik1IInwAGhE2uzReaEgG/r42x5Ksu
VH8FlZ/9bJaPcd9iY9LoTBe6tpAj/aWLYC6r+CkHCAHIrygSegY2Uo0CZdb1Z20OnsWyduJEOogY
a4VJO0njVzVqT3MpKEs1mG6jXr5wlnkPj52IhKgZm6cxzJ9jP7jIUfMVmyNRfFzAEAlAcDa3x9vq
4ElDZDJmF2JMfxCSxxn9m8gEwk9U2iXOkFudp826AohcRt2VdV4Wx4pTx8EhLLVrJM97mD6do1q8
0px5irhA5pCqjwlr7cX949iViI1dd8NLTuyeaA7M2cvAXAjj98SlLgrpBVTil29MGxyyQK+t3wH+
Uki6ydYDlG8hfmNyMmiisTO0h55XYALomPLspPNemkp8+MGiG55L5FltiaiN7lWJ21vF8JwDUX68
ZvjcFmP6baXBwsDBCbPUHXKD8zcjSLNaqSed+LYM0G1vYBonkwtbGxELQN8l3x5Gwr6R8zKowsaH
h+1N6wXHqEWazjMs5u84fEc9R3eIeUJ/NcH4Wkq4Jv+MNm5Ek3XGKovthxKtHyOdkNFa3ypBoC6j
LDtOIdkOduDTe6S9z6ZRd8rOFzoGfYFxQA8RF9Ow1lqVdINS690pl6q1TNjUKs66VZP4yF80aey2
eYUYqwj8pVoEgTsmMc1HLaTf2qBzLFn57FIxG5ptcrCaejKuwerTwh4R7Ze5hzM3wm4YLYxGkDe/
/+iTLG/SqKZmkwFZL6vWPMGbzjHQabAZJVIaVHLvvIFZ4XZUh2Rj6O9x4lO0/n4oMm95j3eniLJ0
+/sRDVvTH2/18id3RIycB+qegZnbySoUIkGtMFlpU5bP0SIWKuzk7ypA7S3LfeSdIgehJu6FJyam
lIuUAOXKdJt9cWYWxpiOjjUX712+ziv5Hpde49b7dE+M6jsm+WbbJLS+XabVnMcbJ7lPz9z71Q7p
9fhTLyUk1Q+S6sG828UZa5h4F0aqJTQbOwRw+47u0aH4yLaU7LSEaKG88hrpr+a2eQ5XeNzp1hms
80eYCOiRWOmhWWSIdkhTBXAMR6hxyEs/0deiFxAkeAg2lLOM55mTmcZaOpsuBT6+9PqObGEydggP
+DaDAtHB2Kt9mCfzy1xX31F/D2cXDQdtJxWFxbn/qRRPexl2eINR7Qm0KBKqHkSPbnogueOluFDI
Byd0Ii/oTtH0RkuDLg+bGKL2s/KTvs3xMnfMj/ktnm1jiX2mkKm07Ym9iS1Pd9ttu5KweuKh3Mrj
BvkEM/pRhDkcHxhX1tpSl7ZD4gXygry60VzQwpUHD12npK4xKE/cbe3WIux9X/fglj0UJ4WKjMku
EcmMj2k69TmRufqJGfnIn3euWJu2mTd4kbkIBeKAWRDYT5w6d0YEgTyHDHtvabssXbra5oEMNiBk
yprGbP0ql0sFvczgFEh00cTgBsN8e4QlGq35Z8+IvyCO2kfmCngcfdHwynNMUPQ0LZFX1coKaZGp
75BkyYMTh0TJQoiyQe5GXnQueLaoLr/BNiv1tv5gTMvLQwArVNfEfqhojygXyCjgFKLnTwOmEusu
HFjCrIOmbfS7UKKp4rLIAMUQXvBIa3s2DuoXoiYx8TiSteWm7glFlWiXO4J5Id8RT1F8QGimf2me
cJ5f/CPnp+bOJKXKn9rLWLs8dvBG6fuao2HqvziT5Y2jfiuL6KDvs3eGuUgn2hvNvNGJMAYfuG0S
dAErNDKAtYtruaifQ45a9JDv3AFA8jmsgZaA2kIGycOd4FTXCjWJqx2Sq/YAmLkyLWAC00vPdxGb
GKS6rEp+/w2/r9jt6VJzT1JCCahJULrbF8hlDMmNalldCVGdiIvDq4v/qz8V0mtROCQnmCYxvJh+
PKiNPIkGB8lDgqwNeYZnbH1SFN0OuUrBK7XgZzBC4AXKXdF/6ZKXYF5mDKiTZdpthQ819wgikIBB
O5q1BMBRHawjjXo6deQrMwcBuY4+ZsGVq6KKsKtlve1oWKIqSPYx8nOiPr4m9JmvorVLd8RccrbV
fQfPtZivi4+adiWnORvGA9QU45Xranrgq5A2OqgghZXMmoF13iPPt+FkHq7yka6+m7ymyxblzv5x
ABu88SXCpn5EU5eB/3CZGTTMKfBoIJpBo2NyiTiB7g07VDR97s6Ekz0udpZmOr3ItDm4OCMuyzMn
cobhyaVfUuVZF9NyultBhTMuTUdZN470iuBsqV/TJc2cO6Kkme1jjW5soVxz+gqesdsWkjc/D7iO
TpWIeCs9c565twta25Gj7kluNlDbE1XsGF8hk4hVdlD5uf2rujTf+BvOnHQJ3Qw30M4BTuAo2eHx
nT1rXTC2OgYSElFY2Qs8meLBR2Zoo1/iVIes2uVY3j41R+FebTWI83b7ap6twn4L180WBrVHmXDG
kGZ1HLadsX8G9m4uZxb9tbWwPmQve2ELbU8Ev0i7ERlGcKjRFNJ553TFbA1JHKJhyq1r+UEI854V
Vr0oh+iKYm6lyptAwU7k+RM0UaKAVmlCBsG6FE/6Wd0bz8VLhrMIZQj68QDXj0vIZ/3F0SCkoVKv
pVcDT9CRI92BHYZWCGfE6KO17BakPzxGblbDNXA/qU6WuaW/4XnPXHJZt3ixSiD5r5KCkpvLwDxo
rVNLC0NY9v4qFFajtOB18sMFf0uRnEUkeOpaRv+JL5uOAiaSPW2VoaBY2HGqlL6a6oOqwqrcot2p
Z4jhNlp2cnjO8tJ6lkKXoT0hBYEIBAPFvMMoAmvCGngwAqlxFxHI6pmIWYjQZUM6VLqDxtD86bEr
rLnsghsR5IffZU71gk32RndlIEDkLWNcgxTSm07ZEg7gOYg2ivQRCk5snoNhjzSfwgvpM1II0kXa
rVmi2tb3LP7dtAmSLWl2HQ79QPix+2ppElEcn1h/GN9xBLskm/558sJP6fbwYvP37tM7HQjlVTrS
AOmZsx3T9byozhIzAeq5c/DGvsRioCjvVr/o9v2xeIoaW/skJAqF1g1mu4mandY/TwBSULYy1seA
oyA8B7hQ17G8Brg8dIdIarQBOP7ZVCRWu3v8xnw8OcrUpefx1fefUfomFKBrhSsWjhdKNMyLHfLR
gJkU1EvJKz+qa/FW+Dv1pYye4pNZbgm311bx/VF44mh7HwtbRU0RubVkE2t/nJXVzEZxk1blQl0i
EmX8S0NkJS6hSBO9hdrTDetlJS+6b1NzW8zBGulA6Ijs7m4+i/PBf85XgIXv3TfTuJIq4IKKDaO8
AuQLdc5B9LKrITr+qTirTvBU7jI8Qe8oRqsfZdGR6OUFP9Mme5eVcxbBgHeQuQ17UjUHLmk7fWbP
i86WM516cYlHqt1E3vSm4s/CwmQrGcukQwR8dUi2NWHUG3YRZWW+6LQpCbo60lB6VxbiN+9IWHmC
NTJWeGDquIT4RYg6CnSfoFI332pPSDM1MGTpOftWZqpYjzGYwajpPFvbRFoInpkvFOOAqrk/9fra
Z1ucRJTPrN/qRz+LHE5EZIOvs07kRcIGhWWB/GxuvYiD7cDAvhqIMOhIh6IEqhiCRaJnlAObrk9b
TZJtdY8RPH3Nc8dHFP/T1J916NYn/qaJPap3/HXwTQ2TH2uKhDM0bj9wUqoEkrHAlmHjcMp73FHj
2uo3CRqwNjVCm7j0rwMOD4J9LyDWvozP4c3X0ZA780f1zanRanBFO/4PZBTGaPbAmXlDL1m74dJh
z3qM+5bGZt5PeB2yZUZ16aLpHBB06fe69HLUuMJC6t1y+xhZHiDAiURILNQv8WEiipY1crituq9W
NPxYXoiuP6T3fB0vw9FpPjr0nbQ1LxVoZAcSDjvF0VxWB9Pcisvxu/82D1yVSESyC4bRff5pXYJj
u89QAX9Y6+il3vVcBZgGXsZpMeUAek4TE0K00IDtYxJ27ahejJ+GCUVkMTL3xZ2I3ToTGhdeEYZK
M5AddZzE7SyrPM9jpQWbmVNsqBnidghSaTv+fkISW+xfLXDcBgdCm7Lbdo/P/v7z+3W/b/1+mzEE
LOQJYv+w6KStNUYSGW6Pry6MGWIkhpygXQ1ZHJ4bPGEQXBRXMUU7CllnWmSErinWsmfIPF+lEozL
DBmIG5PEjCzMMbT4GIQjN3bWoA2Dd+NCgzlHVrjVNSxXLWEjLnkl4qInKW41G7jI/bxSXSK3iNnq
k4z+kczioReLSMbVEQhGu/AnEbe/idKpFmlGWRp9Th99ZRu3d+aJqFS7ZniWQMxEEDYWlUyHHe4h
OgIGW/iW45GTcP3cNIrpFr75LofAzEKBtJwJukxaY2OrU9klahxTWEro3ij72UKJxvAFHY5WqSpa
R6LcoqCtnV7xMf1ogCqqnK2wqIr2qaI6IpvGtazYtOsx4LA2qhzXHo7gjn29TGYaKeawDeOUsTSK
wF6UQK40yh31TW/PrA9xl4TrfKKTqQrxU1kMG7M0tgabkx9W214hX35+KL4rKuSh8M9phLlBSZpN
C52mL7DQ6DHrXzNriOvgjIHulY1inQRbztenthRTV1YJxptktO5TlHESmSgqsha++GBdw8xAXRh1
MHXMTWMEO78cX/Ukx6c0oLnOWv3kY/Tu6nrjW9K3WqYcy3pz9Popjpd4Ydh/Hx4WNb2rJocVP+kt
ZzZLgdF+W3uCPz7NwTnLc+01614boRCxS7X3vJtpL+P3i/1Lpf1IQolJLUhf+jBlX60IgkMX8lPl
xlZqEJULAt57Med3yCaQJaPqkQaDxSabb3C/QPmOSoS4JPyZYUtLNachM0jdcOjDlU8vr+rma2WA
8uhioXEqgQgmYGdMGILhNj0eDG1BkOB5ky0/owOd4nGeLU8nXl6VUEXAbMV+EsorsaQ9Tc7vEq5Z
QaRHiCFD3nbzbaiEW5+HB509tH+A0mpCcNuWw9jv92ax9iOa60QqWaxBGjX00yJj5MifQhzQEQDU
00O+qb7mI4TFCnGaI6iU9xW7DqKKF1blELZcwG9gfEp+cyu0ATgfB2Jc7RHpKe01r4SUzUeh1h6s
j3p04Zp9qDqlcdR3W4SqDMwyJgjwAC31Tljja93VRF6qDLBaGETJMO2KHidp+WD2hYxQ4ioyvCiF
wFKTO/oUagyVCnjOdhKCqZQQ04aNiC7cOFuTAWt2eBD5aupp8Z6Uw0c8stOQlLaEocnRo11rERR5
ucsZ9GA3RllfESpgxwpLSipyWg6btHBhiXptpmAOga+5Mslrs6080je9xAZg4DsdVVwaxG5xLo3b
XnSQ85yJbVw0jdU6QnTxw/hdU9FcNJKReCYmSJlgKCjpaOFTIKuO0tO3EAJQvzCur1HEBJElEv8q
Bjwi73AhPsxgXXk0rfyMqO4qVbAwelI7sA2QhCm1T9bQQAQTh2tGtpEdQXCkezqhoWkYW6DdiYeC
cbJoBCtkF1qAOxnw3lnhqeXqlIHYQUA7azWQ0D7pboCpqUdSZjGs4dnOql4UkyOalMd3o7UYX8X+
dFCR9saBeemRUxFt5/oylnUzJ4es4Cw99qHsgfJFXJlM8rFkDiiIRb/QLTJsUgN6gfUwMiXjc2wi
SpVS671KObkWYXYdf/l1vFaKpWAfG9vZUZPqUNJmaFv/O9QxgPTdDQAxPFbQ+2T5xDGqdgZrojoC
4d6YjfwWjhSyZXsX9W0glQfmGqvSQJxptg0Bcwzu0bKKTUWBn++LSaE3kwV756kgwT2rqmfRwqhb
1st+wNSDMHhYZ3X9VaYbaxLfgyBjO81R7UM+x53TgDuYjPSegFlImP4iMdyjUyWdCq2eGnDEme7v
+gRmRKso7BuICnlPn1QR5F3b0RWphcdZ1RyeIhOoURJHZ7EOHC3VshX8zWM8Fp0zF9ZzUBM0k3YP
t0hSrppmXrd6v/HjWtwWNS7bGA7g2Lf3voyhk2Qz5YkMYl6nJsry/lwIwvvYd94UKsegz7dIJ47D
aAW8Gh1ZpzFHSTJPTcEYF2kDAU/93+ydSXfbTJZtfxG+hSYABKZiT1GyWtvyBMuyJfRdABFofn1t
8MtMZ+Wg3qt5TbBI2pYpEETEvfecfXyeBhXshLiwSaKgJq4T4CRRAT6iiarXZhp5qaWtRqgIjpnk
1Q7RMjYGBobvHCCDlYxWR7q/wDB77mY3gSxodxjv3lncr6WZgwOQWMgV5dkn+uvn4me3TrJYp9x2
HivJHrQc2tdxKimig+F58ujgxiMeb65T8hi4wbvRwRMre1Sjq5qYtSaCssqE/qEn2aHovG2ctUfP
sw5ZS6PPKwm5ypz65JXtrZHZs8Xv/zWjeV40xfciLFJW4pTdIguZU3sF07bRPglj39qR1dy44GI3
BHxyn1Ii26cthX3YKwpM5Fg3maWbU55TdyzZGpKWZ/u4NgQewzUyucRMO2KNSNxomy7EJHrMdRAJ
UgBnLqVhMP+El5tvRmKbNk1bnBbbOVYNhpZ80DtpOfgWdIFSqwnQCE/bEcXGdkzR4S8uzF9SzzZB
vJAHQ13mIGLZxLn1MIsBhkor8q2SqKR11ey7JqwP+eh+jp2hjVv2m/HFWLa/k0Gw6eac0qHXd72b
Zkx2UxDK9XGWyOYqSV9zUKdYy2MZZvQglP84Viy57aJP2RTdo9jD6R2HlzaIrW2bsNgwtCrL7Lmb
e74xvf/NnVp8jkX1VsT266iwI0IRZlAXfQvthEYfsUm+R/RkFvU43JPgu5DE1fW5tfUJC2VIU4c3
UFVJUi5HqH3ud3hXpHkF9ATk2rP23fJpsXBYtcszfi3BTlf4Yue0fI0rMb7IuiHXSjq/daXVHSBF
4Lno/giS6fYmHp6S/tSU4XvgZva2h/ycVPNn3kCTB7SOZpgz1AgBs5L+mmOxY4Mo56I5n7HA8a0O
u19hh7vWCbgk0j6GYDj1wbbYO1XRbVwgxhgcndfY1snFaAoFgTqiibHzl3n2XFS53jOggZUjUQV1
jLILgwQC9XsZ49dlojGP9DWSIbxzPXYG3NjuQpuIaB09xuRgw5FCc5nV5ovx9pZ0mcun2jugoBbn
vhrF+froP55OZYNUuaFw7Yr3jMkQYtjOJ4YMee6fw/U1iYh2l5F99YeO3xm+AdywnF3VsmuLHffN
1o137oP6l9/AG40KxLxmTZW7suj91NDhS0n/SxwK2RXHv52MtUNUtTrkqNxW1L8BKHcSdJ38Uq9N
3PIfBz23j1blhXuCzYNzn8/Iyl2/Cc9u6gV/H+oa/cnwFjkYvq1/HTLkBWLx4S/0kP3ImMMY7JIc
43ekVYe+/VSNkq4YTgL81KN7MCuVu+wKcbhOu/+PO///5M5H8n8UCZ6a8T+g89d/8A9tYGT/5fhh
6MCN90LEEf/QBkbBX4FwA4cUIYco8GDVRfwTOO/95aMNlKHwZLTy5v8A54X9F/VW5K86PinC9V/9
L4DzDjo19Al/a9pWFaNvIw30hRe4HhM8mJPeqh78N+0atQsjuTCT584rvqHohyKV+rue8YTuIhr+
cf5VujPYEwtHYwYqk8ktBvbZ/WnlHiLCbi4PcduAZ17MpZU/UsS+J6aOfZG9ZnRWcdd8QsDLjvMc
gSsF+WA5t6IE0zMb6xgWmfuCEGA3kc5w29rqkhmk4Hp8jZWNkbEuFLPZ8sW1be9xDgFt9Qij25Ho
kIStelBbI/fAGIHtKJ9FK7GJDVCrC5hJiWIKoDBFKjOxiBTJ3lvpun4s6N4pb0cmbrVpnTA71UXY
o7sIvqVRbn9pXPLFSw/hUZ4s935IYR5gcotb4T12dfARBqznfUoGoj9gMlf+JYuG6SQkyvJpYUBc
9hBiYgpp0XjWrRDzUY/D25h51n1Ge8jA5934Y3yIa2d6LTAAtp64c4Wu3r2IvNQ+OybNQlcwru2T
o4eT9EpuzlWxbOPGzZFjyrPDXn2fGPAoyg9PsmvLbQk4l6Lky7js6oyA2Y6uxNbA+kAzkt2qNqTp
NTIOaNp5uVWFdyTsdaaRgIOtP9BsiFIU9V6Wsj9qs61M5/fAKt3LrCPaWGOxUooJ2jbaOUyI1iZV
/xCqf2XfqsGpg/UtU5y5sf+7qxl792XQn4nIRP/t0juPDLbdeSyCU1M8DL1yzzpgaOEsT7pysBg2
u5xhMT08mR/KLLz10h0DW9qq0yh3IYsk7W3x6XnYZOJxuK0tdcknK7pgDdkHX4uhTg5LNN2VEzyl
pUzfBZuDrXJtkmAK9zwk/r3wUZ7UfjYds+aDLS8EjARdeQF74mDn+o3QNurnhcGOGZgi1LF/chlM
jR1DGgr5cpd769gwXXHwfs9ADIeYMeFvFmTYGQLhvJ3Ev50gG4+0EwRRpjLbFtmMv9vJhk1rhY9+
ja/QrEgAP/FppQfmBxj06ViK4a5IlgbbFBK4ZhxOldWcqM4iWlbBjta1JNHnWzN/aZM+eQzyowf/
wkkBKxdcYCQmMk1r5Xff8pbbWUncdW58qtz2USnj3Rm8VZfc+RRsClGOaPRJRFVvlEXsd0+Tqw0F
0UfOiG0LUwQedfu2Eq0+tZGqt8OQfdMwz6lhAoH5ogrwzP+ypl4dIlO9JfPAGAn46nb1VZ7BJ9D+
gQ7txheFvwW4TBdz1c0gGyp5KAeGTFgyvoyVIEpgHRKukMnUxq9ss1sTACBFfVc5tMHYzY3HOgr2
RE3TcJ9JiRASvo+TxOBk2T4P5PYe/aHbTyHUvsAIxnUle7axTCBBFd8H5hlxaPAu+Oy1f2RQVvY9
KuUIR58auXE5MyXmwoDKZSTq9+voLuaqyesfDvv445jTHk1RtWCVKHd20z+W7vIpYsLPi+o2yXDw
RwSHZ779QaeGgBnL37gxhPp47o5TXv3ifUt4B+GpbTJAOF0PnIV9nh82DaqFZdOM87RtdJ8ehuxt
ChjbxL216yuUrqTp7CY7fa24aSM5HUCylIi8KCayG9XjgH5CE7QKcnSx9YOpuLeeko6dQF0zm27L
L6InJFH7wS+TpsumdHKIakFXw/FtfXyr2j2RsrRshpIWX5A/qB6ydkQ69U6Q4FAPMMwq3P/UjhKS
z5cgUtTgBdQxch1QLcZFziQ73UfkIG6G6nu7qGLPQtVtqhzFqQ2gWHTLpXchUKFlI8By/k3VDn6g
IJLBTZJ9RWTJltjmH8HE9SMmfstuYHxHzsS36mOKxvJQ1Go5KViLQIhv0qyZL1HmjVud1b+aKbrY
oHPvC42xb3AGa2sbGDygpLKUt9yYkeJcNUDcKxfWguu3e219LDhx9nQjkYtONnOo8aOgtbOZ0e7d
9JmXfGXN3Q/YhBYVwXocHAUPZb7keco9qa5o/livlh3fOiOg68THqJG4EJAs862bNNAh4q+cPD6X
ygl3dQRpoeyT56gyT52p/f0yeWrnCb/YGd0BHUhpF0g48HO8Uu0bmoNhb7tfQFCar7NHJq/OmQ/1
LgXpONMQ6VtnPsS9qO7tcCD3w219RL69vUlCWNGNWB7iQg3MNbsLDS0uH59J/ZKH80PhVAD7Zyry
DOLF0GiQJEkYMQLIGN4rNPsUNR59W0C+YWc5iLEIJEtpF4mlPTaZPmH3rba0FHB096Di6nRN/Ohz
NrqYvAODLYxYhG5rqLW3LYTvLB5ZE+TU7iOrfJWzLIlT7l5tG+ybTPp0F+Kwu+nnyWy17XKFu8go
hoXzphZnDaNoynvRzNx842E/Buou08yVgkTcegptYAJaIej5mvhTk38ZaawEiXe/tNF4dun6Y+QA
jpNV2Cuzo4lDWrrWgMQuwivJyk4q1Ah1uKUPyq4FFT590wnkJyvyAjy5SR9JtANXRL+wsLruNhwq
ipmMUPEMS5VUYXRwNFruEoFiVNNGQxNJMy5lAc4qxGmR4EKQmOhSV97pVrhHxWgPG2rqeSBusuQl
DtM1Yn7pDkHcms2YTs1RaVgejL1LP3AuftzhN81z/060BolLu+9aa7oQdW3flMY/6aLxd8EIA5x3
WX3pM7YBUeFvLXz9SWk9yyxN0FBLNPQWPYZAL+VF9/Nh7tB1EX1rU+51gAdXt/yVeAxnPdfPA4yk
MGldQmNDh+Z6qcCJJrO/jdu1Q5YOC6rPtkNpLH+7w4y70z0lNC/P11evj8RKKw4REVHX1buyN88T
zLSz1OQgULiDo10rn9YN3I2fos2ouMzOQev9oM+mGLnidfZajy5wWx5t/Oy+zVj3elhK7ex8Ef0s
qhGCpm9+Wcs6AmBvQAIg0XE7t6RbKFZyQOUv+riyt4IJXLxIE5CXWYSKRBc1+HnZHoZ+jdzsxIBa
7NpqLHxMc9Zq0kuseQdH+31gD04YIrSs65skGEzxdQwGCt5MnCftr/IBxoBe/6oqlLVJb4PuUq9x
MRBFscY1Sl+SMAi0DgEehvX1WdKSILpCqPM1vGzOdHe+PnIVeX/XR38OlWDL1WbRUTskBV4P/b8e
za5nneC2KRNnENbo0DTRkxfb+W0Xx8WJuRDcDwn0rkZ4XudUp42PlWBg/7p3RPtwfbsjfLpDCmwq
uAYnrpGJ5XrwRqDqN9eH10OQpCFoouDbtHIUrlnDpk3K+hivX/spQ4+lqGVYW5U55Qod79/pxUbx
2vVhLzi9hV1OfwcC2843x6BClCuZGzc8gdbXh6XfMzheOrm9fqwF5TVnkbkaoazr8fqCI5qHJQD6
WLvTW0LTm30mh+ujPwcvyhBArUhuYVfbwF0wwqzUBzdkSuQZCPbX1NbrU0Uynt323e7PSwX5iDci
0uyz1pS462nwr6fleq5617/4bhbv3ZdaDQu5yEqc4wXojVzymlXKTW+vh3591MvPTpNgno7NzHqG
3rJIqFGaujPnyUwbyWbnGNshvdB/HSJVjGdy6Zo9vebXymqtc5um1plgbK65jO9nh7V6WaP0rgfJ
rGBnB/1HaS+jvVnGbjmkwL2viPF4jTe8Hq6I8b8f1QJ5DN5IsZus4W1IQYxfD6FTc7uUQbdn48i9
D2cid3UQZXnHbxpk+j5WKjlMYsG8j4v7KQrHeX/9Q7N+2T16SZuhm5i6XnP/9IqOtxtSOK73CbpN
3DHW/+36yJkl8JbrczPQypSk0l4/lOtncf2gTOFV+6AOn3svR3kQX2P3gLuHmRMc/r5A//v124/k
H7UEpMHaWRNB12s6xEzKtvnk6g5iyvVCnq6Bk8yEezQnsJKvJ4R1/B+n6nqWyNchoZDOVnqinPj7
FFx/y+vvS+dzOf/5zblt13up0lM1My03jEBT2/tNZiZucnq7x3BwHh0qYmZnMKRdxkWtB0qHNNC3
Pkk2dLzI7Bjy/Tw3r1atM0QvtQNCiEZ4JIcPm09FMimZynH+roqCG6xMYA7VJcoRFcGUnkHv/TlM
K2wwdLLbHvJfJEpNiCHaUdhVdtgwpcv8J5NiR9bRXWd1924SP6iA2s1CG9oJTYgkgaOWiz+hx7g2
NM+EhrBiopkVi4uHhs07jUGaWfXdZO7yuv7lhM5XOyFHvbTw2I5j9q2yv+YpIKVStt/p2X9HSY+o
3uMr4FQ54qC6JAZqYl6w8Zsu39M8vmQEX8ESIMwnMB55VlSeit37DbudvQ4HxiQLRIqk1Ef07mx9
QvOSt257m6jhbvBGeUzK9LVz5hCBFY4zUSCfJX/i5Nisr4k9nLSkg+x4BHTN00NUyZfcq2xU1tmt
fLfoEzDOrY6zZp7hIxLEPWHOvRB3pfo1uY/4JFpawvs4ZcDUVcWFOd47BQkGd8u6t3TCAF4gXiA8
bBtLjHMF6dzo/cKEnoPFJ6aecwwSdfkwy+I3jvUFDG3KDbRMfvYYA0iwgQZg6+Ii/UluptAc/bx9
kurEHBShToxaQwYNp2t4KMKKfcKEhlxU5S4eqzvdkHe25ObOnr7GYbhCHIO7mU3GoBRfCQd4CjyC
lD3zNmzbV1my1nlrVnzOvkoWMIoHRm3TBurNz943L30gfxhOwpKiuNSjzYUY+M+qLFBQ2gzskd5h
6d+1avlVuNTUJo8Azo79o4iRvAcMFVQZMZwq4W8hgZiM+zrHMWr1qF/l8h9KoSPSXnfSLjLGudcP
VWvQVIChmG6HKD/whf/sM3RJ0RClW7KuCnfyL11OoJHfwMZIEQ6uc9Xch4nU2v1T1VrwyCCiYJ7G
yvu+uMUTWUzeZiqCu3IGxCiL+oK7/ujV83mo5tsC6kVhiuTGiOlXrZ170ixeFxU+F070FgWabGK+
R0uz+CfbA3LZdoCVWoiaNriSgokye9KDCjTS0+qJd3njmGimuQ3ypUZeEYuy3E9eveD7wgUa8w6q
hso9zPCL8TEkwHFLxt9TsbOPjlno15ggBC3LCF9AWfWFH268KnrIpv77MseAkWPYq33/XSU4S8ce
MrCLGr2SkimbYl42TAUS66zLDvVivamaFMPYaVgKTpqiJ2z6cB9LyAVpZ37aAP2UbeHScGGSDAu3
g0AzNgvL4UH3kozFNSdspRUl7JWtEvFw7bz0pJNvJPMxUpSqbe4qpKEKxAZnDYENbTmAG+Ot7vt5
C1HhOPs4a3oxTMzZbFR5qxo4rz9L9B8bE7TfpXCJJjDRrnGcjwHQIRFs5h6XUnoDXQPzFO6pjW5h
bicGvJpYh0bZ01yk862uDAJSc/AKpultlUZHuwhgQoTWOUdFcLHd5JLaqDmT0c4fyGGBxKu8Q++H
T1GqGFQB9cCyD5qxnMI9HIBPdhbgcLVhyFk+hG7inKfqK8CMR+ri5eIIcORRxc460J+ejqDBdzQk
lPdz8klVX5T9Vmd5Q66EuNWh62xy5imTTLEZer9FqcLdki/TTpL1TkDeZhJQuD1557cIJWLS1cDD
uHvB+DPK+dmtDTshjGvG6vNDX9ONrQrgNvYgnDMb2K+sGsxSYxqBc33pk5FSLRwvZFc/AR16D2yP
IAUIWVgdrOAeU8QXOwK0VloMkjPsngRiHQ3Z2qcqpS2ATAAeiPwkEBCgbOD4m97K9DYPs3JD7Ca8
k/Z7T8cakQ5tj4lP00/UJ22Pea+mdusJZro2OsaOe9C5jrrPtBzRDuE6qSr1kdJFQSD3KXOkEFZ9
kXY5oJguHwm3K7aFCeCAV/ZlUPqL6MrfLDGXnhvZvrrmwQzftZEfLOlm4014IiNfnJ3KZlr5u/CD
eTcuerwEI2tjzp5MCwxHPVaVAc1xjyCyZEnji9TjkC5wCoSIvQl/A9hnLMSn8baR0YNjNDIri7sM
u1qm9zZivkFIhDCL9R5q5W/bWYIdQ0viquxJFX51H9QjjNoKNbfWY7jhf3LK8KGksEaW12KsFaO3
NQhz9V0TTxhAxQ+FX459ph4PTeVjVv9Qkq985aA+bgjJ82AGbSRvrRmg8rn0z0FP6HPXpG+N3eHT
hd7aIdM2I0SPpZ8fYx+tX1Ih8/CmhDyTbILQ730RzHBRwEKiK3AvNbZDYJcbPPV5iyBIFjhpfabK
3XixAvmeRv6dRRW2DUSF+lu81MUCdDIvQpql3NASbR5I095o1R7HLCY5uZru58SIO4+rOltG/OjI
XYQ3+ixfmBDTcwEnbDuRpJpxl9hYAaRFp4SqszTJt8zfVUMPoVojHES/K3znKeHSL5kpl+HeD8df
hVe8NExxCYW7MUwStqXGNG+0S80UEaBXLXTgAvemJhUDOkb2MJvD5KDRpE2GjssGUE8IEZkdKnjM
MvchrWZ8XOJbQX8bYTzX1PUQGkbGRQ0NvG5fBDc2WCSAeG7CAQpwTnOo1UmzoxecHXK463NWsPgn
n9UUtyiNhX0IY6aUvQ7Wm+F0tLzyjmVuU6Q6ugdGglZkwkNn3rPhNnY7fzewJUKmHqO49rxXNWD4
aUFRDWHxM4rR1TKLUMe5NG+LM72zb9o5SfnDLsabETrdY5xjDTfsW1T26JW8nz4cf0+pONGpvFiV
FMAHV7qS+On7M4xBMuoolJnDU15lQ/mhRfjUdLAEh37Y+l7+3rrifaHjsW0Ha+BeRKmpueqktO5c
Ro74OkhcQ8+CliPku1UWiGbChN27pbEXlojsrKTZjHCHbmiZPnlEjG1UV+3wAu4GJzrFAalpbpl3
eFTXVtJYfVWO2+x02CMeAokaeBV2fl/fzhPDaqQxX0InJfVU5tZNU0XBljRFyNko8eyCWSnVAA4Q
g+Z9UkV3SYPoprCrdktDpd9n/k/ECoi87F9dO8RIvtEptynK5gDWe2tHP0dcankOuRofISI+KC5I
O+TaMNfOfAm7+3GhaRGp5qUqMTdBDSN+yCHsfZhLG/nhOtq9Pr+Ogt219Pp6ncWqax+hynL992z2
+uL1kLXY1EmyajdWHZ6nGZB06iA6aWj8b+f1J1g2/0F2rdmwWsBly8/XGXI91Y/MRKY9Gx50Xuv/
/edgYMBB8pf5pln/03zyy/5oBHlvNuGAS/UmaWXs2jIiFzgsKTJnbc71UAOyqeXio1BkjB02a37c
kEAq1EwdzuN64A1cIJPVh+vrdvCWo409ZVUwnj09oabUbASX2UcivGoj4QKh/BmYjFyfhsFAHmvT
QgtdWxvXhPbU7qr2CPGQCT3hsoy7QG3XC/kQa0MEeApBZNdIsn8dysHOtouLUtZaC3uxVvJT7D05
Q8lOLStf/NFVe3+Kx/P10LX1dF6gQeZZYB3jtXDOc/JJ0/VwffTntcYeH4YRsokKQTjXawWexDOU
pgBA29/P/7xYI89u/BJYXz7y0S7oaoqgPVo+xdEytSmre8ywSPm5vmnUwGR+bWd1tQRv1OUQkssc
Ga5mumXl/LvAwt7Rdkt/vj4S69Pro/VvdK4cjl4EMLkfhCJq7UF64QqF14C7PJ3Ls+3C3cgDJTZs
2NxzFbjuuV0fmbyDxMDk0/TSOcfFKFZMAQGnoSq+XF/LE+6c10cOxDpcVQENzlp/OJ437Wq/Yzdh
YfQUsSEisHu/Prm+LEiWPRV8YrAwCURYD+pfj/7jKRveflegZr65vj+rmTwu2a3T8wtfRRXXw/Xl
GSXcaWoeNTrbCvlLWpBMk987IuUpKcwusaAcCjYJpNt5Drgm3qOY8aEG6+H69HoIugGos3pCIWmw
JfAxhfXf//+/vYn1JAXSDxGyreKO65/MXAhZzJY5HQt/F8sX0SmQ36AodNom1Fw3TWd/qxKKlSXE
7JKlJDahZIOiH4I2nrz4iKXYU624B+IGPaOhpW0Zutl9PFwcF8fiJPOfxVS+swfalB4uPUTDwdZp
MnC39WuDqScuCPVNG4KtlsLGCgq/gGx2TtdUk5Mc4+Z2LIaHJuurnUOjYu/N4nagohmm2j8Uhh+n
rHT7aQMoEcthiXHiuCq5pemLflqcVOa8No75sEp+AxRA/U2SW5wFALtMSrlyTXhO1pTS0NjPlgVX
owswKf+faOT/jyzlOP+jaGQlS50/VP8x/3es1PWf/RMr5f2FKgO9hxDINKJ/l4+EPmgpXpd45+mu
oiv5p3jE+csLnDCU7grDCL1/E4948i+mXKFt8ye2cGznfyceccP/EI8gGfFtbtROBJEsFOjy/rt4
xO1UXXnaV8d+orpLZ+tuGSjtk4geID0F0HOAFm9Icl+p+bjIVBBvLVzrCLogvhRx95JEw5NOOnub
DzlBU/3YMsNFjUzRyXZeMlLOyybf91Pr3Egd/BDsvm7jzCaadvL3zrx459gP6O5QCHdRgGv3ez5W
oBj7ZmYTQRO9qdjZI5gAd6qjauu5q4s28+bn7mfs5O9KNjmkGRd5Xo9JtlqooFTx1cWTsBlJ275l
jBFv0UOT+ZNb1j4dLaxUZfsg62G4l6Z8kS3mGd/0B750/Skhs5ZgZ8aJ7kqmjwhDmubPrEb4kSCp
ITbBhQ1Cmog4DwL7cqcBGCVT9cVkUfyia/GL+PYfnRc1UEyleehycARkg56GEg0f2PFFzzjlC2bJ
tkuEzJ0ClN64Hiu/srJtbys8+j0bbnSbFamWCfgkUb/kzNf2nSjYnqFLjpnQbqMkrw4qGV9nrapj
PR5kzGjMHfnJbYBVh7IC/lc240xt7DO10vekpX2JYPRFsfrcpCE5xGRGADW4VOgFz+wNrDrNDkFL
lhrbzU2XOWxqGlbO3MQvvhNi4x3BXdWaTYjj8kwB9YBcuTERBuCak8hNibtYmdSGaaP7Q2Q0zilk
UQvlR1ZuHnDLR2M/ELaD+LPJx5shnKo9oZ1sUePitvSCtyHS9cEjuXAcmqfGzjhvFQUMbNdhZ2jR
4Z2BDrH+izEIrV0e0zSSOYSiKOe1amqoHf3+YRjmo+1yOlQE7qyfGPmZNRRKfbWtiQ8FRePA+/S8
Rm4Z/B0XvXytU/rZ/kKGbo4XcJlD9TxQdFM33TlLGFwgCV/G0Wn2YoaVOPugKDw6RpuCbYtbTDso
iPVhNpxeU70y/n2KlAroTDAWy+DmS7YpnnGG3TLy1Wi56DLHu5g+y3YsScU6O9H+uUmXr+7EpaZE
eeAantiGA82MIY4skq5XTu29dCcvxZk+RfKQRNWyR7kPGwLJNz3jrdugXqDs3QSjZ32h8vleL18a
IcPbssP8HQ4lwNOFHgCIrnGiY1REHcvHmHHNm/E9CL63uWOetfXNd6CV8aEuZ0GS77YjyCRXuQQe
y0kqlvS7Rh/LzGlhvDgTvi4wDOwqtzmkudt87UK0BUkfHKZsrI9Tw0eAksE/NY56TrgULhLsDHwE
uXcQkj+6WGYr5RgS54fHRmn3ELsxIHhBcktYDctdWRbyJg3sLbig9hBjfIa2CWaxgL4eN94hwqpK
oXDwyNc0zGYslwhpVaE7i2Fd0S9nKZ9QDVQq2w0AnJiMHD1AJIF0f1C7PyqPG0mmyme0rsmFt0LT
6gE3mt60su6fJdujcFbRxqGOIf1gbvaSjxQtv/4IGmSywKq5WHz+2uCO/r6wAvh7SCMWDAElnW3M
hgb6fpkC+FoVLVNPNeEYeHyifZxCkG9MKimVq/I9M2sM/AzFN2EIKJLupejpxsQ+BqjF5uPNacfR
8ys12oOCdlA9WciXoXY7+ig+EwnMA8LnPRLF5ThPpEqF2Er9LCov87BCy8IUz0RonsvSwcrptcvO
KOGh+ZBfrWDkEpXO8siYYhytj8IuXpMF2YdjmZNXgSlIUS/s6pD0yuZDgiJuY5LOXBsfZpq9WxOt
7SAtj1ja3FPQw752m+JdoZABELsfTeZt7dBieDI4ZuPTPNwot/jSDB0O8zTmezpV4Hq0pGCYbum7
Vbtg/UtTIum01QT1LLS7ZFdGh4JiBt8CzpIxFztyMHH2/XA9ROkJ8mMCERGkwzN6kSupaPQQouBd
I/p1Z53QHeIlA0JKOdHpOxrG97LCEDKOMWyNpo33GmXlTZMxjyqbHiJflnzkVkudvd5Us99Jau6w
sZgNFByzJep518sZiptVoY1n1AYPgjwlI1AYJ2RIC6sGHNAk94VN0z+ofZ/YIfmZhTgxgsY1h6UO
3vrWDi5o+tx9WeGdZ6dq38M2wmdQ9TtVeUCcg9K5xNlC1JVnyn3lDt0DCs9NX5fWMVHtI+yi9kto
rOxSo6YCFO6hkqJpEC3hI8Hq5D7whxdJK6ByVPGIJIluP6uK1SBBEIkVP5phvo+8HBN+mBX7OpO/
J8tjPu7Gd/OQTodOu59gkf1LXPFL1DQJaHZ1/V3XY0tbCm5NA1/P2qU/6meZt+ukvu2b6c1OIvIo
F3+9DI5VCnSVjt9NZVZ52LpuaUy8Ud7fC4w32OX4e3PHvQ4xtQWOIm2C+zTQQCknCCxx+s5qb0gD
4K9NFVoF9dPY2H5NgbtHmonNuN0Ve60m5mhN9hQtw0pFudNzog5szfiFs/S17xSQ+YHBWWJb6OHX
L+MCyc+0g7tVI2lqDQwpnyBfML7LUZgJjt+0hps7b6WbRAfkpPcMJGbI7F/dHgXjGIE8QnMDNZ1b
jc2P5SpeHb7Tva7t5egE8S8kw/YNWCzcaqMEMDn2WKBFeIw4n1A2chuRYPY0WJKsNf0cTuFBBCUd
zZF6QkT+z8WVLyxDBBExM4P0NWKX0BOdaQFeYiiM2RadhZeiBs4re+eThVk4znyf6zW2NdD3Ve4c
5x79RDZQyTiVevO8gQuDu20Rt5feKea9kMpsltl5r+LiWyMiQp/YFq5LmZfWw9kF22K1bJD8sQu3
E6t56KyWG9s91F4Qg9emUB8HIDNzBJ8lWzNb3/ps5d7nAA0Gnb5Eor+HuZbux2jmF+Pkbq78oKXB
vFW24ltroZ0frca/yaTvnyb5ReGkvGscfz+nQHbJe+u5ybE3wR/DjWGXRq7ele3JcWmHghVLcQ6z
FjKMDZittHQkLtYc8IHqkTldADcH8t14YlEE3ddkzRfVuzHWqTl6wnfySy7iOWhj8+D4+V71uXyq
6ucG9Qyqp6zHeJ6NtyNmqkj7l4a1uWJtfILbxikqhojZTOkdkmFPIkQEuTDMHlpBez0pFu6ojIyF
arcu6uQXJb3ogl/odx7Xy3PRXOapt5/1dM77hAHpehjb/HWe5vx+DHvzImi5EamRmGOckJUV2O6y
T5YYmKiCmZghUfIDftIg2vrRsljoGxBeIMcc7oEZJ6KrvVPcEgA4NzaLth+/sCQ29yKOV2EyXTwG
o+GLnZBoXYiQwJWcGWm9/Bd7Z7IcOZJ153fRHm1wB+AAZKZNzMGI4EwmkxsYmczEPDrmp9cHZutX
NrtVJe1lVpZWrApGIhAA/Pq953yndY9WIAGS1vN3NTr+lqRcVI/dIO6plQnazJ1H05lgYKR0/Qqh
ITMt/8mPQFEOZnGa8Ls4UWs/piE3h67L/lBGBXaXAdXahGdva2UdXb+oHZ+Ewe0rsmDBk/ERotH+
4UwRyIOBL1cCoazqH7rynY0cZXEpzArMW6ViqDbyqnFWCTAv6C5XdLgBP43gPwYz3XQE2sCTg8gA
9NwtkTfyva3OtYewVIgZPaPqn7IM521pNdPaqsRulDba9fTG7fAGGTNSjoFxbBGK8KAZX6DWaB9B
CDNLAs+nRjDnDSGsBeEWQxf4FPyLrLSIn7NwaqCMDCSdGHV0YImLd0DyBPFT4ttgwgWIhnqPSxu5
VkeeYhpkW8NabFa9PLRy38zMTsIGaHmH5dQ/FXlNpgKdWuEXT6TsjfuU1kFYRQenI+VAcYZQdGeH
Ap/pNRuOuwKTU05mBOLyHsUuix0mS3yL0BSSioSlKPbsXWLjPmt79zEf8ZEPcYMmuy3rvZOHuyb2
p6taiveMB8UGvyedE0uTgaiYl3HftIWH66+Yq12BZdfjjDCHwhaUvKC+o0AsO5i0VQtjIDYZrCmc
/iMxRYwfGGKP/UfyqtWc31GLADbhYvbS5uxYj8rx9cnFV79plwqlN6pzI93HAvw+oe7F3omcd4pz
AH2zb/JVd1epP7xrulmoAetTU0MrTyV5kcpbZtEibM7spkahEORZ0jqguIY9Cv/Jd9NfeQS2blTc
AmQTPJiJ3EtnOnrUJivPx+QVWt5PR3FvmOwmc03Yha7BkBmYTPPhboxNcjYlty6G5jiyppX9EjqM
WsJY73ulyg36+aMIp3nTUMVtnCJ5gNL24lV8I3maqm3PeNLyFhpRH16KGTlu0GcPQdmTdx28Ih5Y
xnf6oS+CZqOn9iNk3Z0H10PLC2S1d8GS1WxQ0wrVGG1OwHNRlB7i3n1FScAuFszkEX3WvHVsMLZG
2238LCeBqk0VUCh2EWbmmWfsFxWfLsTZK5PuHM/9JhwM96i9XRaG1j1xFcsyCO1o8Khlw/hXFZY7
qed+X8cBiS64l6vow3UHkgcysE6ZJ8dDouz+wAwCCa5i6Q7SaMALTbwRAets02zYhRiq3O3gD/na
74IndPhERS+JxzO0jzgd/FNDmp9Pl4+K0pge0VrvA2iZm4Vfegj6fDNUPmCVsDorkbc3Q2l/96S1
UnEkUaUyR0/L8GbKMtC5ur1ghoP6plCb2MsUu/VdALYzQaojmz4iW94oD36kLpQc6MqRrw7uSIoW
kIiT6erHMMUqTgnXMNVeQCNp167xBnDL28azUzjGfuDmglnB4wIlGSt+DsbUbgBZJrWAbiV4SGqo
C0YIm66o4nQvUiiLSkT4m12cdrOUFz3H6dlp3pXbtSc76i5W7V0xOKBskCq6LmQHZ83O66Mf83zo
6tk7dkM3bmgtDWs3oKT2auNQSqq8tL1A8rxErEdHrsiAK1RcAgM1myvUsRMIvAtBK3YyoLKFnf8k
bKvGMWH8LJLqfTbG9MgDWK0ldywsfKqwgTAD5ACLyso3H536h9dgig7mrjjgZMYqSkvYqDi4JbSo
1KrB3dZhFWWfOiPBCWdgxIXwr0YfmJkzWHKXRizlYUfVaAe2dSpsfRvKTqzrJvtektI5IZ8xmrLc
EQItvfup0+pgI4naZg08vipCGbFIhaD1w2+eNSIamzp7Dhl39NuqBkkx6VOW8iinChMm3rIwIuhi
E/dDi3CKDV6mYRr4iD+KpMDkr8UFE6C4u0byjNO/eWbl+tVPfAQ/9e+Ib8G2T/sXc1+5CcKOFtVA
n2oEgaVLn1HagDzJMO2HvAEI49qU5LPJ8EGO37LINPddO+6FoIPWtHjhGSnbEvMWURyvAQV4YRT+
nnLkrW8BsDgWC/tdUgav5GXhvygYAVkZmwmH0f7Kmu0fPfvwLukQq6tKr028NCJHhOaR1NIZlGge
kIytpePd3FIasvUjKiHMd31H4HH30DblSWVjcqDNDfLA1pCchXM7j9CDEuAI64gUsVizl+koDVZd
kUKxSrGSlu4rHJPme3pT2Cbz0ZLZS0ao0G42fkQtbSkdvhJzEhKzyA+FUW7EAFzIt+Zbt1gsEyAr
AGjyhJaKzQFmNKh8uG0T2lnbxfhZjI69Y0cJwWymaLKQzg+jYWzDLHmfI7bM0qQVM5GFUixTrLzD
oUp/jTZaFTxOzmyvpzj/9rmLS2okUYZ1HbCY7eeQ0bIDJ9HmPH9uJTwd8K5UjFH91DYEGY+l65OT
PV5F890gadsYZWdgkYKAwDw41wxtw4ThPtVEs7dbtaqWur9KZq6iOjixPXN2ARkdbk1VuPTQzLmx
0Axwy7gFc1UTdVzI0r/V9SAWPUKPv8N+T4ye7f2ACSpij1xIUhm9/OhmD4ZwXpoJEBRqU0iPNUxM
JbGqUIlPfYOu2YQ6OOfqwW9TY5MOoADCrBaH0K4fJ88NT12S32JzYdmOGCyUmhlsXAU3GRsn7EZT
sQ+D8MfAzP4q0NmD3U0ZKO7krlXDGU+2PDcacFDLxpvwLi63YqTp4iPnuc8t7EbIBKxlq5Hp6qTR
M5xKtcTRlPWw60R3FQQVYcs52D5E/A8xVpmBa0SjPDuHE8MfTzin/z/B+L+ZYAhferhB/4uHvXlr
3/4ZgHH9lv/8H/8NKVGs47fiX72vv3/rnwMMz/uHh8PV923rt1uVaIT/5X+1/8HiJfnHZxLhKPm/
RxiW9Q9TetL0lYc71sc09l/ZGJI39G3PxDErfdMk9uz/yf9qLtEMf9hfQZJbNjYqDLoO+2NHLhOO
P+yv8dQMXRmLhmBv9rhxxKMbo/hjPWMOXLbXn8+Tgr3JfiJc1RnzRdLgVWusYmZUg6xKAZa6ESHO
Cs2mcKZ9UV/GtqMVGORPIgHHXQxiQ+vUwGPVLqIkj4qj4l4uRqTCAoya3dIQKbsrJZvvGWTpHQ7J
fo1phDiOhsZC88270VFNPHgD1ZHRCYmYL5mK512RWNzanSDuDmjryKYUJKl7nv2hI7PDXnsVoJB0
eV55HdVwUbLFajiIOodYYncHtriPTc0a1+BXXJcmT77e9oBxC7kPexIBauQRojDAvzEjPHZhdcgi
fAcunbGsMtB956hMkfG+VTlv0FQTmgBg2tNiHZ7GejwJr1kxxa8AN92Q4HgwxQItQsy6Zb2knhs/
NKhQwSPZBzy+thNlsMZIa5cuE1VEFfRjBUkF7CkRMSsGCwJMbxFTUYUGeR+dCpDT8VBMPPt1Sh3r
dzDOj/G/hz/L/0B4F/9+gdi2kmAWJON3aS0u7T8vkGSiiVH2VXVErP342W78/CPzCPdzFEoWFgAg
TVl3Y3YclI1JZ2aj/vtk/nF3/Ydj8f/tWrVt3zKZ6GH+doX5JchFGsIkvSitjoPBAhBXxXdm43Zz
QJRNiZM/GX7xM7azvzsDX4Z83CK2S3yh6wnP8YW0vpwBOGJi1pHKjggCz3TEmPg8iSWdKCKQnu5P
w747AV1Fx5ulizGAoVmjgwHMO/f3sS7n578+D3Jh6v/rTWu7tu8yv+SG9RhnfvlOTKmHvNDZ0Y44
EUlh2Gt4Rcteot2PZWmtjA5slbIztVUJxOgimxGvpkhCZtRjFvajcPB/9iNTHaVmsffLbP/5VipI
t6MFwEoHycNfH7S1HNTXgwaVRA6P8GzlLlFAf15IIXdAXOQJB+03QDH0dGgTbwInY7irJoH/xqQ1
pvarvyth9us65D6MA1PhQzHLbSM/asXSavnsyjujJJ89wBhZP2UB7dER3ihCroDYsXVWJ+9tCcQ4
kxriJcz/zWhM7xg5rmtnOREyphs7QoRzMJU6kbyXHk3SDkDm33zi5cL48omx+/JJXcskH8f+8onH
lIFFnpoY7FuQAHDdV00dk0I8PEXeLM/k+Wz9gmofOVZyJewFVGzAS89mBc90QDJfwd9qeia3rkJC
bDbOLu4sdq/YreXoP/Y1eXNJcI0ltae/z0PAr7pqU2TBm1+JjlDDOqW8FOaucLq3uhwZ5RiImUui
qevAXcehzZQn+Lv7hcXpy8d2TNNzXTYNPn+6X+6XTGh3Ihc0ObZMSku/Gzjl800TZO+4r7t9/atA
AwtJha6znjRWQKfZNltXh/PO10hmRnVqdcjsRjj29d98Jf/p2IRwpMRvRo9YfhnYNzXZZG2jkmPN
aLNJ4T5m5UtJtgTTVvWITZ2ZpeFsP5cDHPjAaSrm9yEZ17TVMCv2W6NdbvNOvmqXzcE8AUQK1R2X
5RKlUnvrskX7Qo39y7FNdoPycabl4xQnz3Nu61A0B0MOJlzWJt94WX6rk56EH2B/FUA1dqXxa2wH
6vLXH1v8+yMMnQIBXUTvKd9V5pdVHqwVoxdVJcdZYXtHmHVLECK9ddVCVpgRd0Nasot2P7QWjHF+
mCfCrUQd3Se5zWyc7tPqbw7py7pCk53D8Cl9KGUcYS4qjT8fB3Zs0H6P/PgYBT73qjnfmCggoWkW
xyJz7WPUeukhBN0k/QXN6jbXsTuwbWA39jdHstyGf9ymn0fiCMnlQKQAatsv12sCltBoDG7TNg6Q
SX/oaDSOOTos+u0QfjBMrshshJoJtyKszE1ZRtWhzStAHAOmD6t1n2jOBFsit9TOkc62RJr718do
fc33Ws6WQ6yLr1j5eJosZ/OPMq1TmW5UOfIo0Q5JGmz4GwNAkl8+G9LTr0uTITTzE6kmkNKid7ef
aRMP0rx24vyagvIDFRv4tAq9uJ880Llbmw3s/MTLb6WRAWOOZbgG5Qe2eM57XKLGU9fBRConqeFK
UO15+LkMFxXKX38y8WVZWM4+8hnWdKGAwJhf78h+EmlcO218NG2mAnXbbjBmTKfY80JafZiWrXbk
NqLP2mJ1WZdLsmNgTfmVo0tjJV2UmyB608T4m3vG+VJtLAeGpocTbnkWtbj35QIFX9WXcwAeZUj8
vduimtFEhbLWT4+OyURzTNJhHafzvRdYYjmB0YrJK/YFeKyyyylCGZg0buFs9BgYRwdXfVlZ7tEm
qu0wZ3o3A5RS7pDdmH0Oyq6nH9PHHjIfgxymLO4eGdOJFWxL463Mq6Nj9RBkaViOqQ2qYBbdGjfN
eUDROJROftehkkfvglW7LVNjXUNdXPvl0Jwjr/2gsTef0q6j25WKG/h1cG5SVPBV+4Zl8zLKK071
tmwZOftZBpKKwZyRolwgZmVeBXGQ4+9MjLu//vLd5bL9cutB4GF75LJD8k315XFMuRoMuDOMg035
cWCszeoNOGYGnrbKIDjcMiq/C3wcBl7QF7u69oixyutqp+CplSKUe93Q+PTT0Tm6dLadKE9wlpmb
qS8rojGLn6Vl1ztlh9+CzNcH7mdvHfq4GSRl5oo2aXz0WtoqQRr4u9qsgB029ndaHi6aJ3ZOZwSw
xPfM/ksSRgrJAJxCqwiC49Rb5dWs4V9GGCMzNObUTsvzYTxhUUU5P/waNBlVzuC0dCcQtirTp92H
iVByL79FerqZcTJilme/YGFhD7UfMu8nOjM2SEwLgyaCH0hqhIeYCQJaD/nbf3UYIt8VwFA4YuIG
G7xiRplc2fMI6tXxf4sX/8/V/5f1kpvAM7n+TXZu1Krq6xdk+gVts4yzhBCTnkWhb1KwPKQ7dT4Q
5GmfOO22HAxsyx6yJISbjyqD1u16JIA44NgzF268UZIZmsIxKWgZb//6Evp8Ov/rJeSZrOPUG9Lj
z6+bgtggsiowdPy7Fq6H/iEPQvzeJms7aZCkgGMijeNpNwQES2Hqp9tUl69TTJnsTrAAS/Su9uxO
K3dmA/Y3R0e/4MsF7pmLFJGtg+N7kN/+9bk9edrR9phwlTWSvJoYTEbYDa9Zgq4nkED2qnGYTobd
TkyjYmvtJId8TiRgxGXRi+pw89cHZP3e0X85YZZlAkV22EpxaF+q0qypDNnjpDyMFp1zx9LpfT4u
SmXvWPSF8cL/2rVRTDspjiPIzKT+yOrNKr+LBL1MaVnNj85bStUoPww45k52+ZNypgMRTKpXHCiw
yLF1i51rJNqm9nbOIkihOUbum5jR12TPYYcvuQfU2ONbu21cADHYRKsjX+UlGfVHCR70opISSmYL
2UOW3Odhj/ePM7mLQgDXs99be8S6700SRefRqSWWpgaMyyJgc8gOsRL3lqlqfxX5HCdzm0nb3g9k
b3D8VoyNr2x0TIe6oJuX8VaJD8zcsfHvJWZ47ytmAGXE4p/j0SLrN4+vqiQg5b6cx33U61983bB/
E0h9cvI+0EHjRs4gEvVEo7eLhqmIZgJKLAICcs85lWEsNm5kJ4/S+87Jji5WMdwHph3s3AG/cdiC
hlRsoFnkPHFWDJa3QRYOuFizHUZC++gjoERZGMqNJ6vmxIL6ioR5vrNGGIkuLQlnnjCqDZGD4ZvO
RTgl8V6U2XdXGOOJPOQIDR6mN7ZNBW4B+3te2A61HpQm391UCK0u8+iNpxw2I/R2z8P5rlixsK/D
DAqifdkE6mWW+9RmkBr107HN5a9pTuV9lyVv7jwN9IEmY+9pJgQgslhDlLdXg2VvXngIXufC8C8i
cY56aINrMvFSpp39jABv4Jv0+p30E3mAG1ZtmijAvuH6xHq0Y03ehBHdVjKvMdkBXZC22LO7kftW
clfPgFyPs53Q0gYAhnPSfSYNibjoqrjWdLghVVnAwMyRZr6jvnvovSDfFuWnkwqkp/cDjjfjVhBf
Z3pAqEjqrMHxPjaPbJsx3nepy2/SWUUh4e0CgBPrqCjbo2qGD3RA3T40lFh7TtVQQU8h/FRYv664
2I4GMOnqkzWmYARIgLbnxUW83NNq7jZ9LVqowgLEs3QdxBrqZPuf+i6NrF27e2k3FzPJyE5U2NZl
ghJHFcZGiDZlSKbYF1f5eFCxfSetfqEfjdSpHTzJmfY6MPV4iQTPQ/yb9e3cLX+Fcs9uVpp3Zi1O
Uc+2sZXb30V3UwS7xO8wvgvgb55yGXUVYs8WRx5L3L4EuottaMx03hqHGtHtCCN1CUVxg9Tb0XP5
FgjywLQmixpmd3ybZUgjZs3yZXnPZV/Hd42ActOluNyC0uwvvpjEM9qsaRXJJ2mEI9ofLJK2xgUq
KZg2RhRJSMTkIZWK2N4gDM4dGRGq8tSOfGn2tSMz3EldqIGqJA8OvuHMezXaNzBWwouZ/+hNOP6z
HTiQl/zw4i4HHWv/BpOit9gOspV2BSUYu+QdSWTwnaKw3vjQRHkq72srCq/l9EORQjXVNTOsfjag
J5f5urFxkBpJ4ZzNgqlCReTGngHvo53LQwTY+NyPlr01DZZy34wOrUY1WSjz3IvxEizKQAmB7M4Y
O9SAfPCyyYe96CHb20k3PntVm26DZH5KBaMCtwCdkxfNjSc5uJSZ4zdINM/GDPTeNXxxmb0aFwei
tA6iwT4fZut5cXgyZIn6E/m1sIjDbRwBJOC22lXaKc7KgoaEMM3+VshQod9N0JXIEL2woUmzBxDI
sErdap+gP7bunCeP/oSw9SFOld4KQaKTGL0f5WAhoAptg5OBFI2mz30TCv8BbTetjimRJ1Q/r6Cf
wz2VWkspeT258ZZCg61/Pb/YDY+eGvQPYzRaE8FPRMoJ+wD/A/U5IYeO1R0tbfQ38YzFOsv9uz7F
xOq5JKewzWaHU4QHMGRiU0w23O3i4LjRYz6MzY1Zlu3GjhFOl61V7dPh4gY3fJXZEYbMu+uT9YMr
tDpmHc+h3gBpTJvkRVDI5E6rr4Yoji7EAJyyWO7nrL5bktdWZWMZG4QqI8963RPjpzVAkpEQiG5v
NcNbUdrPDJwK0k4rsKmIInfIla7iNFlVdMavP9911G6yRpIdbNNxaLYmyP+dLV7tseFZNTgYYjJz
LyfoGD2KnMus5dGyiEFroVxDo8ivKulfZTYXtNmP8J4h1+2q6DRDLr6riaxcedq6mkUg9ninHmDz
JAgOLOBkPjrqSRBjMJfqvpoacRPRDncJylszpciu4D/NuLEboIt+aR7CECWoYQ5bY8govxVJCJnK
TlOMRcih6RogaFt3RT1dhrJ5ytDoBpizX7Lurc1p3rBjQZDgpaTcQC5OGr7gmDnukDuK6XPW7Hhe
DOARkpiqMrkpG+dcKJWcB/ADlGuD3AWWzdukEasai2Cdl9ZD9IsyUpwMf9r6Zt0cE6PcDkXunXV/
KITlHuy6DCCGZEesaC8zioZz5Jqw9aMrsGH1VuSUgJbPGl35Zcs2smsPfpGeKu/Rj9g9IKK7IjkD
O/ziVzBNhQgqYSjOFtTd9hWRjhbg4ZNJ1peKwVkEkSQrGEHfQWgib4aUfAd/9p7S0f9wu6i4+HZ0
Nec0uTr0QWuspCCVgumEeJ2wTyymJl5ZduGOYh/TrUsVjjefg1QfCU3e/9Itrv10Nu4zu4m2MJzR
c0Kc2mT4+Cu3T68a7Uj0+sQfuMl8tDNMEy4zHIb3HdDjvER2YQ4ElSbNsxcPr4PxbcxJQ1/BcTc6
sMde4Dyky8CD5/iRu8BbxT6VodMET9UA0A2ruusetMVrZWiLs8xhsMQPcUebkVtOs+ii7134aIx1
5r01VHuVtm9mXF4x9SWyJL8x6H+v2PnRdmp2JVas3YTcmC40AxKtnsNhxv2n8QSLObhza0imOeAD
tFfGmmxF1Loj6ZRtdW2h3sDW1SCiEvY6sZ0HSuqNjJehKpiAMCaQdOrnjjZM9k4GVdG9V+BPISzQ
F9fW99Ct2LMH2cGz08eG1sgK7sNLNxAV3LMMHAdoMqseQhQlMfEqegIqYQSUbZLsHRMkaD67pMfP
qO1nAAXNVPirMQUnyVQAM7k0SaoUW3PEzt4jZq6+DX2Vsp6mELYzluY4lI/D/CK7Nl/UzPEGoX+/
Eilm/dHN2+1QTx/VYI20b9WHsAnLBbDNwI1pekDAqOFRTgQIAqYUpYZnfkcbtatTPSDb0Pskdni+
B1lFcmS5juR4NsHkI6wzXuyWiBjo5OztiYapIV5pttvZePQKzNtRmmabrpBYYiB5RWzgKCugXVG2
9z0qgzCq3oWyTq7K0eSyyNGAiS59QcsuUXtINi0aRFRHTeIDPVCnBnp8PGNnT0bjBu07obTu2gBI
6LrkH6UuvEngLg4W9uB2QNvX9m2yTtoMHsTMSDuh80+CdnRjQVgCXTs1pAGyceoi95wtzSC/km/g
8C71RD5Fi86zMbIfspgQLJ0nhVy6QGjIRU8AAZXbdRvCbmzsxlxHwTvEnnvl5g+Vag6qr55a+g1A
JGly1D6bdLu4blLMK0UOvjvkwQfhk3C6jNtlqJMfKXLmHHf9PHdPUVvGZPHZYmMFKVsTwz+qNBSb
V13mBeR74rl5FGxUWvLoW7qBJpyNfVNFDxXCA/JXnebCCJBbokZXMs3NK8URS3bvpBsV+U8qNlk6
RbHvDFKOPhFiWFyAgRWwT4inoVRZfvz8H58v+fzx9x8Loyx2aZ6u+s9/HYJ+23rO2+frVD6wjn2+
0Gd8+M/XfP481Wa8PIVOnz/9fqHwTcAMo3n+/eMff9Xy1kPqhXC4ogCAAFaErhySfVXnfBX/+s6y
rSTeiOWI//m2k5aI5kh4+vyPn8f5+W+/f/P3i/54l9CXD8WcZDs0/vG8/jwM04lNCvkEpOxyLJ+/
/uX4/njLL6/5cuK+nprf77O8bdgVTz4RRsjRL6HDdt1uTYj8Wvc3TIUPfYI6YHDHNx8cE7Vqtx8N
4OiVF81XRuN2GJno7M8mGZoOT7RPGgfo9H64tTwK/CQfXvIIXkQav/UpEXQNbVBdOXh42l1jpyCt
2uh5aEdyDtPO25otmqW4DtutGPtvYVT4FzfPNkSHBCheIvK7mBCDNqlzwpkqMj+s/tac04bSysiP
TRBdaa8qziWzdwVKWnl5fmv5R2Sk6baw2IKxAYnwnwSoaKT5S0d+eJ+Y783gsAdOYw8hLIr0wLfH
nXecC+pzY5zfoFPdpWO0DYd+LcxqRCpIOBfdvo2FBGkDTuWSOclwzASORCw3p6Sx7pppmUMESLK8
8dxG0aoixQF0Kam0ALXZSnltt1dus49s9RhwrVzMCdsVUb9bbffR3jNuO1hmtEjIEsTFsRqw4+Bl
OoTkltyH24Yd2zokORqOAXrIOuCkwbhlutlNVKrZbWY+xLS6EZG6PzzIGuvWIsxFk8GjhqPi0lm5
8iOjZpMWZ6ONhp1w0PQlLpBdbO8XhBPW2pVGvB+LrrnQmKDuwShZ5sZ1Ptb+jUHSbD5c6Gu8mRiy
SpKUwxR1b67ZB0UDTDK3fUqswDtHfr6LG86e5U/fK+HfOkyT9k0i6OTmxq4fkJhSKjb4pZKYHm16
V1n4sgEku4eRrC0744GKLO4UyXLXq+Z6KJwMc87AHMv6JntjMT9TiOAlKzla2ulWos8NO+obD0JF
WF+7RC+dySIm7oirfjWWXk2QJnEsyCo34zwl/C7sOB6gu7gi8NiazCfAKmALZyNGKlXuoqJmkqMg
A6TIqQS9h0AMEKAarFskch+9jpZHxCRz8gkIh8i4yjvWQBgQ/cozDezmS72oDEVq5ySgkcsy2JDc
HR+I//pIcSbscmByAbjk/TgN4iBa5V1HVrqGGcXePFkYzC6CzKmrbvlo+pIzTSiYK18bCdF0sftT
ZwhcDMwOWG2QQyaO0x26KNlmw7aoiDkIDMTVQDyOAstU4XNheXWY4B35sE1tHvkl4mTHPN3kXbmd
SvXa9/Vwatz3hLCKec4OCEdp4Fv6Mnk4E+NmO4eopW05vzk2lWQRDzdZESDctz+YItkNUdmROx1T
Ms+hi3KQeRYcepcoqsgmGYwwBwa6AZq+YsYcymL3MnYFl74Vo1UucBKHbX1jJeBG6RzBak7TM6Cr
bdQwETAdl4W4wZk/1c1J2kSSgkTyTFpnJClaOSIGDGPFDsTiN6l1jn6YRhJjuket07tlPDBh8GDV
VgSbxhrrXHh2nHfTgrlFl+e2mdG1RHkYrV2rQLk7LXmuJqajOOxvsC5Pa2LDC77aShzq2nktOmJp
PJssR+GguXRjNCNyQKprVe2LSKNT64px31nzh5mMK0rmB1kN+/hXFxDsMI4kNnW+3ipX/OICHJAu
Ekg8JvazcAey3FyxD1o733aGi43Ikh22vukQWBhpaC6yo4KWadHgZ5tM2u0E1w/LVb7N3qkxxjaM
T2VGvIYibDBuiepYhs+hhOxYkAHKA+M5c0AwpvGzb2INlgAxNbEA+zgRl9IdCWmVV9L26aLa/dGZ
4kcjNjCOLgEjbh0QM0RW3b75cOJhi/icItSh0VLg7lwvaRjbLsegQtvCqpNfueHdea3JhRbY4xqK
FuG7Gh3wLqtxcJZTdpenOWZraW4ZFliu+GgtS26xA5/zsP7mT3ihkxA1QDfkjxX0MAhyCWLNgR64
H7RqO2ItGFwj2+HcoJ7Bv9TYNBMw1CrBX5NOurxFsRZeDPMakfNzVWmmE9bwFiCbWMkMBsfUTYyu
5/AZQetPWU8BXHHq23lWV0lBSYEe27232mhHUJQ5DmBFa9c6a+6AqDHedcLzYXBfjKZgw9LI8tK3
OAMc59lF3GjWr5Np1vCd8VFBpzuG2rg1a+x75KtjjMN5SBleA39hdhYFTbc3Cu85Csf4VJv5d0Wh
V7emhIGF5UYHtMuGUT1CPj2IwFLk2hEcPNeoXkgdQKEL0t3HcN/lzEnLZDyYSb9RWZuxoQ/eIhvB
eWoBCeuyEgaz8wpuL9khCmX04e5pir5gRI5PRKT8VCOv7SyioyGqEaKDM4cQJ+rvJRk+5sqEMTVt
PVkQ2SWs6pBLiJ7sN7x4MndDp4sdKIoWgOZ6DqJyQ5lfA9BaYXubzkMwD8QTl7D06vZeKnoatZ09
6m5nKANFLE9Ptqoxubh9c8wSqP1NtGzxtJZXbdk+Vj77eq8jmK4juQJdM1GjsU3Fz1J1ZWq4d0kM
Ct5o4hgpkbvBiplBlg9/Be58RKji7ilFeCwPTLZnjQU2bO0Ok4OiR0iHarCDHHgXC6cJkA7y+6EM
+2MFZ8keMcubR0UKzKZIEeI5afwU0MhEjAvbEfvbLXSdRzJfaApbMYlAJt08Ht8D+n6jhmjjhtaV
oSMiXRdGtFpSz3PbWaV9tOmXm9T0cfjwN04BTn7mrVgOoPzaJNulSZRzYhP88sKgpiGnYWuCLd/m
Dh0QmhUNY5hVwZjuXIc/izizsbW73jaRVbylJ3SfdIW37wSJa+74MJdW8UFfPKtJDkBmUV3NDGi/
hWn4rVsEy0miKY5EfTJGxuhFdQxm8IwI7vdO4M83GWG9+L5J3jbkh1OGHnOR1LqaCoCStSWvjSGP
ttjQeDT08iUU8c67wqBrH9jt0KjT1Ss2mXEry2rBaiXXtauOTRJCfGGAudMuGQ0Y8XYehICqT67w
9xAyBaHSPfkyuUxR7h8mc7ofgz3qOdxmTbNXCfhspgUsEq8yHvCQbuNq4vSIrlqVBiOh1odYa3VQ
Hyr7ufaH+6nUz3XEOLuO1LeuGuXOmG86G5eAKduLGVGS2Hl7QcJ3MkPr1tAwpJoBe3wb3Shuf6h1
6jpxeug8zhKLsPQ7tf4WdLAYy8VAMtrwmchm2tTsx7hGBCDOEZuNRrQGlbe/EuG5HNtH5gTJ2jPw
CND3v5/FbYtBHckmiqe6JVXXnoJNn3A4/5Ox89pxHcuy7a80+p3V9AborgeJlJfC2xfihKP3nl/f
YzOyMjJPFy4ukElIlI5ChuTee605x+xKazeTlYE+UPf6EbaX5cxiKl5dcM2HZyMbbjulp/ZZUI+k
865IV2Pr3GUNCUNwDLsDpVuK0iQGBhi8qKZ87+x62us14iCyMWkspSMmHEkqGWJL7SFQ6VF1gSSt
miZW6cgMQPrnAioy7hkWsCzmdyZA6QKr1WHZWAHOM3wph0QQm5YNUWCEF1rCmNDJ3cESm0ZgfGdZ
25FNk6+KThA3NX9V5pZ6GFKJyWJbKm47NNFxMB/aKKRPIKXzC+pcL9E6a6ckzngA/I4CTStOC993
2fwwfxmuTJYOGM+WfZDXjLGKD4ka199w5EjcAvpEE1UZgnaLj3SvC6Lxgj8HLMUn/LmvdZnlTgGg
3CCztO5odJiV+7LVqPy0xWGhE+cR64eVNrQgt1s7eFKT1PcoCU1x6e8XIHOuEeUIEcqikir+fET1
rcl8ZxcLLBcl65go5HwmJ2eWENtD6WpeaDTXJFry+PKkcUTxNqpk9c2azwW6bQiFR74BfCk31uR7
APmz5NJLlZo2eh4io9epRtT9RGhaaCQQp3OMArHu5hEHYy73LawIphUcAfC08RGUh6TJ0sN8IfAM
Arvu83FmIrDwBUR7x7emLeWg3feDYv3OD0mjcHybbbx6zEWT4lC1ZJYy6PFJaHaTQsn6c9nEDBXY
YXSaQIKTPgm2WAZfC7XvJTYzNKglFChmcWR4BwU2HbFJpAbJDO3ydlfHs5u1k3qI4KBhBrbVl8SY
270dJTu03AYwleBXZVaSp+Ucv21Lfu6UtIdlQz3bVTqLqTIm5fWU4nCKC1hfy4PLrVTcre2STgr4
V9TYND1DaWIQF7U1qx8fm7SklVOtAkVUcNSQHIDuoTC1iVJa+8IY98IV8D0fVgigENH0JKbS7Ucu
kAAa7eWvoGD33A83qX0kee5RT3W6mX5PlVd+nFnXrpCsXquj9qSoyiMo+2bd+v3aycxbP+o30zyG
lM67PXPizyJg3vwaGN1zhbEWVR8vbeT5lSUNNygwH5ueqANfehhNZiAWhNgeAuSsVC3xAm+Wrv9C
fHkz1qB9nRJSMZol0lvyo0SRf20PlMxVVcuOWiuyMTSBJm5o9WEsBN/FgVFY0ykJZxZ1YtfPpqEe
RdMBzHY+tZBPeDAli24rxazZxWO/PTVKxcG3vOTysNy1lleP+tNvz+udHn39snN53twQ8iFX+rlI
iAxAjgsJYtLSNa2Gr8oYzsB6KbU70bNPE8+tqTZl5SQ9WMwA4Ic4RF7UBMBIxyz27WMNz8QzU/kM
uhUvtYFRurGvfEBhiCzUVVNp7WoI+EEA5Kyi3r/VNdEJM6QNXhvWsDJXN42HGpvWRh9VtI3b0rrj
lFPkr64v2qtyXEf5OOBprM8KF4+TaR30IcKsSNLj5PTxrZYVYFcmJjd5kcQHc4yPYwOe0yBCcF2L
2h2gfvoYZftWIfPcFkg+KzUDcFaoO6mo7ln2W8zpsOcaOpe7Vt6oaJRd0D+zZ3bKnRJX407vAibd
wn1mM8eYGK63mnnRamdHnkpzPc7ptmpk8Ii+uic+1AJ34NTb2B53IUsWpooorkNE5lsqkaz1W+XL
skbOUX1ym4ROUqzFz+VYUKLRZw/o7noanmQF8DaQwl9KlLYb1TTfcUydLbO5aav02myDD93ICbYM
JTcITiT69sSgq1s5aYw9wXzrQWbyOzXb1rD7PcvZh6wGzDcXNOqUbPrA0/9YqVqwAXMwrZvCunB2
PJCxjd5ACdpVptkbuw3f4mZ45mrPRyTTT1NZS4Thve6M15aByIl+/5wCc8iIBd60Q7npsSnRc5m7
LZKvT+mDddZwim3zXiEe2UOEarl4J+5xnBDfB9FuLbVpuAYt8EVYtb9t5rOfY4el03agj5k5Errg
2t8YyXyns1jJDFXZKtmTZurvxP0EnLr0PuirTZ7QQkPvXo0W70fzI6GlKqN1RxOp6/1yG9XZtSDx
REhtewK2BknddU13yse52Bhwm1aS3q91ObqWNOXV0sLrIeivY8QARsqCctBDONJ+UCMaqyhdkzwk
yZ6ki5WmVyXmcSrNq1mjeZWgJFEN3KWWOt4HCk1gQIofhFOpVBekI0lICJO685iNLzr8zlWoDddJ
Yd3UJrWK1riVh/4pTPvnPAzPloHnl5q9EZfOKp6yV9tCf0bS90qTOC30oTgVef6LX5/0CT24MdPw
nbkWtN883KtTcuJCL9NX+jCb4tSZw+eo6J8dLXku0L/GFEFbYwC6irrrOc/qtdI27Rp7wMnKpreM
3IYSoXmJkAAIk8zZqVxrzQcamLdeMV/V+xZ0EeUdLpRzVbxPssm3H36OgNTpJxnDOhhjaOLaSzKL
UoBKz6LpHydHBbMRxYgF7IBTtKVCoZFyW4UvHJeRFxM/w2GqQdiVH1vbDN0YnTB1eHlTiddBL1Iz
qSeodxqTowZQXoGCS1dVJHFJREX5xEij1REyQIu5Hilqck7sW41fgAirk2ZpNOl540kjl65Mqmhc
tbBW5pxWf3UMO8IgUjmn9f8U2cTddgyrRHJR7Ot9YZ5W10ldrlrJuAI9X22VHFSVBCd2REOuwB5y
B2W8aL1JFQxf69Ql276uTuZIY4PF9VUYqIzqV6WwDenVQ02R1wyMUztRu7LENUs1wBT64V6GL2vS
k6K0pr8PZIcgAancyVZCVxUm2Vnu7u0mvh2aYQVBRxmhaMQdSaC5ROkXJw9XKw5AMGOU/7JqJ9X2
jrNU6IT3AlHfadIv37Fv+YYnZiKM7f31RAzDlJUehA+3C/2D1LVXUOoORWDsCpXKF5ZXMM2PFJg0
S/5C/Jx3Dh0CK7ktiumOPKSncoDl7SjpoY+yU53SAJH4eXoD/aNCAUuJ3hGGJKl2oyVYVKzWeVMM
uYEogccxHLQNfBMUNUa/Joq8gYNCdrLfICX5FaClg1jtv86D3HvCdktk8BBK18QFwcGdEdTQr+y0
N0oTBIxh+dT98r1txyeduk5cNiarjE8Q6GS/mT69K8vYSm3zGEbmA10LimgdFeQoHT6BNTBmKvaN
HAXbrnrxZeDVrLIuciadY2V+tyPncQxohdIpRBDn+S1xWMQVPko1o23hlO9BSHo5cz8GnppoWttX
Ng2F/e+8YL15ppmkr4fYLndYFbB59T26NlVm9jBOBO/1H37L+iXpZiIpZAKrwkwm/FCmWJ5/yZRF
GVz7m6D2OSlRE0wghlkm38/NuwQ88NAlMC7Utj0qvc9BhKAfFhL2aWBceYWorQjTDisDU+Cs/zUF
VnSOnPopgDayMhvZuQqopq7oJb8pNAV2uJ8ij2ynbB9yLdElGhEIEzJXwunmzhLfZ+wrM2pQSqCz
qoFxoc4qWxOJWKF8cYSMHrLIIbCNiz2a+l013Wl9glKvQF4BLYhEyjamT2F6fEp0P6K81FnmO2iB
9ljN4BRJapIIWYSzDSlxp7EQ84irCGFPBAopVsjXC5P1pSzLCu3n5itRhl3qIHuKSJ9YgV4vXQst
42qukVblXdYeohZQx2iX1RrawL1vp+Ud+EVKKHrTb5luRiSJdRSgW1IxcmO6qejnnRy9tU5mVKkb
vCWwSSujOCmZQ5iVop4dNX0LBDDFx0exH+mJDY5VnTqxgSTWeiOIxhXePZJuhe9kGtMjAdz2Vi7n
/BhpLBCTRFSWUEse6rRzNsKGOaWZsqN+dmXGqOeWjd3NTGYzN6sMAe+ypkPUaGiCKOsHJgRy/Pzz
WQEujhyhoT7GUHJZNsqEcg8Y3sYiLc2mcW+unEG4EhF9rpSWNElBiknNEWdhnIW7HtWvWhX6aWQw
XJd+B1+lGCeI2JB1mKv2d9a+DOX5zjaSHAOHoR7NroDq2tL96rOhvm8VwIS4IpglxrG6tWMOuaA1
pButeAi6wrpe7piBMm0U0cMvABf0ujHonAZICnQVRXdCTvolnEPGVZPZTEkGBWEYfD2mmuunsM8/
G72Ntppam6d0xlml1NHOpEMHJ6+ZMfAj/rF87eJYI7K5zpc8M8EWkVIJXuvWoAMSVNstWZfUXOPZ
XA19rTO1lGiuZy2vBqlNnwu6/JNMzaV1LqO9HbRyuuNVXDVudxOD+lUSV4qr92ANceOPQANNXnPr
R5GCKZshrlETxIyqVPIjj7CP9I4lQzjvZ5C3QDe0veRgMQqZTqSxEh87oCVFbe4IQbhtZw1cf6Rs
QuGzxERHE2OWzmNtdESmMXc3gax5yGNal9MMpHrr76QR/79hVxOCUa+tGJmihn+syQEIAAHLMynE
SyV1xaZpyXjpUV8gHsBESYxThKCy0RrmitBxU/266OO9QuGPGZTU4F56BEvMVU4YersSVqUckEEO
7mE9aII6yQDq6XbsKXow7bEfnAPC1s5hPKbbua2vylk/zU2Wb0YL2kEvfQA00NGSkk4WCHlLgZm/
yfgi0OuwdBVASxI8aEz72PdHrjBz96ZP02Xu4UjlfULPc4Rx2gS2GzKH0wqGzRxTC1A4z6iDyLOz
CTpfr38l/lDvWqp5SJzGixX7R/H/bDD6xtaw9iunegoRidHWDOshPdq+el9O0XRlDxKrT67/WgmL
ZApfpBSqZgN/R6RxjlqCwmsinQvgIDVPgZeJuFTrAhiFAGotTSQu6W2nu70dvKVxg6BWg84eTcV8
jqP3NDecPYt9CqhmQ6ZVPZVbnehGzI9YiiXTOCd5xYq4xpIdOBTB6uRA4RWMuBa3otYMlNCX6ZGZ
T7hk4us2GJ4rn+lH2HW7PGDBNg/xyYkbsl0zHdZ8JyzTzojheFiZSlvsgkQLmM204U4bWVnHGVDS
DlqRWg3+ATwHZyVxFbeaopKH+eEnTsgcHMU1EGVqmnF43Rm9tPfpSbcBMGca/fiUQuXYxKNNuASQ
/CTtMy+jRiiOcdnrNErDhDFVx6lVNlXOgDGN9j7synovY76KCavwzH6+SZX0Oqwyc5c7DaBQyJyn
3Cgl2K7WFePhgzyWL5xC8j6U0HoSHOHsLWCMiDulKxV8pkoXamt27Vsex3DejegWVbFwm4ynKdbP
ZhfZrIKZXzT58FgT2T6bJB1P9DxGk+KsCaQnJIpibcZ0SOb5terrjrKicWpk7APkLaPU7zi/6SL7
WCnjA8dXRC2vvDbqeT1WHeYfq8R9nuv7bkZKE9zkJYkYVmcc7VKCR0IzGAr4U4oiQjMAeVCXxdCd
62/KrEibPIHX2NCR8CIyRsAtvi3W+OUbI0C2J3n9CjJY4zfYQueHkkgNkZdQwikFbYQusgblWpCH
ukqVMiB3TTJQmOP+RCFCHZgiha3Hp8YxbnqBZFw8wIvZTx5a4wiiD2eMMXYryzDmnYGi/1Lqt8uz
oN6j0HTwtIIpQOydMwfpwwYFVFg5/Oh+xGIaIYJqb60BiCc2DGYFsX0hUaAgxIPgSD2Pz7CaV11l
IhxJbAUIhj+dCwemJ0QROSTddrFmEkr4FkzZPWt9emZzuKP3AjouYbKJmwYuZjgEhAeZFIObWfES
I3rLdUSsSFqgeQivvdLrkMJo4C7EQ58zoIxQV5lzm29Dj6tDSHgrKAEM4Jg0kelJOuE86atWDti8
kY16hSBs+TQ4ySSjO2jBLqwlIFHRfayjigL/2a+Dyt+nGt84uigS6hNlYQV3JppZsP16NQpiE1Zj
aiY7veyvO40ZVwryiVYW3W+/Lr3G8UkEEc+0Eha0yyU1MYhsCHT/RUCEgxaIKDEMJfI1VruwRVxY
919aD8okI3t63c90aBIM1DXWEHRWoFMlalfqB9dTYWFLrpWSWtyCOVZs/kZSEdQWIoUY1MKN4v4U
GdovixQ8ZtX1pQiZUZMO6AYq1/mQ/jFyRs4F40oadH4k1QBltfYn3pXdSPdjiqe8jKeXtmMtZpZ0
faSIH1svZTjHMRMjCZUZKFBBUaYZGa/43WlJCLbwiMKDAufWQlyoZanIpQjflvFkrqw9SOT9FF/3
qvEewuhblQ7/ZCnf1RqaIJ46Mpcc8/45JL94rRSShFMzxw6NCIUA3eSixle6ouVbsxyzY+zEyq7G
QNB07bjJQha5tsp03k4H6cEM2/EwKPqukuXL3JjNua669lzQc8/ome6hT497MQcGE11dpxoXzWjS
X7pg0K97ppHyqNYY/gR9Tu2vk1Z0eGaXXlvuDgN0oLwzX5qgTo/LRuq7V7INgwPUKMMDoniSgk72
11TmeldhEXLMZ+spHCTks8aknqdRjnYQojRWO+MtzXbAp6p8WxqtueFaYhy1zj8iRmE+NDZuyRJ/
V9nVq5Mq6rpqlJuwE3xnsIPf8GcOKllQZMNOf5YsmokxwGbC4Zz+QLaRZun+YdYpgvIpT6Ozp9kD
s5M1P4hRMst6lpOtvSMjwNlS5DdXaBFo3IFjSge53k8JjqdFdqt0EKgVFTpCx6/HxKBfOUwTBrFS
U2s18EhvwLko0F4amUxQq5/jHiVoYuFmYP54Q4zIxRoDLGWg33D3NJmF2rSOOJYG6QJeFsr2zKQp
NZM7vTVyZDifOOwEARQBtsJqfWWhHeK9kSBd1JVXDeZjW9o1yyCmS3BovbypHmtmxutq5Bq0XIgo
rxTAFTRnVQoKpp+Sc51qb3MuVqOdxdo/iq7airPfoi9B757JLVDzMWJxq+X7zKLrT2Wt9wCjZTLI
ElL7qp0MJeKb26TqKDpgjPPXuBp3Tf+kSBiufaZlOlwYpvq0jFvIaml9wPWC2rZnUF2+J9N8lga0
abqCZ17FMbS84XIe51XAbEsegoeZiaDL1JWxHgaKQnxkRBN9E3IIIExRPqcJNivnpCsVOm6sDrGE
PfhMWkcKmbjqqChwrkaygT0xj6kZcMFSF1w3cp+27TtmPTQdwpKeqUW4PW08Ml8OtRW+CfN/26Rv
GanzQkiL2FuRXHUStnO7vwuU9nHisMKjBEnlj0NQrml6x3i+A727V9w+4YqVTFwf802dV5fEmRgf
7X2khM+46Bs3HzCiQYVgWsKTitbaTpnB0teHME1t7VPGwE61zHblmku+f8mAsa4aczhTup7WFjiY
dYTy0wgQmaAPaCAFAoGysboo2S3r+IsUYBC0FARz4nrVN5seUQSafa7PzcSCTzCjiNq2aVlyFbPU
+M1ppvNSUsdGAqSKVTwyCaL6zHgiD8skZ0dccgW7xi8F5SLJrkurO0dcZIC0v7VKV2Ej5tOUcubN
uU6vf95lfhO6BuXzlSR+x+9rYjccJCUZNs4Qv6U0rdaVhlkmVdxI7bVjGiOgMAZnnQqauz1dsSYJ
LxVdqFVG3faph1GKW6QINqkVTE8ZnkN5sEU5o/uMKOjsIPjJ13Yhf47jXeAU6iuFChTP+TyfIt2M
d4ZGXjJ0Qc2VKFAVspweiAzYR4banbWx32c9iz9H0dVzzxwnS2d01sXkbx3T4TwRpP0c+Sbafg7n
EuTBqrJI4A4I1YvqpqK/m78ZuQLAQyRNiyOkVrr31pkeVDU/wxS4DIK05dfwbTG97+Va31P7ZpHT
KbT1qDMP4ugx5IqLFLNEWVwJRidhmOWioqWSxinFGacH9utMyrKV4nM29eRJDLKcJ6gOLI84oLfQ
8u+LpLrJZ/25ncKPNDV34ZBzVYuNbkVVY41opucnte4qptfaQIVQi0RlP2W6q4uTqBr5Q01BYW82
hBUyK6+AjK6x+nJ4l0w78N22q3mi+CazbCGJPHJTa7cM2D5rW1k9YpojVDMwUjem4dHFx/6o1vZb
KdvgZR3cgeo+VCLsWW357jc2xywHl9wZ96NNn1wnuMp3cycj86fiEj0hAp5zBl+759DWaaQw+MVv
JmZqiILOTpy7atzMm4y3M0r2/dhyuavlOCFSu710MnPFTkwnoGtv9Aq3sl1c+QJlLIM8rRtK3Uag
Xwp0eKvlndc9Lu3YnK4qW7rrBNC7H7G/MYsoZ+eiCm8wwTYoIC3sm63DRS7EazVal0owoxcQ1XK6
BGCAMUicJbTT1Bb5fQULs+vieG2UzIB8xPEYNh5NsZvzAVpqrbkYS7g64K91M8AfBZkM06RfpCrl
W9CtmguY7H9FOiBUsV+ekFoxdbXdtEcqhGSo9it+SZ2O6XTWBx/enfhb4rkNFzjwSKuC3PD1stwp
wTevVY0zqYvOOKJElZ5BJ8yJdrY14ltVyiG5RLfE5GJbdhwUNp6m1Kz58TLGsC5L39RMO9SJjX1M
cLLiKN+lFhVFPxACOwHwnp148qbsaNjwqUKxts+k+Uwu+rtRslLxM8bnkBK0FZbQDyXZ9Jj5PPaO
70k1izuOflIlsQws1ly79WmgiyB6hwAwnyjQqmEpnqVMESzbgY4fmjR3MGRIg3ZXqZA9kbeZjOIg
n2MKJ7bEUkAMmxwcBZ70eYtFQ/LmCvcZSE+OudeCXw5ep/PQYKxRIukmagAoRZlD11TvWDJC3vJr
IuUUUrJcv2nu9KF7bMUqC3r9se0BwX5TDWXa5eFwHePtdtM5eluIgrVubjuHoGBT5IJUuDgwINW7
AIk/GssZScnsUDIWx+Ow8JGKXufdfi3Xbrx0FBoUFOxjsevbfGLeyE82atqdXZXxxZr0zzR7A2M2
PtMGlSfrhIsOIX6Kphcn815LIqi+oOBxP+uOa1gxIS51lFzF1B5ITQHUyK8Nuihz6IEX9h3tnHU+
hKrLS2wwCiMPwn2ncAbtdbJdB2d8SLopdJ06QYQzNbT45Raov2UOLpIeTx4U/yzNXLFUa7q3NTRR
nPy4NXpaKxVxBX3TQNzGFhFbCNkmo97r0VBt6umqoeI1o1uyY//RyZV6X2LLQYdjbvsA1+BcwtOA
GaFEUYLV1Kk3rdYxxgZMgDA3FGs7JAZgrNprsEeYWqYkvVU0lDcFl2+MND2iPrWLzw0r+LVGES+X
5Px6ZLV4OyPg7NCTfCN9/utvjILmn//N/fcCW1oUhO1vd/95X2T899/i3/z5nL//i3+eo3fWusVX
+/981vazEGi/5vcn/e2V+et/vDtBBPzbHW/hCt50n/V0+9mw8l/eBaQ18cz/3wf/YAwCToUx+OtD
pMxETVvTGflrUJJmkm70F/P//6ETPk0F/zT4N//mDzYhat5/yIYGjUswOERS0p9sQmzHPGTBZQFC
pS+xS/9KVzL+ISuabjJMw++BWQ/Soym6Nvyf/9TlfziQPBRZBhghWzYouX99/OtvAMH37/bvwXO/
UXlkWzZkRcdNqag6f0f7jXGmzNC7aqcaLlr1zABjMdhWFETGlaFf0zX9yzfzxx//Dyr710WUt83/
/Kf2G6rr//y13xhAnH44Fwb+mn+evqi+mo/F6CJm8m8gVpO9aDwVyTE4a9viPkJr9lx60Sem371O
0A9Y7jWG4tPwqJzQFu5pyhCdRLtBIkLSK75pnH873P/6VhW4IH+HSgDjABZFtU3T4HPw4/0OlVAa
hYu3rpytRoZFRY/kkIuNg30MVYgI1mNObq3LVrWhldxbzTzuJVLZqdNUBlIuPLCH5VZM/BSLBUre
oUoOCCUZLildlByXDbiGeOPr8usSMSgFw3jQILxTKilRN4rYQUwGRGGaU+lWseO4CbhMCqlVv5lt
JHmtcC8tG7sJsfLlM5ZHOGlU8piwEvtII2oVCe3Tcr8XorDlLjPj65xM0U0isutNA9NPodDM14T+
6WdDOml9mKzYhNxfXJIurQ7LBlAwiAADFeifu2olwto1W0qy4ktyXGUEASGLzMXOItB81XUEn9MF
RTcr/iSBn+our0p0Wqh2dEmoaMxlu+yAxYwEVO+FtFyZ1oNd+1sqMJtCL6uD3uvlAeHOH7cccWu5
26BEbBUV+xCCuWxRtTVC1bZsKnFLGekQDDK5EI4kI7STnZpAPx3l6c/9Apenl47+U5VWTBEJi+gV
xFpZjQprNuSzHLX+ZtnVzhKVOaoaJgF/0YstozwANPFlk5jomeLesmvZ/NxVqhheA/I1idAtmCh8
fkNs4jZAWLF88uVXsevgZDUZ1U7xeZdPudyim4HKa7kp2wkM9Dm++/mEasK0i8k1H9ZaZISy1n2U
odQgbkayZ48lB+nPh11uKaiSdpwO3k9i6HIrIvxgS7DS3h6rgCa08SjJGo7syA9wUQGvVsHzmFIj
rZc4Tiid/GlHbYON3RWP33c1W8sP01YVR4Jh/CuMczk6VENWdwPD2LJ/2cUvjvXC4ZgPnISvqFJH
dHt+2s1rJYRLaDewOcdAQsvtULLX6R+il4H5t9KELnEYLG4G+VR50Yx4ZXSi8QB7lVoTYWFJkUNG
F+9hOWx7IfP7vjV3NxlNUswafx6vJUYkNJjiKG4KuBSNX5+Xd1Msb+nPjRGVxcEhtQPVE++VOjFn
HFnuu14o/HybSwWdI3Rd4u6yGf+89e+ekuplsqqbSSLfh99LnjhCgyxBamhgtdiaGJAVh0N3eRSF
a3347S4ORnXlOA3+V8o7LJKouWlEYije8k9oNrPsSrvnn5dfbrU0FdDh99/PqsOGs24kO7jGvHwY
Gs78SWyWW8u+CT0Vyt060gFSsBBbdsLMQjJE1dr7fvgvz2zlT6nHJReLaxY1h/yw3Bohi9TPy82J
BvnsLTeXTYWpMmTI8PB/Ynv4eWD519XPzp9XW54j2SDs0tyO3eWbT/78+k19QDIiqbcwQkhUYZyd
15wj5SEwxCWKlosDcAdq1fLRrIDjY/m8ywYGSLLFtkqaivjgujlzvQtx62ONE9+MGqq0OvCDFYQN
04/VTv5keYZ4ke/nLs9a7heK+scrL3eXB5Z93y/3l38DGDfbAsE7KrXK/JagnjEWJ9m/e5mffQRJ
2DM1v/bDagpKvYRIheIwtQdj8IBz/FruxWKXLI7XNJxNd9nHDLw4LLd+Nr/vy0YGFdPQoq3Et4Eu
G1Ht8px8Dr8m8eH/7b9d/tnPI1SP+Xc/95dbv/8p8Q5/9gUdhhGHr2FitV/L6lfB1czrxYCrhYpn
jWW6k3L5WfdJAF8Uv8tmEKNeRSvWSiV1LLc9znQDj+cqESE+6zmiUCq3IAQGnYDjZWMb8q0WZ/VG
E+PQz2bRIf/cXW7lUfXZRGXpUbXn+wSstM5ZqGKdZZjLhzaTAeyjb9OCroZwz8G/bNAF/3Hr931i
1CN+mqChIhWHveUTY6bzZeVDg/5mqlgI0yyKBzjOqqPv7bQrNkndvvJ19HuknacYDP02Mi2wfowt
ctYfsJzc6Vc6Aojvv744d5HF8/qVXmBBTMj0sIk48CgvychLE29CFQGXEmGF2hI5tgjZ+6wZmLKJ
oTNk6fK9wUKL88gMZopgxQbaFoDE/n35bui+5cWOHsG8b9RLKr6R5VtahOmJ1VzFzhxvg6bBFzEY
X12sVccOtTq9yl9VE5LDZgU7J4FkS2G/U4rgoAcPYczJ24gZ1qLDpvAK9qIv/dsIDM5m2ScOBw3k
xo4oDt5wI83OfsBJozCENJXVuEyWbkzFeWyZ605TQIN5OBa1KIY1mbk1gnBfGejIFJSK35tZ766w
VyQsX6ednhT2paQCEarzfUUpYINy8NAP5W2kMMEpFKtGvEg91s+tmxgW1lptYaiQGJ8dlo242B6c
bPzj7vcDIgczoRcP9RgY4LL5PgKWmxFe97WdsNzGd8Aga0kXK7TUtdzMNTwnHRcTtUhyQKhKzs2+
t4fgqh0NWtfQ8lajyrzV7JC5oCZF42HAhSJ24asZKYKqYpBbNsoySos87OUuvl9lOwOZgrvyUY7K
dZ5qPanJEmHf4lYVZyN1/7CGCsVJmPEJ6NLP/DJ/uU/8bHWgDCd209huvh+zuXT0Bv6dn13LM75f
I+t6pmSYRFgTQ69dQxYrD5XYpKlNM2q52QHzAZzYt66F2oOUoMERZUXxrDJhHF+etNwaxfV5ufXz
wPK8738yj9EHtq7GW/ZZmGMgtJPlUObdATs3pjnKxHx94iYHOy4WtJx4Z/32sOyzoPHgJq1PoDaN
/bJreTAMhk5M7Vo8FAk2euynMBdrUA227BHcBg6uM65H39Q3HCkM6Wq4T2tUWINJfxHahNjX1p+B
HdSeCqz9sOwyAH25sgYgohXP+Hng5+6AsBu5KgJJyoCrfvBsifgzvMcra4vq+ZJug5i6w1FxPMP2
hqf801ay84ACjtFx27jmfXph2XELgAU3wQp9/e2EzmvctjFFMcr/x8pkeu5O9W0znOroIlZJ9LXo
sPWPnfqrp2JH5nZqe4lKRO2jHl8p8TYDuSIdi/jKikGLcc5sLeVoo+iXYEvlpxzf1XjqxtNMPIvj
ZrTYpL2NldC4CaAMOm4Q7ZNsn0zFuh43Pp9rYx7ykw2+jBF73b7PgVt52VcVkhgP0GJtSa81kS18
/rvW2huUMOXpasLgmDxhztMo97rhA3lU1RusSz1e9+p9F6KRo9+z7lYjKX4YWaQN8dW6trXkjZnt
u5JgqA2QgEq/QjgQP9TxdSO/pWd5U65OxqH8hXvjMlIlXtH5WM8H7UAQ7et0omX9Ra/vF1FUvVe4
iCq5EtFNfXW249reqx/KDTmW++RZdsvHyqWSvnPmFZiOXb+jvreKri3PRNd0zaKzXhEM5mZnZVe+
RSws2wuKjLb0EsRNJGoiLkJ2cqK1WXYbFCWExhTSynffQCxf5XtjM9+jX9a95Ea6BJ/TR/hYfhWn
6jSy8l/XXvacA7Fjmf1AMJ5xUe+bZ939bHfzcd+9+nveVbSdt/QvbzjnSIK9PmjjziL1ZjWB5IIL
SUPGIpFnpW1zQjGr5zbeReHtEHhq5db1xqx2Pm0Le5VmW7CIK8dam3cEnAI6kT90qJZEcbyQ1IT4
2xSYZBcli1OvB/gPLGtx8JG5QnFgPLTBKm7WyBFKCt1y/VofT9aNw8fCrLfO70yMRuAKvQggFa70
J23GN7lFS84VEhSZ9dBtZv+E1OFGdfNzsBlfqZA2H+oJ4bPINHB2AWCZ0Z3uUpghzqYddy0pK/6e
tHr4TnAa8l8aKUvz5qXN3BhmaLIri8uwkd9LySOr1ENvygghr6J8Nb1ZH6iue6ShxhHTjSUffabC
8A6vCGNKHqtpfTTuezhfR2VTusWT8REyDiKiJjoB4eBtILvWS5+vJyBRrw5eGRpmZK4edX3Xv073
TnlS9Z18Yu51k74qn3K7pjIhv9EJQij8C052XJ2UYs3sZ5sT90we1j5ljmKSWbeegBLRtSNj6Cnf
tsRoQSt6NN/6m+zafq724zmToaXjgztx+pOuavvucNcDGAA39/G/7J3ZbuPYmqVfpdHXzQNucnOT
vBU1T5ZshyPCN4Qj7OA8z3z6+qjsU3mquguFvm8kINjOjEhZEjf/Ya1voTD/crl8xAbmEMgJchNT
sofhmi37CA/vf0v87QW3wZ2JLiZLF6glG6Uv/TJ8aL/Tm9wUHk3aK77Mz+QV7huxL0sA06pln5h8
r74XJ/3OdACd9gaHW7lS12KPhm3+Aej++jY9Wy/a3rzFX1h/7cDDDWCtdeKw1+o4biEfgVqbdvU3
JNJ3Yy9P+oGFav1mYHD9YBmTHIDXr+RG+wHFyt7663bFyPmVZSpnofDoCsif7kGAYPxjocSRTQNx
79+hfdQIc/gVQVmt9HOw5kz9LsURbecLZAV+9WJD0me/Muh+EfmvjC0O1rv7M1mjbd6oNVuX92xn
bTRG2c4Tm0e92ZDSvEvXwRGHxrBWkjzl4szlFm8Z0iEiY0jG5/DMjkOsGH0dM2zLpH3Hu/nKZNkZ
t9ZuvP/298GZznOf72cu1DTxnFu71w8k9/YMol30byvE9tDtjHX1wmt6aE/jKklIZPZyPqkBDLpV
ADKOxHQu65v7o9JJ2mADw/5zyxrR5JNvrGBa7GFKOXwOdz7jnV2wSbxqF/8cLtDK6L1iDTyIl7tb
6zt7J/LVyswzz846OFRnf5sd1RuaIGeHMnaPcPTJZoN2gjtc7k3uKcj51gQbM470ye7afE1Pydn9
kDcyfi8Exv7CnG5dxyUV7u/bn4PxA7f9ck80OTayPm33DI+OOhuoXWj6V+FQ2CCZpUsv6Nfl0ht1
w0DQRaO6TWQ4P1TsUFvvpRrQ35dltzaZgB375Y88vgqWhuTx1WCZhGH99aWrR/omTvsTWzagBct/
kz66m//6T5tJRRXTEDNgQ7MHAqq8pC2ak2P/CYvcpqEK3e7Y/ftDXONP1cy0Pz6+evwL9O7vGo5u
5kjLImuoJZ7mGdZNYhwaJleoKoU3z0BG/voSi+a8amCsrG0l2VI0IQXnUPkFS+Z+PIalnWYrrJMx
5y4ziPjxvY+98GiTXjclybRXtUs5recZo1Cna46Pr9pwaQr+/r5m6LiLQv2kepmuy7QGCSuy/Kgv
DxBEKHqXr/7+mXD7YZfV3c0H6xUJPvwoDkjEDZZJVpULSGix0HZ+8BQoXT86dkoNonIyaULIXN1S
Sz8eWuyaYKsIEF2mC38/BMsA9O9vDXiwW6Lhnh5TtnHp2h5f1aXDkfv3D6VaGDWo2KBJ0gUqMCC6
nOX+MQ5ul5Hg4yts5w36VEPfZyE7ayVeUp2lrQPGgNsHHnvodeXJ70piHnUhttLkPO7e0PYPhwFP
vmaN7u7vAZLu5J03JUTI5egEM1bv7XxEVhGDwQe1ZbgV7bpB5dn10RrQBeu75Vt9iBDXUSph4Hgl
z1zHnDtivw1n8VrWTrVlBzAe2QOMR1eM5g7EyT6Yl3e8ltb3bCqdTY+QgdXfMq+TgAZxGDnl2il6
OpXl/fr74e+f9b2Om8I/s7nLjgIeI6VSV0wLue4VDRpqIgBetq/2qD4YbS8jumUL4ll9z6m3zI5l
swxT/hoe/z1MxqDxbpHsvEjwJKnPo3nEtnmi98WspKpfE4gIrhGWJtsCbX6PsonOjQc9I8VVHzqk
l0pA7GWs+niDHw9/f+uAF+OXpDHUqckfb69YLMbaZAsao8UdXxIbuUJ0x3inWobOfz0sY1WrrPkh
ipZ1RgQflrPWRzMpmNA9Jqx45+vjX987+pj9ReP+/8u4/2YZZ7AKZWX0X0eFsX4kF+oj/9dt3P/+
Q/9MCjP+IQWKLkHkgOWAnyf0559JYfo/yAoR7Hro4XWL5dv//B//XMc5/xAOPSrrOFPp5iO84p/r
OPEP5VoL4lsKG9aybf2/rOPE8j8p/4UbThaaYOFkcvo6LP70xwrt98czK0YWauJ/VUtmTpU24Dd9
8dLWVXFBpkSFbVrbYnB/jQyjj3pHCo+dtgSckB34VFdTeHJncX18x4SEgOfUvU9pLe9ZmP0ADTmc
Ht9ZIzG+mgDagU75t8z0r9xo7kzh8HjkkLZmUabrJPejozGoDbvx7BQkIGUIQK7QTXHOTDSee7PK
q+dx7H+WKZZMW/XPTd0ET0adm99A6poAy/TmaNjOiDUhe+K1vjWtNj7nC+dIkY2CqE+vcf53S38H
EYZ4oOZJGq2CGLHLjCC4Cwtg7TQBNY0sql88J+GHaqt9NvbDFsQV2QOjyF8qCCSA/hyQwyPi7xZK
Hr2EKe/49iBF+urW+4b2ksXWh2k1+n3sZX2KLI0nXf1WRTC82JnE8RSn3TqG6lNUxvQe6Dq1Mfs5
GIkWgJWMPDBpjKfWQC4Dk1aBTWCURu79HoKje3Y6nO9pSFvq99rMtoiCEVe6fXUm5hICY50nRRye
Hdk/lZL2Km+nA1Oo/krQMOzaIP+aMP+fu6FxX5wZJy2i+l3f0yI0Saw/FYav1mAqM/x7WCWJ6O3P
qlUvCqU//OqFs6pE/pTD/0/sTJ1HplNFEznnoWF3GJoWKNnegfsS+le6sl4L6ltk/MmRvkeeC+Nz
bWhm4/HbHXQnUDc187aEVnB3Bj25ZHb/TGK3/WwRezUpo73KKhjR3CId1gaLm00qcB7G8YXdzHs6
zfGmZS9z8ifmimn1FmRtgUVuBsOll88DjBPPsgtk433inMYEg7Mx2gazqqDZOywonNhIMPzr4gY0
BwYV6Sk7O18QpeZTJxBO/MsB8X/ZSYv/lB1AIA3XGemAQBoMy2JN9x+zAxxSwVO/nmtwHsiweqpC
pg792WxHan/URY0OL4BB90sbBuKAXfIn2AmGhzJeCu/M/2+SFgxh/Kct+RKRQw1gS8uSAH85Cf7j
M9IiZO4aFFsQjyFAvyQjWRw7BvI8QCpJhgKvT/ArVITxOp16z4Su3f3SOtW9WFWuWX8v4oo2jOje
Ns2cG5rhGQ2QH7wPcjirHJmgzIafNu/bqjHj4NX9TTr5tJYAf099F2eesBy05CJRiAchKCNtXnUt
NJaeIG32YOFF4WmuCnfakkA4rQNV0i+6br0KjGY4mCUiAmlr6IxBcD3ZU3zpu2xfTpN9qHpkonn5
JFKpgKObCy4IEFRcB+NVInEGTP9L62eaN+J+d0oLL7Wc49ega8+TCO2T7QMVdwCDbJJEmAcpFLkX
IriQZZbQBfip15Vhe8nq/MWYtPfBDaZnpzY3Vq2/wVeR54LVpTI0eQNosQPBCPs1HpytC4anBSf9
ClSjSHICAkcAzcHwPJZGvA8hbuDWSyXpF+NBaHa274c/mW+2uyruvgk4FWcnEkQVmOSHNG54BTrE
ZQwU+RQE8Rldtbsxs5/EKoODgBu4YbvcrttMfLhOwyQhn9WO2Jjvthoh3bRJwlSgWmPMTw9a2zMr
LFsMEm241shx3UxzdpLgaTw8P/Ueb3N/z22qHSM/8JSKfTgV9cZJpg3AJPwh1TCexxkqOzgvEs+6
qtvHNmG7ov/EplN4UVxoHm5CTwiSyozMBhii2ecQeMOpryH52k1zChNn3QBOPcAaz7yurX+iTNF3
mtIZZwZK4cZZOJEswz1LSwamTvyl8XKN1Ja2n3UEdI2PHjakqe4n5o6oE6NVO7nFqZJoJ8fG8OHV
EFHllu6mbVRFzLyUJ2OeXvmdnnD+vEjVo26TUX9phCLboEI72I3imsqIp0QFidJG37chGq7YldEW
gXK0E8ZbX02W13J1MPrz7a0NvgwdYOwZhdueQh0gpmO6Z8u37yE5ftt4wPxIaJi9qnBunwMreqoF
043W+UaynTykLiFFjul/ALKOdoHL8KMUKKwHrJ6J/6J1GuMZakQgW2hIMzd5XnDjCuFY7hZU+WOP
W8KsGS92Tr8bZYVirnlt6EmfHRvBOoozzNjadJmCmJ3PmB9QNDOKLK0XcxTyae62JQkfuAeN3zhO
Sm+c+T2TyH81pf1WWDlR1vgvak1GmyouivNUr0soT6KpxlsqyUGfkvxaxrVGkp/uwnCO3gyRExkC
ogetIg70OJ7GjR3OFMdTD4yPkHU0Fe4mbNDhaH2U76RBLcBc3GsdP9lmOaE8DXepCsPkC5aLel8t
ioAivVOTNJsckdTaham6YTXobpwGZ2o//ZJlV++lGdzimtAeVBYR7kcIWjjbdpVkxLWwIh4nTwW8
N9SdYoNi1UAqUL8BR/7WdAxQRTln8DY1uR6W1wHE+UmPtXHNon+Pw9oADvZqdz9q5LfYkG+trrmU
QAwQg47132hiAXAVpgZlAN/Ro3MRWqwkMSDshlL+Bpgqr+bvbDYKagYs08hlpCX+kPLBZ7EhyawJ
P9HjKEiBXIxkFt1CwMcijyFI4O3ddVHoPc64MoF8UkuKjAZQH01hiy0v2pP6pS0ZfHRBQ/1eDEO8
f1h6mmiHhvS9zAoGpg6DxrnKGeD1RINMTFXcyTIP8XLlGnI6ToaaN+UQs6GDU29lz5Zv2ttOb+zV
PFrXdsjt7eOKJPrYCwllvto2RoeGgqpu7Jrglu5azEV572sMMXKuz+XELLdq0VBw41A1X35lhtNc
4YluBV4RAkLKK3EVzs3VA/fmOFPtlcHQrNiuM2MyuzOB1RXPjZB1ZLaqUu8shsDm+2byrCbtJMsl
3zyghC2i8NC6uEXsjFCqSoMcRdn86qcmhsQSLmI62+eqQPwfGWs7xjqTB7lxAVIqMfUBZgFPEJ4S
JwYRNOunPBms7dTZf4aB6w881wzmFtJzn5tfGHLjfTI6FfqoUXrKDewtqzECOVyC1mPfyo/pojVn
ZvOZuEl+r7AEMwQsfuo+4ZGA2u6FnbSnnMPkWqd4sSNwWAv3RpzpHg6pJCGrBVkmGsbEedCWWxyT
1yK/kk8ZHxodFQb8KtiN/maQU3Fqaca3ykw/NNTxW6kYXHazHdygzl6mSKcgS1VzRjg+YIxruRk9
5eFIpn0DImbSKy6TDlXqbOJ9zbMJGZworwPewItDLqPXBMNH12KQrVouwr4liATB+HSKnPasONO2
Ts8U1uIV8/SeZJnGJ14xc0JuEHKElGra/G4aF6PUKpK/4A15WoxUOseEetbi4a4Vkb1+fDdAwsLp
XUY7bjX5uuUW+5Ia4d4iZGxfAYva5QxN++yhFQfrovec5SIYD3Fn+Hc8b+jvdqbj+N/xTUAuY0/G
sF1/gjYwrIhqcvHCOR/kH7DMmoKOsHXaEqRs/N6B/DbV7yW2Taw5HLDRctR2AfsBhVLLc0tSq0Q3
/TCzOTwbJJxtZcl4qIEoEsSQd1XVcYuv4XOE4TOA/a8k5b6dkIP72vTi2GGdPqeUtNQt9adAU0wS
qbiWpnjl6eAyS6KvMdDbW68sNMoh7+CogL8F1bemFAoIZIv/YfSJfcQqv+6Xt53gheg6D+NbMuDC
4yjS8S8FmeVe20o7FFP1JM3kT6TDsAzDaafzWZXs2+9jGF77JuFmMIvfATkRFvL1nRkaGxinRy7C
NU903EzLizvFYAbsXHteBvNqEte81m86xy4xXA3opVGbVzX2Cxx02U87hV9bReo+h1X+XNaEizkj
OL8i6yrqTiTIljs+Rzr7UUEI1ZWYTjYWGsx11pIIEALzW2MbG7ce1hGZDzd2Ogj+1ZIjVVT56fHQ
5fonsS3851pIA1YH0ylsoTX32AQ7hi0Tf4OHbv/Q4aX3tFEyUQ75TfYEPFu7tslhfSlgEH81kHVk
z8/YICK0Ch5DI3koozlbVTjXGR/qfMJyH7tDbUryI0jwCWe8sjHM1X3vt09pDce7HIhBtMukXBnl
iEdmUiy4svTL95ULJZ7g6J7I15UKQnnAyQt8xGAPAxf/5+NTmQXBdOuH8Jzo1hMWgvIWVkHmNaNV
bg1r/AU1APZHS3ZcgU5lO7hU3qWcmG7bFbxoAo+GiDUS1XV5dKJCgAdT8oNnxtNry2EdUNOvO5Vk
u7ifDNDBU7idzeFoL0c/TpF8EzBPZAyfHArEcrSh5TocwTsNpVmcitycQUCX7Q7U6fJJn4nuyX4h
dmyuMZ9RW3GCOYdJT6qNiaPs0PTqGXdBzJo4PQWa+3vsDP0o6+hLRsUvWlwJ8ws1CKQbCHgOEM+y
IjagBuM1JIPauqGZvA9wotLJAkBh6DY3OS5lfq52dUsYrfI7cjxMjWGa1bmbgMiVvhfnvjN+iYkq
JyDqBFmPselg6rIwG2ZIkK4JVcRfKCfSISiF2spyQhKzFBZyKLDppgqduy9RXEhW/zuY8f7Zenc4
2QB0i2eTQYQmGI2nfh5s9cI5pFZRvFlFNHpE7GFFr23zaRzfMfVvzHvRKmdPrO68K0bjysYRtYa2
F5qsIa8QHwmcwfC4V5jH37YYAVygAF5LtwJ4ojjbjW4+RDrFta+Cn3hb6pekNV5aZ9p1XZUCqRjs
s8mLtaHBJ1UDhjBvTF6zsorFrpHyD+9KdKzKhLFiYYbrAEfBLEC2dvgtjKYpDla4RFDGb35UKM/o
WxbLarkKyFJjyMABAJDll5805tnq2HI30j6JJJ6u7b7Pc+eSDgx7ixCCu15rzZkI30tBrvGJJ/bh
j7N9t3ys/N2MVyVDmXnRqbm3SUVtHcgbgZcuaxJm4VbF5W1mkXyjyn0BNdzbWHGBnl+pAQiotx77
lKdJkLoTWsl00xnkCNyrRwzhJjadmMl+XtL/p+BB6/I0WC7cI3c8WZW0LiKxEGIt1VxuEKAcxsEl
9dm9W4rOQasZHrTU7htQ5dHOnhr3rJPECedHnB4PgHRqKZMnPxRILGJSEboW2YxN3I7KaWpjY/hM
DK4kKCQRAxTo01aoPQ95V5yGGp9vs4zdonIZfM2oGB/DG5eQExoKcdCKqSeAA3qn76DG0UYVniLA
9FBp+aoSpHj1UXoEY6PWZQFFIXSK6kyF5qCuFU8R1sZn5pP5k9VldGgcBF4Qw+w3+NnaHrsP08c9
zrWS3EYdVY3Z0TyWRrK1A6N8qpLBP/sGAucVGylqUaAzJ0r95JSjV/Nqh2240OcFboMBC+gKLMDW
iX/PKpblSsuzZwagcN2nTiDpIomxIF21yuytzP2fBJ9kxAQsV1au3LXsYgeaA21Eb6NEAyOtvQ5J
/p1Kt9sB44AVklWHgo+kB8bI31QlGA8BWXMTpBjw+pmUioTZQ0A227MGugpLb7IsHeEm5S6qjxA2
/rAMvbTRvPYjjOQuV+j9uyB6DcbcOuYtz0WL9PCVU3o+T0XwCQk5sl/wG9ovYVVzJIhcHRbvjVfb
rUFm3hTfsaF7EVLNk16QuL4wa5wpBvwgcEgtnJfIWshXBM/utCgzbp3jv/R07FvTcuN9GnYaq85C
OyRseh+/dGwm2yJgjT7VxsV0anF5fFZaIRCUZPeBWvhWltCcHkPI0lDJaWaUsZa+8ekr4k+okwHX
+/3T7G8mPR9udF9YAJPmSFIUQUyDM1Ev2zEWTXhiWaNfwurbDIvkXDMNuNQaiE2bKq1CyiULTd+y
nZDn6tK2X/EcFucIzJ5nS71luIeqpa+zeFdTeq2tKLJPheXXMLEOneUGl94Et21nyRkbLepCJ4Gt
0kG9CJzWoILnVwLMj26o4J1qnOY1p6DY12PS7pt6viobdF2Y+iQuzJ3vSaOKrlozk5ibm8PF1AkI
1BunWufzkEkCppBmQKTMOoaRiSTOKuVA526rE+84i68crBOeyzRFd0qblPbLgg/DfR672SkdUdiT
4guDNG3t0+NBFlCE5mF4sXrDPvWDjvw8G7v9owBxtPo4BwR+N80osFC0/M9ncSgMK/CaXGd9rwrO
C4NJTCzW8zx8lW7+PNrVacjxqXKifuBDBs7AbHwDWhDiWktqVxLsG4YeaO1N56BZzH5g5xN4NAMT
k6aFkCW+dvAl39wU0FypXzoxuN/y7GIAAVpZIg6uWS7ExdKiLdQVe88tAz/7xAlKsJBzm6HJUO86
9w5sMg7ymSU36UaWE5mnqi6f6tAqTmPV/DBhv9aOO1xUBHbdHwN5sOR8lFbx6mfJ9tFIFotVgLH6
j9ZhoNM0NLdaVhDG1JLTkfDrNxOTVBbfHzgDv4rQqQmD/06+CEgWZROBFl38QF/Coyh3soU5GccK
BUGhKW8i3XI/4x0JGnfDm6x5iwG5xA0A+rm/t3kYXawg/xFG2kDl6X5YS4uXpV66lNIgIyxe44yN
QrwBDUfKUjkf8xNkRGYK8WIurwzmTT4f2iXZjJaXYR6rGmj5frNFmsflJdvgJCMclbZlVDv6OPQU
ZUoHmEJJolL+FmOXjAXYWFWY+mtAlsyqKdkl12Whbx7vP6XbRAgF/ngly+8aRsSdY8y0Qmkfb4Wq
qZvNtymjCJuy9NozBT27EMvdIDDOc8p6YZoiiXa+MS9T7kDUGlC5uLmkqWCQWSdgjBvRlGcAPLAP
6/ApnDZDYrBKV8xsqATHW5NzoWt1ia1atetMTX8GQ1WXhpOp6ZxiK5h04hPUUKbpg3XMEFNLJ4v3
zJJgiAwchHVnc1SSI9bVGD01C3Jx7fTKg524ZLyYr2qgnRlLm2AYSKIQuaD5B6Snrww4CM4Ey7DO
mNQlcb2PJp4coKROB0UBzJ9XIWCKSaUTHTem0IPD0Js/HNh/11qq5zwj6WbWgzcrtGA0GC6iZqCH
sBLaYC8bnwh0NGfLsAhrfb0fcY2DJK/GlZ8z5loxbIfnEtvcdxXjJTJhsj82TPcz8eiLZ3nYqmJy
/xqmdH71g7XHczkStTD3aU9oL5FXWW14k8rjY/amQqbhAa/SimBA+yxV8WnW0XFCG74lJ6DFF4lL
xKrQZomwREyn0w3YJCuHgb8YA8RtqtxwrTLyIqhmdunYzCvsn9FOSeY7zN+7TVaFeJ/LId9o6j0Z
iP1rCs6dwbDze4/bMyitI5WX3MJ16zc6SDZ0VYyCYkHM+1ABnCw+wrYfEGxZrwUnB4ge/R77F3Pq
87uOXrFzkN8jBnFpM0X50zFAs9luTmBKKqJ13weIU8CAlsI9BFDYTmPXkJg1kATB5/THyDgrYgr6
mNybfK5tWVVXPNDPDVnZa3fGrtfS5gIXgP0IyOqtdx0yuGZ6h4WH09eDdoJVMnuPiURncobbMdWW
E89IllJwXgP7ryD4HiOR2duEpa4cOTLxnksi52w32vfS9I9uT+HH8cWMS4UveYC4z8QbThuDlEyZ
XfjSTCAahgF9uSXK8mQvD1ZkX1I9aHePooVItbsN82vrgks4GXx0WuHMZNf40LID0cQ8b6c6xaQH
LDMB6BquSg4W32qukZ3d5SFX2psqCnvV1mHgCXfQr0XlbruQo7ptxR2iUUjo+B9Ha819bvfvZlA7
TDMk3VNlz5uhNSZwQYF9Ykx68wcJHzwpq3NjqJU+lcFxjtW7rgXVriiQu6pq9O/NEH3n/v+rqFqX
pD/KZXpYWPtUlPtkxtzE1CZFcFkB4o17b47zZXzkGruSvemqNHmitd3DF5zb30lD801VJI5GTFa9
rLNxRwIeQWljviI32FllrWi4j6tsI2v4j/GIb3fWM7xHTnZoAQExKerY/xJtDvigsL5RApF405Sb
oQd7Nae6f4m7mvmMEeF9Gkyvc535tXEo+mNCH2PX7veDZSMZi7P3uhy2oaMbr5X8bBwyf+3A1mH8
Vmdi3cFYGxGhLQU5g3JgCmbO7TdlkXNr1iXDDjGgLzaKbwha+AXMmY1mB9scj9uPtALYZFo/zCJR
3FIR79p+Zm3EQnbIJgoUguF2ADMS7CmlFzPXNGEBKjhhzzNb2vPsylugeKnTVB+/I2H64ycz7SBT
tzNSpq3OUfojL43nIGZ2k+RlCISQGwtvkbaLyqi59bKnRIEK2yQCRJzWQR5uE0iwVLVzRCBlSmBV
kIfO8xi4ynN7wH5z4pTbeIRYH8fhD62dgp3dkzUsUjR2ZWNqkDTsmmEcp6TbUmGqPHK2o1+VP8sO
sLpLzMj68W+5Z7IXRVUXS7JiNfwXBctHr5zpIiTMVcecnjpiMs/gZneVNd38LuwPgRaC+kjBx6lp
uHEdAq5g38FaDBaeY3Xf/PCj0iY0QsKXB99haEJPhDafCetFWhNzapdanoQjiCt+E3+3is8pDGJ2
bUR1xr4cOCOq8BTgjuLen42nRUBUoC67074xhGUFCDuv26hslpdctdt08FFHdoSEsvTT7TXJB+dp
Egkrm4mDayakqoaN+DTAdDrr4o+BaOex1k6I9j26Sffqt1H94sDiVsYNVhyrTY6R9RQ5v1HvMf2O
ZgdWoNm+jKpyTwxzbto0fw5d3j4H5oYBPjAAWZHMMAPh7UX8Z+SgWteV+ZEb+qsKlLvCmp1s16MM
shXUycqbApAB7Wg+ySbawsYmqyUOnkCNvEijP8Q0H2B6iMFx+ZgrpX36QYPGGhAMK2FaCSDu20Jr
Li29La9lsxUaSDiw6WPD5RPqgmQr4o8QVlCIyGTrIJYD0Ab/oL/bRE8gAYh5Jn32KXRB6AXlDqsU
XHnkn+XOCEJIf281SnOW7w4JTIhzs6hnfaClUItKwkNoSKIU6V8ZGVwylC4y8eLScslVq856lviX
MFQu+cx8FQTamQhL99CqsSMvDtfGHn3HjyFwvg0BUwKLhGhPVSQxQxkJro+vHg/ajIasN7R9TiLo
NcjhlY5t+FmZJnYS/BThtfSx4RT9hEBl+RlqrvA6NH27a0EsgLlBn6wUKqyhsEt9ZVKBXx8P+gJF
79Dj/PUzH2TQtm7ZkNgSnDUBWvGV0n8+BEF2I5cMPMS///zxldALRU0ABd+xt3qkMU7pSvKTLVWc
pevQoRXVFzdyjtiKtCpqyAQZP0lFcT/qW/5+hKXYS0gURchc+SauYpjFR9eV78ZEaJYQSeVB29n3
WoKb2smLtTFX9Ua4FL96NM0bzSHtSzf84SVhNHmGQwxFzH1WCuLGJKOY0IfE81vmfczibxmvrKdx
CDZOeo1yJmSmr94HOq9VWUTfCr38kw/RmzmEezr/I/PklqUE5PagYpTTTuauNiPG77U8iZHVSma2
K6doQddnrKeHzzz/CX7lQ7D864Ja7IdqZwiYWwSPpcJirRY22zpQZ3diWExvR9WmQM2GefDcsEdN
LBvKjks2zszkbIVNqbFdsiYVOg3NhXJihYQE6x/56AJQfe/EL5KtCjopeSwGUntzHNJkxEFrduPk
aho5hoxe6au8SzW0yVaGzsQQq7EHClmMT7IWOkPpnzME68nGQzEL1PahY98JP2bFW9ZXa+63tK1A
5SHiMFsj/4h1tAsA0wfB3S2T6NDq7j4jcXhg5FBAW75qewLWwu+mVdroVqgPEOTutVYyx2vTs02U
1aJh+LlkQulT3nDsVhtuGh6jY8B0DX+nni5dYbNPtAmvXfEr7SG3x5ZZrAnAQ3HvKy8mpNjVrLUp
EqLbptvo/iKJGMdxES6FdAHwVyjhDW7C2GbL1op6mGzltdFB9WKfR5Njfs6D/406Dw5Ab724JUCv
OfocyUC0l+uihqgYR2G0IiX297yQ/Yo0SXehMzynZXItMv/O7rjCUYazQE/Gaqtq/2SYNldBQHMm
nQlBPwqAqrJeHdZErt0y4gnF4Nmh9eUmn0lnszVtgmWgt/D4OqJ3rULts8Cc1qa/4Pty0leGptjo
HaxrAl2HviKrt6tORjxhycqbmr5LvoRGZAAnaPRNCQyLe7RknFZ/Bxi5G60hIu28+rJshLG1sTUS
mBJDi94e5lrshFtUl7wDOazMbK6ejdqqcLJbW8dnkWRqODnsgY0CocLMf0Eo9AEJfXn4iXj11hGp
Vkk/X5t52G50q0V4FX3ZUvBGRt2aZaWztcd43cE0Xbc+ZggfCbhh5U8NAx5TjfgSQtKM20R/Zyn5
k9c1Kp/MEZJUqPhQFS3OER3mvewA5gIzsGTBGKXE7Z4GRDkVGu+PjyQCZjYeHiNpDmHbkIxJGBm0
W5YwwIroXCD85sMe6HKKJBmjkFp60sQSXlnBcmCCxg3HKAbSb5r6RRmUzU2/zeMFFBeBW9AlALam
K9ZzhjAp5XY4BDULegWbceRWEdjVOYCCs6lwTCUkt650orwrJWBNAMRE3gSqqfTIXL+TioebwEpn
b9bcjY1dFYy1JjkIc3ZlOfMtV5hX1qE5LexcrQZVRliu9F8tCKdIVJT2SZ2yENZzTys/p7gwCS5h
aD8rV3iZ/w243j7NmKXUglQ+Fu4vnagAe2yzQv7OArDC2fSBsukj4USDdoqjNERQk6LTBdgHAGNi
5MMEA5SX+dYNMI/s16wT7XbOt75Bzodtg4fMWNX6ikGcnDIvFwScLvWmHKz2EBFsacwU8bozkAhQ
vtdIXjyisRxenuZlIhkDUgdKyiILjlbEm6p0tZVNcqCx+x7HyS8RYpGwOIzzetq40RDudMd9ncZT
Zfo/DU6idcs6auuM8llnXE9w26aTJKHJKPlRzBX5rKXxuyyCt46rLnYNos0T9L+ymN8zN/uy+6bc
lcXJ751DUNY/M9UF69nsWTXMZ+I4GJ2GBsOIelwDULe2vdbfRJMheIbtB49N/5X5cbtOofvSfBA2
katP1AHvQdGTp9o6f/rZ/fItbrhVqm2H2tH/G4SL+D/FaSBs+Ee4tguP0VmAMv+qTy2ILIkBxR07
3CLR5HwvVdl6aEZTLxwCc2eYIVCuGs5VTmp3sqR2JdolodEHN/9v7J3XctvalkW/CF0ANjbCKxOY
RFHBsuUXlHxsI6eNjK/vAfr2PT7ybbv6vcsuFkVJJEQCO6w155hU5q0UBF/GFUb+gPang4PM80/x
rOXAyEXXayPydcDm/PPgrGCOnIhewpGkOHFQS/nL9uJ250TWlhI99fzMIxK6w7xGRvq6dyNnN8fr
3KYxqxmsy4Y5YIuSG+e2Q4lqTo9/EBuiLv7lAG2Hw/NQGpq6/k7a10el3TVeGKA7byCAlYrVRBHt
0jnW/JoDX2OjGAk5oON4Q+mR/SBMUf6AOf2vcJtfNMa8TY6uG3yOhnA9691nCLa+0UKkh0fUNDQp
5pSURntT5vJzabPoJD6VKRFVe1Bm2R/kje94Q6aLrBnWkYfOmWgdR75TW9ak6Vaog22A17SkG9qF
SQwdWg5etr5hREN7GFDIAHv8/VtvLp/9P4TVlmtIxk/OXN22pPsO52O4YI2LLMeeGcf1PbKvI7C1
jRc0xp5sUvgKOcNWMz4Xs/u9dPBTu7jCb6u9HBhkoMXf8xETIMBW6m/FKOjBd/AfVX8nZfmW2yzi
0Tr8SZ56AzC9O2wBN8klSgRNlflenjrllHw8VsYYJxT1FW0GToCCgBgfc5MKq78K/D1IM/YI9KxZ
ENppztkZAa5CAdqD/G/YO5vlOUzpuWstEO0OJ31qqgcghrgpyGPrFPo9R2g+fWNE5PPXfHA7f2hw
Jta0Jlbg1bpzZUZo5Rx7TSkaKxqhe4RA5HcsvI3n339Sv56drrTZkLk68WM0Gd99UGVh1TrvtH3s
qBvj//aY0gQc2b771AhWgrGiAGw4yUdlp/ru96/96+jGazuG9NiTSBNJ8D8HkCwA2BywezwawPwK
wL47RJrdtoLr6Cxl09+/2q/DlQv9y3CltD2PYevdq9mtMGvUkjaJe9q3oaw+oPEm15vqfmrk38cq
+Pb71zOX4eXdySQ9S+jCRVqMZeHdW5vWeU3lo5THNAicbUw8K0ti32isW9IhxY6lRRCXlP1D7bGq
VIHMSzDbwgff31petXKsgwhhHCzSs7wCLFiIJf+VRJFSWruUAWtuQ3kfNmB1NCq5f/gLfh1A8S8x
fPGGWYJ7796ygoAzSCi2BRpBc9bULAo/adTV6NzwODreuDcM7ZOgEWZ7dHMRVHUrEAvU2BY54uCi
EKkKvwkg/GbW5NHOsO9crXox4yp8nosPgaxn//eH/B9OZ8/0aO3ytjPfv3/PPXOI9bmS5pFSAwV+
SbeDzIhijwLwYAQl9PjF6EApPMz1P0HM/sOYx5ns2IICtGOBsvvn6exQvOW1c/M4Lu6BupjJK3BR
7vQqPRmCbj5g1+nOaGEMWklLr2vR1KpRB+jgdP0fznZjObvenX0YZBiGLV2SFCPeHU2vx4RMerZx
zOya8WpRD82L5ufK+Rf5c/WBXTkXHOtDANnlH65s59dLm9xoBwyo5dCw+XVYodfl6kWkHytdf6Um
WKEcEdMn6fqwxh/nmBa0kLiZ82Bp4ehQc1nn0ySJ7M9ObO5BUhtflEHUaVfK+17Ag4CsaaiKbHvU
DKGd9LuYxuX9aBnXOWKJQUzIMfQ645T2NZBvwos6s9d9mNnYmiNabhWa2ksYh1tBnWWFYUTu8lox
+002jvUy8zaJlT/2ot13tUd6jX8bGmCTV9B1PRu4PapZYyIdnDQNpF8Ny3QPF50/GcXnRA8fzdlt
dolHoxCSJZjONQxLwMVOOOJvN21/GOtqFVba2RD99HkcxF5LUCVpefqoNBZuLGrPJDXO9MU8mp0N
O6qkI0/Qcnv3jEH1qQ3Ta9dEMKQjoq9/f938hwnb0zFCmR7THhuI22D200qziNk9Tlogj/De3dOc
Sh+lwZckatyHvtVPbogMI8WT3CUGG5kGwnSRFM/dGMiDPiuay5RgwxpdMdkRvmcM1AnQMtIsIf4C
LN8HOROGg0PB/MOBy1+veE93GGVZHoN2dG9n4k8HHmY9shXWgMebTFSiMZm16XsHV/hLnqvPrjZB
MJHOXTrPAdanjJ500V1bzwJGUTGdIqHJWX8xZsU6cUHxmuqzQD2oxjXNTnFIQ1AOdvIS0q0C7VE5
vhXgYm8reg0NbS3D+ySSAXk9jHNQyRmdfBuZ+pHwsuttZdWy7z/nVxxTDIzeaG4zk7y+gN7yycrF
w6jRC8nUXypA9AwyJKZTyJC5r6ngqWHydtpnV1SYUvKYWLWlWzazuhe8w/d5AKhB4Qbbly06L2kO
r78/K/6DXcfTmaMZRQzBRWy+m8J0iECgxpnCMnfvUey5NE5bb5Gz4S/ywB+H5JlTiKMlmJYWHuza
Idk+QhSRelXoq/QPo7vxy5RqC959y8BCxNhmvT+eOm5oXKppPvLxDgenQVLhONux1NUltqgktA9p
C9veqdA9jnoFhxaleuHQeIujsjl3UNb/sNIFAPpunOWQcDUJ3bY9Zsv3Cyh3JiskpHgIjSwWyEzt
FTV6Gob0G9LIoDxjIq9zbH26o94/kRzernO9N0/CIEv+Dx/XL+v95VjQGhu6WBav8t2Yn+POqZpA
n44yNPAF4k44NMSAxrQBse7yoQWmifSVvuemtTWD2EqOTRtAd0NBIlokv9LXD/gdgn1qdrtsJuPk
BHz/8x8O9NfZyWZBsWxKMDexQXi/NctEFI925YB7VyAd8E7qhzzUz6hjAWXTdtxTgCXLHM3/fUAs
sub5dcml7cV5dNZiAPiYUAZHfohCpQ4KriAALTc/Z9NwF+1GhL6PVT3meLfNS+u11RMjRH6iY4nh
aKi2ZscwXKYNNncrVUQze69B0X7TZ+Sf5YSVXNPbHJ1VVXgkMCEIl4lFcXERVkc10fC9K1EW2o2P
E/mb1TjyIGsxrtSUO9vWrBvCasLyJDGnQwtrdxZBApjmyY/tDafYUywQyIMAnBChHW+6ZJ7uuaYh
5s7DkdooVHObLOfSksVpFLSFbzdVO7W7fiot/7YBKWnooX4V7XnGLYk7pCCqc0KC0G/zzjE/GLjy
qYaEH3Kzes0atrhhTHaH1RoHHJzfFRFtx17MLp534qwi2a7trvPub4NoQtHwtAQaTHX3qpegr3WC
NVBanWNDe2xMssmgdm9yxwINUX2k4U9KLfW1o62m/W0nHQfq+1igYE88YEMVM8G6mEPjYmQxc1we
7BtLjn9Yc/x68kuDnT5+Y08K/ZfNblzgkEHNtZABBLs1+DWLxLCCxIQHeKfVNBCG6f9+9UuDy95y
SJbggn2/3mxDokP6MYLymabtDuv8Xdb13inRiuyQ9Ha8mV3hty08mkWVlWPm+aFXkJ3tnn9/US2k
5J9XfBbLdAfyKTw+9t76L9dUgfXDqJW0aE1rz7XjFmcuIqZgScEW2a+PfcM62BGUbaubNotfY3Y4
E2XpeC9Jqu0iNdAqc4e7OC6+sBChcGxq6wqh46jlrJ08Wvlz9CBo/21KlNnruVSk2DbbchzNP430
rvHLn8MYL2xb8LeYgj3qYiX9aWK3MjqVBCMnx2isYwKaI+M451I/5k1CXfv2NZZF43i7lxbZuiHZ
7DA4wQzXFSf06nbXJbQ1X2Vunu0mob2MYzofbzcxq3gk7jCnMiU3t4ekVlI8pHSxChcEhDmmNBTa
di8QwtEEqUnuSzFQ3HfTQdUzzZTEFsdYJhrQhwpgwr/u6ihTtJDCM85xcUwid9pKu/mee5N2hFM6
Mr833VrlDTCXfCxJbgh6ZEuZyPeWTPeJVtHXToioyZBrQ4Tgzx4h37XL3QmzEA0JmA7c3O6BHWVD
qRc6t7iTWawK/aGQLWYZlTy1ATk+WVCHe/ai2Z6sSt8EhZbXY/RUExFhMoqhmKuf8zZHaKwxC0DY
853oQ5SH0ndq7Gz0EtCLa3ZMVnv0fHNm/rBfoRfEchd2azniB+om2jJVZtVXLX4zWlC/Iq8vsxWx
AFfxuBPYtCDulCHRH2m2HtGSmDQ3HhOjN56LqNs0aFm2Y5DSKshosJLtqE4eniA/Y5Qmw9V1yfAV
G2rPwa6ygDYt4+g0VFcrCYHBham7yywC31qMYrejpAd+V9B7P3SQ69e6U8inNjXjjZdyNrB9oTOP
RIjAI609a6SynhPET2wuKiT3pkVubUutqS36axDU+nMS6h45mhOSGy94wvO/TmuuIV2rBfNSU2mb
CBgHaj/rLizC7L5OEMyWKQosYkrsw82uw7SlrcIl2VgjPmKVtQX29gm7PG6tPecg/NwiQrwqNDK8
YASuwobttCeBczXNX3hn960YjOcBWsgqBceKB5SS/FTK/IzKZVE7ybNMUZ6F+Cj8FpGrj3PLWMUt
+yePCIRNGtjPCMbMbYK6xi9z/JApwTmtS36B54Qv1IjusVpRhiIqys0i42Dm1j5ks49GfTa3baCO
UzysaX0Q4Wd8KnL5QrLfJ7cJEZYSsLuecMUfzE7ttN6Re+JMsfKF5cHWsfhXEa4+1ZsfEc6ydi4y
awtEJ9430XbgRZNOjVcOc9Xa2ON/VCj1FNmhqx5L0i8GjGSPN2PqtMhyx9p7NtF30YQhCEWy9CP5
ursvjblbF1pSbN0BeVWfxR9RwtZ+73Ia3dzFAQrbq9XTYSIxFMh+9KaHs+17MMj9IULfN+mZuS6S
qMTWynYdlwHn62w+zChjngc04mQEZRHiJL7M6u4OI4/BaKvb6EaoLjjdgKglEuM1VgsZvE+aXR67
yb6p9bNHMPcesm1Bvxjz4ojhb2tpJCPoQSAe0Qvw8rN6mszM2egSzJGWYvayXbhYzLwAKWl5lgdr
sqsnyAwhcLq6o3liZWsx02EtCHHb91hvoWeRYIrlFAFBtrdCgoGsIVym3gmydKsjgVTRmWJJREAD
o1Cjc0EUotN2SqSEaQFD2PQ0sO5sEzaW67B+GlwmfIcOtVcKFHo4C06DP6XfqhSpKNq+6qyTE4ky
BcNJhrDy7BUP7FTaM6XebEsB0lvXTiJ2bgkbOtPK8ACLkFUm0SbPrGvXJSGBD6yYsKx4zV3RdsbF
E1qCJ+IR4w7wP9UxxpCemm361qOgYo3Dib8/OtqFuY7JMLomJERcUVBFnAEz9Den3kkrcq9a2Bgg
GkEPsp1dwydKjjE++KWAOxz7WiPQHT9xSJOs0z+V1UhNrhieU9ODvIaZftNW4T0CYvcpTf9iYqDD
2gj32ObsethJ1qGJbRMxr+W3mCz6oEcIdfVGo3mmLG/s9HoS6xQ893HMwlM+Hqc0drCWtG/ZVJBC
mpNsHVZpt1HIkk7Arx8bfZS8pW9RFx48fDKAPBHBTYjfdzFtbWK04ZBJ1ecf8vRD14j1iNvqFKMm
3/dgdegyJidNMsUpTwZ4QCp0jY7FsrJiSHkEjrmrwKU6Rundl63u7EalKz9IkweroNTXVlz4ZVVY
G03Hk9ahMD/EeaEfwin/wJTPQIVGlXdbp9DnNR2GJPRta9bExLlGIygzmsF+2Nkr4LDDrZuaVKiI
LLc5kdTHbrnzfK2uuJp1efES8T0N7c0kIvqxJl0aAhrlNkY1VYT0uxHOlqcpZ7lcBxu7sD4HNcBt
aAjmrnUl6+YsvUd1z8eQVPqmgfRAB3jA+aX5YYZRALfYfKElSaFNn+Hk4ybeRdiWt7hicj+YQQFm
npECi7ozO11c2LagVYNPcz8ogZMfWSvaJFNsXWr2/tiqTemY7hkBXbctZRntkG6R8N3w1rfZtCvr
dDxIUeM5X56apjDoxoXWgnTH5eIYSRrGsOowhLqMQaTPkBkFq3hEPHG1pJBPNUNl7jTFdZ7Kwh/6
dljPitR31adYfILOXdeBDoVxrJOtdCReyqlZLCMxoLoBVR4RaW+692KnFyvunFcb3kYj6wy/Fmwn
wub7J1Rq65v2t0wJRZki+ZY7ALCQEUUHT2u3daBZd3lhTVvVKyhh01czrvdu780HQ99YLKXYGI1f
kXPgPsybB8chRU0vDUhunXPJ0vBill13bzbT62RVwSYLs7PZ6N7eVKCDZ4HUNsSeuCZe0PBZom27
eLb35EmRGE/pklocu47Iitf2RJmhbUg2znX7kKdQAcvaerq1ZbpWpAdbUzbHXXwWOgqOtrfPbVGf
rEVsPYbodrL0XCaWOphpRzs5CDFa962FMG8Y94JXMfJqONlF6cdhZJxlb59mN/tat4l3CZAFCQo8
fjuraz2KlD8jIGePnEIQ98Emmk/FRKIa+jIkxValHeg8A3nRFUxM3o4YSAOlIAgCU/JYem50J7FP
GJPhnmtlb9xZSHKYhrebs7wl6cqt82ir5uZcu627kh4EGa8lJ2RphrSV0FZdn27q2jA2I9LW7RhT
IyopRMPI5ORwdGimSRVt3Nx4qKiOJN1futzViBEsFXiHGE0JOWyA5qSO4d4qsN7bFdb3YbEw4hDF
J6wEjbroC9LicV+14oqitdhMCTzlwO6CI5s8dPJYo9dG7aozucqVH5vyLQ6EuJNzsxiVkoOpZ5+C
kRxT+qHGKsoxLzh4fWK9aE/KsZ+8rFqnVqIdg7yu0eyxA02r4akQjX7qrHBDE3Vat5NVUCxu9ga2
X5Ol+SO1ved8MvUTEUm+GIL0kMWZpL1NEuHkiOiCnGQ3zNibAZQ4Z6MjLHYe+niJBQHF3zL6UhbM
2TDLq63FLwzj6jhQPLqfmYwF8taDcCMGkDa9dLP0iECkCIyAMqYjiMCStl/d9J+p/lUP9sMNcBKm
zni9rUMRTe8yT0Rn1vuCYRxJN2ETaqtx5W80Rcp87oRoCjtOTjC+FuHJB0QeZJCSR/+geQMhwaF+
R8QoTMpQQhkCfe0XkXOf6JbytTzDNDMjvINZgFClib84fTofxgFaPQaeRwVJO8Zm8KSHVuUnovEY
7hPEJ3LADB5DkR3r6rGYASUYmr3MnOE+qHgteHkfe9E81fn4YhsDTO+B4m1SpeZ9j8ma8hCAmSlp
EPMR3LtvUnYteJuw5vXzKW70+d7sAA+ofNA+TyK7x4nUAej7HpDhq9BWvbEf1jbKbM9k4K2TeqYK
2qbGQaUF6xuLcyNbTFU4wJoK51FvgzcW+EP3du1+gQ5g4hw71S1dsjkA+Z2WdbW1pCcwbkB3+iEC
boATIB6lnYq5aGXD+TvC8flQS1DIXlU8oMYmxS9yR1oB3YMrcudt4ALzZmxBXdYURzj3+mNF9pRi
NDnEoYv9eOwSDOrBMmew1Rrz6JhYn+xaYz1YNEiSq6aCUIpk7dhUJEdG+XQN63kBsc7BJztCbTMS
vV4m/TXsAd/JpBEXZ2ZWVki/pzgyr4GwIJyPeEAGkZ0nvNRenHlkX+FxRN5319UW9YtJPcimah76
HkVkX80WOTxo1pfzdkATvh4UDJemQ/nbOWJ8HAdlXJJOeC/MPt5WTujhMfrsJpJztj362I1ywOJ7
w3SYNfZ57LBfLG+wTloOj1XTzcLnk/k4qkLSo2O0DRJ9XXmoQwuVhw8LUqZSiOOndLQANInxKW+B
Fgxpv7czjN2UDd2nzH0NZgkAxfCeBvArP7giXNZq3cwx0/rSLuhMbE+cbZgXy4A2YgG4pbGqbVKk
akXhDM0VkbQ5KWEr4OAganpi6PEab8uO9UBWQ0V1s3T2vWyAbpCV1pmpZoIPQSpEXRXfKWV4W7oq
wPtV3q1JIpgOuoErIhil2CWI9O5EKXaIedJTTrPp0Drt2RyJthlpsrhSXXk6xL/JhIQ5TSu/9ZBq
jHqr+WqaWr8M9KeCHsBpoiB9K2/NTfRX0dPD9XC+rvIuSM5YrBmaTfuZFvzzUEwXpeHqsljBTUWT
4HgEr6s1kdqXCq+n4WuZ3qzbhWXUJPIljvHgwFglSmZxNS2x9/dV3Td+EXr4rAwXGnHb+/ir3Z1J
8WsTd82b2XYCJFk/001AuUMU4DKGFZP2QUe+HEp2BjbxqZlrXmiWja+ZxIIy7XJSIFnaAsoNBuTt
YUWwr1U0l6Ft06PRBse8zcqTW6dfwrbW/CwccXRYdMFKQT/shkhq0c9ukW1FK2iR65gS1AUmzq6Q
jXoQCQvJIFFfpsibWGqjy3LjnpjvHO+nSd/FjsdsAyClPfVhK0DbSwpmpeyOLIfjs8xPVTCHd2Md
DTtMAN5K0SpBAg7mxKbJKiPewwIV1Zq6BXazcTh0Dsm5cTBeQgSX+9E0vztqkqCV3fPk4otoLDwp
9ZQM+whZ5kbXxGcLxfHWZkfBpqmf1z3v395RL4O7xNIJpvVuGB5vICjWRjoXvgfw3f2BmUBqblyC
KV71daTuNNk916gWoUmrfFu5dsCGPe62fWhkd5SQg6Ecz4OEmM0e4liBAOtQ1m1R/KZQtWx1chLz
3hjc5pH9OafnYpDN40vv5kc39QiWWKymXTYiurXCK/X7TZ949dYJwVa3DrLKSYvqs6qrbp2p+t6o
uuljt0NTvqr0UN03CNEtXGuE2zUXp5OnsI/45MFD7AJZfh4UP3izHkpCzjdjV9ynWIU2Roj6ssZV
sUrd9qXuxHOPDRmb0QTsxFo7SQAmDAbRmpH/S65FeNAys74beM2DN8gXrfQ+s1ZZ1ZabEYvoscyl
qOFnqsBAkyV3dQN5fNllKsjVtyJTVtniUDjGrjFovc6SuUtfqpZen11qM2LB22VPgfhmAOPCHl5P
LKvkXq9L86MbvEFR/BKOeGYsZwigg2f4Iw22/aMp3C02S4NYRrKTcLbtQ9wx6SyaLZH3hybyojuc
g1+tjoWcQ2FgZRu1XAUtjiAE07jVzOdUUBIzjM7+Oq/t4rM2i/CujAp2O67x7GU2QQr2q+hlf2/G
2UHpTnZK6vwxVGy8LGHBfQnGh2GywNI7GkldqQ0KOa7IAm7NU9OF07YZhHzrDbJVtImYA3Ig79mL
npdwTrsZD1SHzY0W4zG+reBKRlcjpnsRozrmT/I2mQ2E0YFhHuAX9Gcd1LFBPQpXJkbvDlnAMHGt
NihWI4f9azkw7HiN+NRwrq+icGoPYu5HnFVasfX0acswEe/idjiZEy3Q3qgvP0CQi4AM+NO4SQKd
nHtBVWJMIBE7ksp7QJx733fojIsSO0tKsTJPnjx7sVc2CAdR+/pubZFsnrEuFFoAWj4Geu0EyR2u
sWEVBqSY1h0WoXkevzk2cL5ZTwgrJd9m8QouA3rztUpitYclgvW8n79oPlweHD/ehSCY4QhdeiD8
Muo3N3wXVAHYSWTj+aHZkrVkUqy9iSZpFKdHm+LlKpUAXWQ4+pZDykTAts4tqsa3BpbdXsZ2iinI
7tHzFhjLV22fbs2wLI59m751rR3fsZSvV8oWzF2smw5R2T4MrScOonGYUib9VjSlkrc8pqvpTDRI
uBGy6Hfh0L8SidPuhjYr1mlqU/sEILX13IGN3rhYVNoBoU3U6PvbjN+1kCTKst8pdlu1wBfGOYkN
FajdCK/7k92YByKjpt7RL5hodTlWh4L4MIYI8GJYNYCbjlckns7KUXRKdbUdO1McAgbZzrWb06zr
D7ObGpdBAQjplIZjexi4dtiIustmJ2uDL2qAmuASQr1qaiAbriR3QfeGhPyYLlzPru1nSzNRx5vH
NmpATl/WPv0TcaiwB61miBkEwGOsMoL6M9/D/GJ22zaOjXMz1BdzGO2DRsw4etvm6h3L+zXEFptq
UUV1CqfLIUl1YtONyt2YdvNUZWbzmKnEOuSE3M6Zll/VxR6kReZ6eFZu+ZfuEpZR9Vbtu4gTKFS4
3Y6Kr/FcM1UdCroepSqvmYTlNsS4+QImBAzmByTN0yMhp3ubDN9FvxHfJY8ZyVknuyOpmuHj6tgT
uIChDtdmwhA9R5N9ZiXaT/fUkDdCwfBIoJ0+oFmlSVcTaivtoeFqTKd7gcsN4zC8Y3yQ4kFzGWwt
s3H3AZAZwnVxNLJXlrQiljO3hgqD1bfzgZ8C6JJFSCO8scg8aGA0VEO0zUfT2aVGx7ymmZSrvdh+
HaavboQ7S6sCtpgE1Vx0lb8FXvG5kxRNpuy5yU3zg9mTurroH8F6VCdT9l/Z80cbTFOEv6H+vWe2
2li2WZwbQCU7gWt7RVkbpkJoPSopt8SjGk8lg9EUuUfJomkXjdaXqp7iF/QGn1yj2oL5Vd8k9c4w
/eAWrjh3nR7dWQzIBpqys9nRPnApt+xlMX8b4jLC2pDRuRK99RIEr+yInnMqRo9lmIpNHKX3bZfp
dDLiaTdHEQbTIU73LOjPQ0E5XUuC6UlVOpdPO0k83jV5NsEg1/VMTYpEpeYBj9eLyRLoTlRnzYxJ
7y0A4x6nKO3oBtUvqeyIYU5V/eouVoSAbLL7ui71h8EoPuGnq65T2XwvOmhk5pCQtjNozsd5MhdC
3axdygnvR0rk2c5k67VvOkJlSqE1l3C8dlCQSt/JAgjeCaJgSmxrCCSMVfYCKpBtnZ4V6uljEJPr
nU3mccYig58HmewBJSeFLi9bAjCKpyEZPwalNu4iELrnwBhOYimN2FPfs9pmM5eXarqgo5suJkPZ
RhsJCPW66UPahda1n3jilcWh1fXAajdraUJ3df8UYdnc273OxbF8OVVB96QT8Gtn+n1WRn7plMaH
MBq2jqnnr4ruip+Bqdip0mg/OHV+YOG/6W3c7qttgFeZ8xFCDahI7c2optcB6MkLBP5t7nrQ0Un8
ydr0nM/IyLxcHpwW+hS7eNduT2XUAR/mtXGApKulJZ3gdwBf19lb/5F/375d+1W/wv/OP+brLVpL
H27ViYCVq/ucfbS/Ug02qxXRLYPA4A/JhbbRpmUFEW/itYVFZ+sxCkMHmPbgjdV5cO/j4QkdO2kd
idqgmvWtzXZ72V5eLzjLVm8u+RXBatyOW3Mnj/UhvsbX/sX9JL6DvWHVW9mABSnnrPGI8mXyWJON
LWl9bNN8534ZaVcRG5GdputwJQXmleAimpEpnigH9tOawnXQbHCCae2uG3xq+bhXUYLgINEv0ZRP
a1lFz1FX7RqAaLilaFR2lVvtASH2fpB0FlZ85a0TMRHzMxQXbHflxe2i16HMRy5Ue0vfWnxJWQis
WM4SeNGkzj4synOW9sNbWQED6EatvJuQ3F27QX+Zw2LXDH32kTuEYvRlyBozzj5SSV5LhQQhlVGN
t9yyPoqexLs5YbmZFCeB4aPgIJ4+qi3Jk3BYd9d22ODIPF5TwFXB09V5wE1ZV4O9kUu46O3mJyT8
8hgB4tQRK1w/NwS8s6Sk/U2Ev91LG06NLs/PBu20I52vsxadcyq3u3oJj/w7BeDdl4ruyH6W/SZZ
6Pxl7kDyiMKaW4N+2W7M3Mfbd+bAlutYKirEC7I/IITQoUG4u30zWFD+dU+gxXIEw2BqPz1eFQ5F
ODw4N5T/7SZcYsiCJa/h78du98DaLMM+c3aGa9lYXrMpmK+DOVhSLZa/RMaEYFj0dNfhEisL6o5k
zLD0pzZTzUmvzM4vwbvNkkS023M2S4rD7d67xxJCUilYZ2pNn/TDXNTRTjkmRqYmitsNExpEqCVU
j51PcSQwGs5MMvvoGE2GHlJe0F6TZrbkmv19c3ssdEgfy6k1akt45+2Gfiy10/iWPDraI7gbDYmE
0Bn1e0lELusgsiKWFxpo7//QDv4/2f+PZH8kFT+JS36J2b6L+fD5X1XxP+H+t9/7H7i/+1+AZA0D
Gatj2ND4UWb+D9wfTL9Fp8Iw5b+p/oKQbZ2mumNLngWRNnqPf1H9hf5fTPOOgf4Kr4pNHuz/hepv
4tJ7p4RB3u95y5HZZH3TQXqng4uduJZphdEs68t47w3t586yL15O3JRVjMHRNcyNR/2SNCykZklc
HEIiYrGtRvpemaZgi5fABp6uKUZ4ZGPzvRe0tLC16o3EDiQCRvdtzAOkaoQ0U2oEED6Ew/e+XJZC
U3WfOQkixDCdd+whMWKDHAonf3JUt40A0Yvkk05uYwqXboPrwd3oylkaz0TateK74lLbjRL2zpDD
nLyyEcRiVzWf85oCMvOus5uo71HaXkXdX2EkonXrWk92MRLRGVPfE2GUboIZB6QezPsce/jYVQSp
LiEAlFK0vb10/ZKUatqsFcUuQa3uaUF2STWZXkeJOMWaqTHF9BdW8Cumo5GHf2nK8KhbteK5bUW8
b+vgNRJJfPHKPro4AcldrUHjxhmD6Zw480DjqNcx0ucHVK5QzYqmMuHDadq28dBjojXQgcM2tDxj
h4NDabqVItq7GLJX8ZS1dyaGl8mDKyXT/m5qoByX1ODyIB6upKc+uTa8VDNJ0ydX/zL25QFVdP9N
0VOam4ANVEfF3UNsoxkBq2OKw5t62NQU1HZDCamXilm+SW3zpQhca2Ma07NRFRMSAMUTlTVk3Mmh
09OTKyX7kzsM43V2+EArASK0HNPysPT25KxlZ8+o0SzyxMLVBFJy9SaiEpsQPz210UWWs3ca48c8
yE5uYBGcXWkEhfGESV4T5wQsAUdH3GB2SsqVqDRvP6n0SAyg8rGVaPhxjOOUMdU7bkg+Zxv/1YML
P5EBumynhn/dMDgj2vv3l7fv3n7u9th/+vL2jcBKdKzD1vn2lYaTYJ33ZL2rpFtkIf98jdvzVbfv
3O7OOTNdHdqPf7/u7TCshLiX1dx9rEWT43v7x4HenlNyVlNNQVL1+8O7/e7tN5C8EFeg4+q4/cbf
37h9GSYhVZHb3Z+O78dPavOLtNG3hmE6QYD89w/+dPf2g7eXmQG3IIOH823m5RqaoH6+3TSGiRN0
dtFJDpN+HiCpUpCmxnJLlJaeTNn/4GfLzxTR0p9uNMRL4N9oQ+J/J/gps5a1H4/RIDN2IkBjNbze
fuf2aOdiGxFAsqgUWkeJUVbpGZlqpskiSSR1s5/6c6TVd/FYEj3ncSoZeq6dA/x159s9gc96S4aE
Qos/tic68cfhv9k7j+bGuTRL/5WO3qPmAhc2omcWIEEnUt6lNgilu/De//p5wJzq/Cqnpit6P4tU
ihJFQSBwzfue8xxvXI5s4kiGQ6JfpGXuC/0AVESe0RPLs7Z+8KzYOFPPUIastkzrb/jIUTat3zI6
AxYRQRiho803hWZxqm1D7YZqNM9K2eb5+hn1ihA/xfy4KkRayRuscWEtEAnOqtCGTYhYEm/f37/m
wHuSPUu2aX3G3ITfGi+ikJTKA10B+6bKC2ILRnbCepTSV1nP+zJF0AGSiuZjBBrZS3aUlCG9Es+L
o9EV5+uzrh8EEolfD+nqJftqTN8RHJYMntnnGNb5XkKLJ/ZyLk6LA9XO9ayb1uAfqOdDDlm40xXV
K7P4hn8LwzjRq7tC6BWsg/QV1Cuc1XrMdy1uEUAEuYF1n7KaXKjrOrYznWc6gXsvL5/zYp7O5fph
SgzUsDoVE3xx09lo7sdhkTeEouSn0Ypuo/t4NG24B3BfxFBaxykuwS0WdBXXD8OUwMMC/o42RA8y
evBuC8O6cHjBIW5S3GxpeZHFB8rr7LyEezGiPmqoVe3oiy1nbdaXsyB+49wmeXpc8BUDBvw/XwfX
U/vCdGF+rk9L1iv/+tnXGjuk50K2z46jBkYgVuQFyrX/W3gEQlGnAJRtCuh0XW5vBJQ7PaZfPxBn
cA49jkQtWnJgkY4q8YlIGIJpc3o1E7jAOR8PJhjYaguSVAYF3S4AZwgPK2m9Xi+sRrKJJVwZo4Mb
ZpfaLPPL0iIqRsbU7K4PTa1tdzOuDH8Qc37BwFluR6eEnU/D0W5D5YObecBedN/0GdhqBwhJmZIT
mCr4ihC4smOf0iYDRrBSOJR+51jowFFNvcXshw4gQu/AC+qHa4D0hN6TrcAacDatoWfmujidQ+yb
qhmH3UKtO6g7iSLxdxT29bNfXxxbFrTXx9cfTATRbb+e+cfTrw8N3p4dFuq76692jM4BOBdDxVh/
/e8f+MtL//q0YOHehgZZXb+P5Pr7rr9+ycEDYC4Jq42yY8hDvw/iL89vilbfGEgZN0qsUVta3ZKy
tX5w133W74cs4f+vr12/2w9mtDdNShDuHnepQb4uAIBCObeyrylpZ1NAd5Ebzv4KSOor4ox6KyDq
2ovzwXZtuPQJ9vsUwCub+3cLG/7EeT1mE44ty8S2sxq/t1Sa96izB3g/qbOtJpufIFgREEkWTEvM
ZjjL5mNe6W+a1xxtwnWhMeLehf1gRLoiH6d6HOziEBXzY6djCMe7wd+sRXca5ak+NeG1SHJJSx2M
y0DRDNN0YKtc3yAVJlVDX2DhZ+gu45D0Q3BLDpmcun7ykhbl0+jWRwqfdLrZ/rYdL1/SVLcdutjE
Xb+PRULxJUqcHdaBHG3MxTFqVHJd+4x3BKP/WzT0k8+83B2gLCLbNusJiop7myC+TtMIglSufeRV
PqAwp/GlJvdQR6mBDErPt4DmkE5jjzj3KGdxqjJ7CjhneklAZCKO9KJ7vxhaj/LR0G4gQcUbqwyP
KRAHlihWHIT1dMTYQiUzjqCq1HaIUiIxWEjKY2QNs28KMQV63Wo+RAZgdW03+TVig23cjtBwWIGF
aw01lc6DxvvQxG1yuGaj5KkSXPktvewo4iSM2Wc1tMd0tva9QvqVyu/xKq7KxZOtgxZB13CZNQko
IG/fqdQhBQvNIYjRW6Yz5oMwy5sjMPVsG2vaihRPnysDSeO0UIDqFvtDLYPCVd20u5HLk7WYfT+D
BT7Tbv4oXp2emJ0lq/ajVpKaLPA/X4l+k/N1dCiJG2BbU4TM+8qefOmBLqSCMm6NUWNRMQEmg+3N
X199GCKJtt7Fccf7yqnCIOwJltFhii9jeqDXXG2yhF6Z273hSPsR9d6BzhoJkSGw3ri3ifuVB86Y
pAemJl/c6MAYLx2XYxd7AvmHx6Yho3RVqtLPoJmbpWheAA5FXk4mcfnTgfcDTaAXN2hKx7H4LDFZ
b1tRHhpAvJSJurOX2GdR9dEFUOveaziDEFo2iJGxNALQGeh03sh4oJVH37PW5ce0zPODLVsY9mlz
iUeuJTqaB+zW8Ds6LlC3EneNNjzl/Qldm45k2Wb5vFjgrkIklLa5jsneixdpfVCT2wDtLAQ0KImt
pJorJU8UlkuEdZJra+KE2qZqOqejs0baevvI4n8PAKihXvTaeTWThlsqVIehEZIkEeMQ9XYMnwnz
XOFc1FzUW0+cUJ1kQamXxCJxjBbl1sJSmHKJgchV0h96OR50kDIyZJVNWMtWisNAifjVs7oXejef
k42vDnu8AhxqyD3Qo1qaxH92DCsWPhO/oI6OKw8qKjJuJyDu5GVqJXaKFjpwlcFdb+p0T8fHTji3
SwEkyhj3ViFR8xAhsRbqzJskvbPJf/LrKHJRsRIvUZE3NCFQZnMEYtpT7yFV7ePYTu8j4XDomrvb
iPY60d3VF7eDbg3UgPwpMotQ2xoHe/K0zylqsl2BqiyE3rjNZ447QS6zseo8DnKCwXLYaTtLpa9W
RhaXEZXxxqgiMk48zk8/z8EsEw11RQNKV0TVNnaVEcD5v6xLHFo4xIRn2R5naufDvMRXT9OpVGqV
SMwLjTntQpsiDhn2U23Y6V2JXH1Uj/ToXFrXA1hXh+tRo+s5zBawQd0h5lYh1WUlX0xOupk+XUU+
LmYo72AxhmiJQWJMAXWVyIHZLwwKemHjHV3xE3J5eIidnEKiUhgh0pq/vScDHUUmm3BOraHvizbL
d7ODsEHj3UiskeziuPqurHPSfXUldEMTV8K2iKcPdqzgpsDb0d/DxupGtC5Z2oWHpfKoDYclV7Ac
Lo1DsFGC7oLQIF61FfKi97lPsOJAyspCYzYdH6PF+YIEhzKh6cJ3WEe8dq0JdnXyrhdNF2QhNW3W
T4uq0zVhI1p9WjkDO+BhPK+B1YBdo9f4XfUndwnDJ2p/MOLvc+LFSH5TpGYq8ydRJddCeH+gf4VG
yD4xUo2R732Rq0cuI83C0QCuaU1ymtHD0WdhaK6/NAWTktl1P6sYK0fOiUYdNhjbaN2ORgaGOo2+
6ZLFzzC/2Vnk+b1ck0xikX8LdWZAjwa03sCcry24uSMQxJLAgrW/pSCISfoyJtZ4OlQ9tiFAfaDy
i03eou/RC3HLVXCWLrmFsftYjOlFiUc19hdB7xKakYaOSjVkwGQMJ8L8oozsFf/HYbH1xPcmhKIZ
cNxlIDzNHof9QJwGO8/aIn6isKpyC3kSzgJOatRiGAbDJJgL+8PM+26zVkMTvV07qd8Mkpu2vTl2
mCTim9Cpi41oPXCw5aZOJcVU+56sg02vQQ1uEtfxzVmvdveVWyIKru2nwhUPabFGhkXRCP6y/Z4V
6oA6Cz34ZH2zl0g8mtoPNx8OPXbgx6m2iNNmN2QTtoFS+FBZw3uTsLBwqf0bipV/TvIm/o2NltaD
n0eKJfICJmuNz0BYWSKdmdHSbpcq/jHW5he7o27CIELCeBWmAFt5ehjeZCudPVMGbyIwbM+lrcPE
SFL3wLBbrfaW3J02cHJAhyXRFyfGi4Ja0JcThS1DFs9RQdFGvVT58j1aqpTE+7nfYV57X7DJHMpo
zSZa7sqS9zVSOPPZNlAOJ9mdTg8A1RnPA+XiiDiTutvoqvhmF8u2Sej4V7yqdgDQ/oGcKN1a3YoF
HyBeJw0ylyRGhIGEKU9NosHMebkdwgY2SVp+wEKjPZs+ziOiCwt1aNxh5BzmZt/NjUUlTr24Cc2Q
65LLQLTomw0TtJ6wO83Wve9ieYRLeO7JqdUeGxgVeOsiIY7usxoUgmcNu9q2652n4p2XAskiumID
oz0OmnZ5Iz+u8gebLdCEVIvwEO9udmdgR5a8GRyajajgcVp4oV833rKfwERjbQrv8U/fzeNPS3bN
bsq1AlJWau7cBQ03UUxvPY03+LPmU9GL1zlq5N6N2MIn/QVpm7xR8oSuYjx+pOlC48smVg1vCVmX
7o0xjRhFDfwRhAC/E8hJkd1yfmhd+UMRjbLiuzy/imIdeV2ZBFFulOCTb0uidsBuU+rQvBAxuMnu
M3Ljo+kezcp1D65C5R/CJcZMNHbn5iFpF7GNY3DumVsu9/1iEqBDCJVTk4RRglK9qavo5SBF+VHZ
gVoyedTG5D42FehG4iY2OeqCwqPrQZihiTxulQG3Xcj6OjwYjqnuRonFrho2bd7YT3Fv/jSwSvtT
rCw6fMAHGIoH2IaiPbOuK1P9a8SiqcfNAzOmsXYJpkc/Y1O6A14+LZcez0PN3X+iJU7dgT99Tqb9
2DtvaeixujbyYdtjCwhSedahDeWwY07l0kxBkY/xEd/oBfTwS1HWiFoWt/EbLyMK1s6/aNb81A1t
zExb0232mi8Uw+0jltwEu29qfOupzGwtY4mPnTRex7m+aejSbvVGuoQv3WU65DzAEcy6/Y2X9EyK
mrp0qiJwaECVhcfdBzVvBrKqSVGiU52EJRkG3naebIWqdIZrgtbbH+r7wYgehWfmW5cm2KaYumeh
zkSUDjBQMEK10xLkhs7ZNzQLHTZMUpVDkDOnlbOErYtS6VsbEjXUwZVJLXY4SCxunZZKIB7ROzsX
5JplWO2VdW+Z3o2Vdxc94nBYVF04T+CzwzsjwiBtd+7bPLW4Kcv2tfLGx7QyX2vZs+LtiHwstPQx
08GpRtVsBVmgxxjlo49sjAa0gtmwTRMwz7YXUtrYz9MI9iZ0D5UWXYRbOzdLn9hbv8LjeGpdXEcG
Fr62QOVnkFELaMW3G+tY6wMBAX1xm7UoGdfRoqqAzyoZykNLlT/ajYPxjpUm2YQjYvtKGrdTAYJl
iFLJUlq5gacZ3ysUzDdsggBhUvyvaFt5i1WC4Dk2Ey/nRNWNRmAFTkZauugNXwdq1292hCRjku5C
q85HM1V8l9lTX6cwHpVy952bPsYG+Oy5gXFPl9TcVuoHCVzjuVY9bvd+0yfVtBUOZGa3ctl8oXEM
0BUUvItFvsMtfphyJkWinlgVrSWsjhTXNA/Y9RBnz5rYzEkoq23SufqpPIQtxQWboQM4VboZIoNs
rPBOOeYlTdxhx5VsHRHqPxuIlBu3dTfhDKUo87Rnx1MtuL6SzXR7LJGKeAsxo1N3HJP8gJ7lxi1B
RA5wQplaV1a/7SBjNclRbxu6t6NhscynRIqS2tmzrTwSJvAzFEN2iJF9M5IjhyiwB+HjZvGxeKe6
X1AkIi3YD8yFgden06b2EAj3ZfectK1xaiM2PSCq9Zt8aHChYEA2Bfl0CjkgZqAdSs5n3ZYYrOuO
oAlIL2pY6Wa9TS0Ol4e/GveRpG7bkOm9d05D3xY7J55ZBK+M0owLSicDDD5IDZ3VQu4Wm3mAwZQp
sErQAGOkwgBDC5zZkthh4ePD/uEII0alrb7EycFF9spkZya7qLc+kMsyfsBE1dMQobPjfM6qyjYu
6cfdCJ+4R4HhUW/eKPTrm7lMmLFwlXLG2NpI25+X8TBM9nMTwnwishhFSEe0lcXQX6GuUAgbb8LC
fVVh03OOC6o1K21Z9myeRWEAG68QuLXRAwGWKKAQbk9C1Jul/pBpd9Lb1ybDfgGerrwssTbzFr2n
c8RuttG+NhQpdDHJc6vXeAoXkBpq5+a186hlEHuovp+6YqooA84hZQjzh7eo17kF/Z9HeGi5h3AL
y1Uy0Oar1+p1qW/BACHsjIryHsNWvVtYmwdF81rA42c+oZDjaNmuMzHsZfDAoEKjHsgTd1svItwP
Y/4sVdgHU8ey1BDFWyupAS/wVJZ0ARlNZ9sQQUHTqJqzh4h3jBp3wjx/L0eW0J2gBjERHd179oNZ
Jz+Rr98N+fCMGtMJiIKl5d0BUeeuTNhwDYH8bMGrYFKzcRQQGA440m425hw/Z+zMjqAIHqHZnApn
2seucWlEmOzp/5EuhgQyidEJyXxHc/KVqiiWSLN77NablHrkdma/iI7FPI2w8G5Gx0+/AldeLzUT
Qek406aTobeLUasmPanRfWTuCZA7uERe0XqHsOx1XJkeLdW9cMbdmJivo60IdbNadmXR8nMZEbJ2
msmNj6Ku/haqYS+j8WnFDfdq+m4t/bSP8KM3bo1Vh4g/RGTwEOWKCw+9nyAkyMqurY9FZjoRtwkS
k6ydNzRP7rgsuiCfkRuhjMAbm6PLbdfZ0Z21e0Fj1vfqryD9EdlVzxIz1y4Osd71uKqbNn0Qwnwe
s2lNbWxzavbOW22kNCHNYvZzPXCgRW/i5atuwmuYyMmLGg/VqMVWUTWm4YNDDYgzTs5IULAvTux0
xvKOCLOQ+9rDVTpifK5k9t5IWQVRpUsUv2br6wZVW2osGmAuzzvkPdYpgYdeOfNRNg5La7FNlPnd
0pznJuvvMg2aaJlOnwWwcF+fSbG0JQLnrr1QntxiJ80OWv40tF8TFOkAS+UHPggsefRe9bjH1C9a
cbSn76wxkyfHpttIyDresvLYD0QycbrZlI9ErCZBalls2uKe5TNVMB9PSbt2RX8sw5qPYSJYcliR
121L5aW4x5Lq+RGO4S3ABg6NEbsCEYVTttQPVsKfnwn5PVV9sUPE8b2DMneI6h6mHsrJ7dyHNK5Y
XvoOg6c/aZDHMga0rdZp1CVVAWGrJGMAqb2w54YMFdaH6ND3lav23EC+noz9ycvi+Ij/d+fGuLfT
DA14Us8vc4f1nn49rAXS7rq4Rv05JKSkmfSgSrfeRz1HXFoLaZKFHp9N7dJC8mJ5nd+ZSXueC4qH
jZMigqN0fJID1ZdWvpUo9AISqug/2IB+WL5auGghBZtQxkdwA7pz4I6hatClDx5OGFR/TYNWvwMq
kGu7OtFXxbWHZUP37rtMfLEtMWx07N3DUHpnab9kMXqsrF23Rwk2oUL0W8anfS6KT3ZWl0UcjUVz
78bau51QvW29SfvoKmphA5WC/ezmciOz9qLh+9lMWJGC2SLLrQROT+Ln7VB8j9H9+dZ4NFrmzVYS
HAKSg+nE/Bbbfb6NyieZ3Y/9jFkkRAxehaoLKg24kVaYIVFUMxRgqgya9ujKw9hCdWj0FuZTSkru
VFE3F/cu1dJ9QTwOF9TIoj6Tl9i0n9EO7y236zGtZGQTD4sDaBL5KqgfdtBnO6TciTy73MpKfyjc
+cZK0KdW6MaPcTZdDPB5JGVRerTiEul4RTUaEWE7xYGMi4clNT7pTRm+A1d5nnZ5g9RNT2Oq0CP+
wlh8bSJPPTI2w+8NKaJ4NPrXILZdxkYpIOItdp3sPs6xgOFVwUiOib9XZONo+VFfsAkZcrin89/S
xYG3niQ6qwZUj7s5o1A91Cn3YgF7fxreSITsgqVLOcFpj36wgzpddxHgamoQBhc1ettNVGfxkUzO
S0dkeQgCL2zN4d2Z7b0mhvE+bjHSm3an7WZBhto0KFhdOKb2JRlPp5HYxA3tgX7PLE75s50+Ha4E
GhKHTkQD10eL3sHM1MY2zhaoBl/N5Uu/9omukql+1VxZObTyXxKq6+Prd5pVUfX7OdcfcZXmpv71
OdfHv5/9+2sxXWxsEbHgVuAVCpjUyyZfkmynucbTX17m12/9py/pZkDJxdwa219Pur46s+Ga5bce
8F9eZdXuAVdJWKXhA4vC8DCkrmLBu/6Jv4/v1+sUqO2gKHuwy9a/+PrtpunJ1yJ7+s9Xvj7+9cTr
X9K61meE6Dq4vnRE6YlX+M/f8vtXXU/c9WGUFxFBhzh0rw9/n1Fh6cU+lvpN3GgvIRBxuo3UKuOk
+gCWgJNZ2GRtqLGheDdE/pBp7FwGZsyJ1FoUNUy6Bp7bfGBTzJr54RZujdi6ExnEiSTMQ8D5Ux2V
MCx8LxkjXNIZW1NX39jyYwMskxp1eT+SPDEzzOcZmG/a9zBltLBPttNMbrxdFC9eXx9miZ7FQk8+
fB0yNOjWkncbq09vhaAMmc8QRmbNASGvzuiSb4Y6+ba2MJoZwHLSV5dKLp8kJBCJU1vn0TD3HloS
SDjwv3cEMtzKHJ1vtgD7lokat2RHJGuOlT/m4b2QDKiJg0JAkmTH/giT/1I5yP5YAHp3UO2ouQ4r
9gcyQeKd4C7kQSzNbhPb+55evF9k0WWKl2Fj2zmN7ty4Gbv8K9b1clvS4pKVEyiBd9CT7UtXgIlT
Ke0ah4vWl9l0ZGI7aJW7p5CGbdiePyW1vHnU3tHpaIScTmekORti09j3uoDXrbjZV2RtBFEkd+hD
vyDLYefQ7UJoJAi8yOmY2jCIx4aWuVm95pn9vRzltB3q+fvo5HCRUpOBW5aDnyjmQCzDeTAs75Ey
nsuM5W3FSIZ5pSIu5q0XVEEnwuLgfRuGiDeomK3DmALeLnSIIG5DAz2JlwrdkbuvBTpvmAJhGOtb
8pNBeEgYRX3HaDpkbDd6R9eP3Wh6/qL17/VItoBjps9jyLrCrpINzZ4vC8gwCmkO7Sh8c1vVZ19n
JjXIGytKH6urHtsjelNjG5tQAyhx1kSH4ASkK58vxS3DGAZfxAtWp2mbJLc4+NoDphk+wImz6JEh
Jp5a+3UkUQjGkA00I6t33bzju7SZ4KQjCi/vusV7bZfqBGLlM59isAR0Lc0IONiE3NrSMxMtjwPd
e9U82ZXT/hJq/j8R2n/SKenj2gZeIdMFUWmjOFlxo39hQUWhOWdxT3EKdqv080HzTk5KZyHWs/tM
oO6IzfDZwi9BNHNB3l8XhTuQlfY+74n61eSxbQzCDjOQDEr1N3queQ/mNPtT5OR3KRdC6bRPDAXq
Xxz4n5y764HbgssBCLC0qfv/44EvcdHYMzXaI43g9KjZFnINynn+BHkDliZZSS3gEXLvozsriQhT
k+Ro/EW6ef8L+fpvRU+wWFx07f/89z8JhesxUP/g3yqFdFnl/eMxxHWc2FOUw8bqu/kOY8wx1ZPo
yMpP33ggwA4l+BwMiU8uKKNL3IsTKDmIIf8CJvknXPt6HIDSPDynwtVt+w+acFrOs9mkjkKTHuIE
wdN7XF0SrWAQHNvkfViQK5eZ/ay7ikz1VJ+Iy1OboUK1H7baZfC6+syC3r9CyhSCGearjBmdGIHA
VAzTKEL1S0iYWWhaGCvH9lJpLUGbDv1wGKskZSKfDspY/7TdYThMOJBSr3TO1w9EaTvnLlve/+vT
/0+uXbg2MCtBYKxkcecPMWovOpdEukgdbd0AWogVncwv0kJ05ewqDA2RueAwq0f2lvhtLKM6kkFI
fz9bWLZP5yJXRPGJ0TzoVj4c4XnhMFUR/tcqHPZ45w2M1ONTH2Jlvh75/5dH/2t59HoP/Y//9R+/
Bqh/Ko/GY/6nNnr9ob9ro72/CQ/4t2PY68j1Wxht/c1x0D7b3Ib/qYw2xd9sXdcZJhx28Kg5eZ2/
K6NtRNOmIRyeIFxUVuZ/Txlt/EGFhg3oGCsRGvy5dCRt4X8cCxrdTuq+VtEJkzipn4raUNHtU2UA
b42MDi5RBvk3DffXR9cPKJ/wdIvkIOa0Og7696vT4PrBxUeJKW51Hgh2+xvRLbdpTCazGVHw6jL7
gIzsoxNhREmlaM46DeFI5j/sFiEkQ+NFwPqKBwr289ofAEEEVytPzlQktmoycAr1+h2QkBj6liJp
q4j8oiG7rmCTF8w6E5vbL08D+Wf7alluevIufRsG0THUBGVQNx9RumyRFteQ7XVgK96qI4P7cZem
gT06p7VD8yamUwEyYoNOAygoP1yEX9vKtiHUhATfsVuL+53dUtqzCVnelvT9N4Y7F1tk5LYv+2k8
GVZI1zSshmDSZOJ3iszv6Dg0eugTSkngWD3uDC32qAoQltxeWSEpqxj8pTpAwUlFnzraPb9vkoIk
UfFDGs945+Yduj8jaLU5DVqbdhCTpOYvLq2+0qxVkK3F2Gp4oRyICDy0msA15t1KvZQIvoFq/7QT
5zFFPHrs0DDEcCiCTjrop9W9W83HjkDkrbDBRWEE2piIYnSjH/bErLQu9j5F9TkOhAN1BK3CTV2Q
ukUQXngZQ9YzkaHCgJbLvaORwU5yMUXitEUFQgs9BtriAysibH3hfKRhCksi6cm1GQcibUkTLeH+
9ctna+ymevwxeRBKiLph60hIK8iLbNtmgiZBmT1Zo7et3FpsyoJYuLqjtkJUqAAxXE7B4mAXdpsk
3OVdA7RJG5EradlpmR5AokaHrEKdkDrms5c3eIM6ED2DeyEEXTtyam4cqKA3ypI/hiWnMobucjvq
vL2apd3HA4fJzoE+zR7oAxdORi3XaVpgV71DaTsdUDKZIFdVRSMQA9R8pDETB2mjP5CFTMM6MaJn
VyOwC9bDxqglyqhMsDTrOu1OGJzMNFVHShFfpt6iSSCQQmRr9UG3CTOd0Ra1A8EYbM6UlpV7WA3R
qWipJWQPc5R5HIGAHEv/BhWF9UIlg6M3rBPxjvmmxIS9HSjYa4a+6aRsHm2VEAZv1CDwuM9c5H9H
mv0z2JNu07vm9yzU8w9giW1tQeHJT+ZMT0VHy2zqC9t791ktxRe96PH9xjFOsjjE3lA+Kqibu9Js
D54sMPZreM6gcVP8nfcsaPKdRWNlnztb7Mu8e5EGg0UMCKSiklrLbOx0OmBDHM4+CXtkbXHz1PgU
urnV9ji7h2bfL+peTvbOsOydbfbsbqkNsSxeGx0GWYLQZw+VY9AuKFlVVIJyNU55sChqV2U5pQ1I
jobEKJhF6cXQ4zuUXGVgbuJYjrf5/NK12rK3qibfaO7ByDX1JHn6JSEUTwj3izO4x3aE5KRrzrnM
zfsp50LOc2+4qQzrq6DPFy9ltbfJ6Nqc42pg6c7nGKAxJ6r4JR6RGPRpE+0UnKxQp/gPiFmtJkkE
Jd1GFPjzs17L9uRKc21Y9ywDlruhbd+1IXpLzBRNtVnOwdLW5bEJ3R1CxC2t+6/oBajR29kO4TPu
82UOVGGjevXEp6LgRSsgzGOS39jIBVTmf0bZcOq96ntIPt+tgZDEH2kJUUJiW9BMhI1U8xJtDYGk
PEQttKnBHvm4uEET1xvTpNXSobveZM6IHC0+WAtbOjPTb5bFvpNxWNG7q6og7duvZk4bvfS8H3Ft
vveAMI9GgXCf5tedPst4A4+/JjFLVGCcmrU4nmwLhrbtHJMuT8l7N8/z5wxljLbDcggHpz2IvCQg
LI4uUskbKjCSmQhVdUwRrS7Gbuem+cloUHhlsXHf4DSR4SEBo7Kv6KoiSmdXhM/8lh1at7w6E5vW
sAWh5i7u93FGsWIwReAUOUdjfV87qj4kJRSwIf6WFG5CghTV5lLDnR/Nb06XukEzu0gs3IlPYASZ
1vLZxA33S0OZotWRrFWUk/zKSC2/ibPxkIrxJzn3ZaCn5mVsvRmOAgyWZKo3Q7FoAZmP9ZGp5UGY
T3VZWt+d8dWOs/fOweEyxp6FpI5Z00TdsMnE+KPz8uGhSIZHmrUuxCw2M4X0btqFnTJ88I94taum
FzQPJ1FO24mddDPlyLJC/aTbxHFWWYWZUHlbhywNH1x75XfD8C233lSu1JOIChgyLaNKfjsTGrAX
hEZS2hSvsn3osbAHNj5FnHt9FUw4lHzvK+HBKJ+wzSgXKc4cyydR5umtEUUMzHV66Kgp7hx9VVnB
6CIXSA9UWX9o4HMCmRlkvnpjuBPstjcs02UQ2dMLzYz32Kwq6DBsp0dkglwfH6ULjK8U3RfAiC6B
aArErO6Mmy5L4ISUO0dOBTc/2VeWDvhUj8CKzDFib+RH79IxkhuLmFGKouhZLNEGTSJRBLv0GFCG
ALWgC4qMhAyw0csCaxyOLr6n+1If86MqeFudmiZgsVbTEyfd2hib7LQdTgTEJ4Ez0CxJQRPscxYb
Wb02QVsaWMy1dxakSrdqgNKhuD4JI2MTJsftpLzqjIKh9mOrPdSNAvuAGnXnlOKVqsO7jGlszW0R
CEnTcUoxR5ap/BbNw5ae963WVvRiDGhhlZ7By2I8x1t6dHrtkW3O/chlBHL4BuErt3Hcat/IkZHm
qD17IrlTEtDU0na3pLhk3dKdvDiegyiGUdXOy3tacfOS0uodlCJ4lnT3d2Yda1dg19hOLpOZY+F6
IPhEIxGWCp3UUXIKV92VKvbbCns9HEMo7zR8RKmfii4bd0IjxHWw12Z6+wHUjFLK7MSnxtJ/xB3r
DHgfUJDrZG85agfmSaer7IqjpfIlsHIiH2tQIhsHb+I9cC6U6Vb2MtHhXesP+gbreXhLZ2QJOs+l
V79a5/EyI+9grbAhRliX7xzlvGk9ArEgmqvXFjZB4Hh7Uzly3wPmtZuyYNsoIozZVnLi9lpL2YCk
MXORFVaEG8Q46LlzWvCjK88mtjSImDGzYKU02v8pK1KAGA9lZVA1oeIlwL2nuU7gIpyPhhwZqlxU
VwEmtoPU2dsB7fJi40ZMYbYFU0HQnFcebGSkmJDdS289c30SJjqKxJ9tkW4xQpy0IXc3+djrRyZv
rgzZbYFJdgHu+YKlGZRZEd0QBJ0jtqlZwGjGDzAJbZDraODotBIf3G6nIh2PtSLcsBgI0IOsuKuw
2zDnRGAGyVaUCByDmPMJ2IDu4Tp0ZuSVaqK9k5X5MRlcKzGs5sXLYfqm1kfhYrOY8Qs9UxQXW6Nn
erw+rOn6+MBwcyZ5wQziefdJz+J0tqxjx80BCx8ffpKVT6IxCyTx8XIexTp+Zx7kUrMa9nBqFKNg
+VhLi7Jsmu1SwGivuWpPBApYkB8IO2Q5gitOFJekY8FuWVG7Ibq7rh80MRK2UTgR3PJlDYVY2BjU
CfxH515nj7EJtYa+Bm95njBy51UcchGWr0Od25cljO9kvrxVmtkyCWuEw/5v9s5juXEt7bKv0tFz
VAAH5gCDnpAEnUS5lEtNEJIyEx4H9sA8/b/AW1X374qO7hfoCYNS3itRJMxn9l573MVi1/idOvoQ
Zlgju6AOs3zNPKIaxtyA+yn/mrKFnLcEzalHvvOOKPIbx+o9WGP1fZBopDcBcZNeMLO7L1ipDc3F
S1HVdYRNTh6RnZ19YKxC/yHR0UI3eUMATlWNPXQOcAi1pvqhJjsKrQTgZY8aDCq0dzvmyxR2eXtw
YFxjUNsIXzwBVfnZpcFJJPIn8akMRvMEDZVCYK1EvM0QJmwnCx9BAKdXA5Nc7DThlV7gljGFtvhD
yHXauvHCYdZ14RJ/IOeZz22/zSI6GBqHdzISs0MnuK2KXhNc1n1DJnQeC6u8aUvGxNRLJ7snnqGt
K+/suPUxPifYJg5JrL9d6fsX9I3DdiUIZvh6fhiZ/lUEXYMrFgN6ajxpJKGvieuVhzT51ZFwtwdm
NN0u0PXY20InOi/O1Gzy4WfAzIRh1r25BOkFpx2qT+hL1K4EZbagdJrlXfOpfc4ZUrEpr/7EIfj2
C5/5vPVMC11Fg/6nl5zTid+QHyvEvsBVwmx0z0SfQwkshUmKZdGK+NR66bH2BzKmwQJs2GR/C4+V
4mgIBqQeV8ZGdy9xjQPCrXexxUmaVG2wEzPH0RI8yWS4rWLYGFASuQ9I/6Qcaz4AzX0yTBzFwRQ4
n2XmhoTrhWlmVL9EBjdNW5zaddNQ4VaoR0rOZHrgkGAbdpWED8XpfduL4hksERdol7+/toz2bE+g
WgwRYU+x3bCtTGpl3pet4OzeLYyvUX1Z6pBLBGtzd197DJlSpFq0+/HBNDED5hDgupLb6qz6+2lc
ftp1+TCZYrjVCIj3qSAAD53vtlDVWlh1cKicitPRWlgDoK9OuvlRaHvcYkN4LcEm7D2a+wnXwb51
Z8QhrCAnXXt7ptsTEIcY340n3rAf52ESjePJKMQId+EbLnPBeVr+ydCVJG2WXiyt7wXNNlVmDjYV
390JKPNzkFveTev0yy7J1+23LXcxdcFtJUaKsbKBoY1S7ATG4lLX3W9kYF6I0ClEIY8ekTc7s40i
zH0YuHPNBCCo6ubSZMl2GtvXVsZpGHAd2E9Eoe0tU1sXZBFtz9YRYJ3CYIGqv5DAZx1zk3bpW+vB
pSeiJuNiKn4kPf6LTsszGx6cQ+AdkjVaIF1pbjGvjY9N/+5S66WbYuck4Yq38Y0ZAcnta1oYM4w3
nZHsCs3FpA4GbDQif3Jm50Y4c7Mf064MmUFgYI1QmFhTpW7MvDuj4ltTjUHipMpqkBuzaa57sfHc
6kWo9Pci1ihcGwItNoltMbGC8LNPMPEZE4f+NmbJBIGIsw2Jp4XStnbuAjwWXI6O3iy9TUXx1sir
1Is/oYpZ09eN+Uairk5qGKR6rrEktPeG/5yOuRui+UNFZg0PlSfEuTENceY6JcvN9WvywOzz9dn1
oUasOEDn8b0OPbTx2LQKucGaCnF9aNzGOqv14folF29QM2IstvjjxLleH5JidLgdtcmd53nZQTgJ
OtoieMD7E52uv61bX8L1oUaDcdZQ9v/9IszehMINaiqc1twJvT5cn/2fvuxGEGuV0Z3k+gLNNcui
k5/KrKzT9Yvrt6eVwJjr9rfZWuzdUZehs1wonNYXe31m6/Qe2JqxJ3zLLv/6V4OlL4d9fCrWN41I
BoRJ6zM7q5ytJax86wyZf0bKoNftm8zOQ/LQ93gxZS+cHTR9Ys/aigTrpTur9eH6LGA+99czkuvq
63/RUwCIULRYirwRPQ7VbH9mZtKf7S4ecGCC+2azgBQcOP6AhIP/b5o6GlA+JtSUABZ0vFNVo88L
ws+/HiZ0c+TX//ubmjsKRwkrEnrdB6PNx3NkSk0ZybNgffj7exXVOhzKbOtN0XjuQdj+9VAYGoOc
nz5P3jpuk9ZT3EAdYfqncKSzma8Hne7EBBXm7wdrpZZQZNdntIfjzjfjDrGtl56soAEZZeT1ceb2
fC6GojlLanQOaHRTTms0fELoNCm8kCWuXxq5ae1Y6a4KOyaEWekBpeVMPFneT5ZQ49lEDX9okvR2
shUI+vXh+n1f5egt81TjqPMXF80/3LztPA/6HKCSPTdFgADHyHtsgOVPK7sAixvO+eQW3bFOs+Fs
SD9DFTUCbInr/vz3Q4Ef/Jx7qDTUVD1ev8/vz85AMzNzAfoZW3YHU2roznVlJkzxACPNOB2IvZBn
G6QG5oIEj0jn9cSw/OuhWn/pCtMsuNrzzQd7/QkWYgwo2fzAZn0Vw1yY1NDr160xk89QSDJTW/Ws
XI67zIHrb2DniCWXSTmiDjVpk6rKhP4VT2qf9K8BamS2ogQhJ5bzoaemJ99oZC6ygC1tmM7KzD6N
uXGJcBH6rUxYr6+acWIhNuR+LttRNShd3OinL9VjnLQHbWp3T6Ddj8YO3uayGkMkokDq4Fg16NZn
ABmO1fSXpHeASXjer8z4AcCkCYEBgxh1/dfZjW/tzCn2A9U6RpIx2JfzrxKS6cHnPC41U7pMFHeF
4SBPJxFmtcfgMKJpOJLwInaefzZEmYXKLl5jn9U44QdBjk2pH4JVvBQj1mqLH6oGKh2X/R9KuuE0
uFSlRv6a5lBxvYzrJarZYnZ3JEZVW28dl7OR3GBX0vvAl8N9pvixvuFDpYgxiE+YD8pmzPdZS8ZX
MeqN2UPqH+xfK24RrTb9hIdgIxPGT8fkuFCzJzmrAPNEU7TTI3p4L/A+jeK1K+Wyc1vP2AQFDZfw
683gkSWkRknsfMYWLkMPnBetd5FVC55cvwaVvuhWzedG0Z5hNbARXjXDQzegIzTslwbrhhooliFK
v5Ez8WwMRFCxzaPLrPTBgs4AeQFXG7hU9VNDddlAndkX57Jq31K3GPA9ecw2DHFixf5zsLmrSk/I
UFWTOMXja9aP7TOTrI0nRvZ/aOSDYlzbzuJxiqHjwmzZQ9XP0B9bUyit4V27PuVesybUe58sbIov
Tw8/kX5ifJLJV7/IdFMvRoBYgQ/DAOW/Mcbqizf8TRRZ6BcSxSaoMUl8QKzFL3SnP1LkFavTLY6j
B3KwZyCrzD0Dyz30AQMQxhKbyZvSQ4v2Ly8dnys4GvEhUwEoQu+elPvIxOtM1oR5sJUEoQKbctvG
Lfq/Kf6NCcXd2BTk7BbW6Zp+XBokpJbIEQAPdHZmLTeWAjvtZM3O7oIXOgRyxLBkA/xl3NJ9MCv4
GKfM2cUu6lhcSTRLNreSJFUPKPUIgKlBUNo+25A5edEti/cOGwaislqBp0puSuuhfVoEf3hOqhQl
+M/F9nsEArNFQ6oZhDYYoBSoPTsnyECgLWkvnFocXa5zl82Et8au+9MBInOshidV4kad7OnVtEpn
H+v+IzKGYme4ZkFvz2HWZQmTi4zCR5FmlVQ/Yz4Y+nB3p+LE2Weop7cDHWNHWlFbNWj054Vw42Zd
QpXRM5C+NevTV3vyjjGnucmFk2uzrjIKFBWh48+kmJfyBBmgRr6GxEWWQ/bkPNSI+Xc2wJ91tJUw
i7HPZuN/rmao25UBRnvu3teixiybRdjIGPXNGD5Q0XzMjg8Hv4YCbQFRj1NkSUlhPVqR+Y5l9IPB
NozBGNPSWJ9q34pvuLYi1u3J9eGPbXsvNCZauwQ31o4Qqs3AvffgIr1c7WHPCYsVWpNfGKLTTZSA
5NATMk/uXhiCbW/vF8a365TITLX5px0haS6T9apSUkgTsXJpnPLZgwfPVg1NKkqSIZRO4O1JnjQB
ijJ/RmzPNWu1JDHo3kCdre8nAxPOfCbr52XMe/FgEnsTdoojL0JSfFKqi7fk0X5WnXqpoIHmkpyF
vEEuHfvNsXGdalvlkNfSuToOCxd2UcRZiDM0tGNup7hGQC8meu/38y3JYXdcsADApTQ3gvSaDSnq
Hs3lXVK8ujp1t17bvIoli86Gja8riFEHWunyOpJrSR4EjtZ5cU8QukEz2oxoBYgfYuyKVZ6aBq95
nQLe8x1xsBBuMg8pD/OcXnQeI2em/HSKOpTJ/BUb3XIA6JtvCu09U3i+mYltMMaaDmQnjWeVtAgS
e8RXZUzAWtuFZvA2EM4EdarALz2Nr0QzME2WZ3O0aUZqYOByliRdWOEymwfCttCVs4+h4XNrWmX1
qQr91rA5WPkoaLz0Z6pGCJyt9YTph8AwYWzKJmq3pYrHW20O911Z/GYY6GgPHziCPU0IAwgU5rid
itJTtn7v+g/Xh3QVFJYr3oJ8rVfmmtgaFqqU60PTUJwOXHT9MmEsNmN3TD3nbgRWaQbtU1l2AArd
LYiUc6HxJ3iKyuD6AJlm+OvZHPXkViRWisUuskA34KUMNmktWK0Mhr6ZIyc+oLjb+hgYhtSMw5SZ
JGs6J9qx/mzWQOVNTObGWTqErxRRfikLbjxBUN8nE7fxILN8a1uN7XQmmOyUm+ZMhZ9O5ykY0eQx
uN0VivqVm2RHhUIR62GsFVmnTtfvE/ImDuXY0tT7jw3j+3AZWE+m+dMY9R7+ozI429iZz54Gyuum
51oMTApL0FwBq6yT9CmEvI5QoaJ3R4CHqtqgQa1D8qXKG9IXi5sFv/CNE49MRGiv4pmUts3o9QHG
NTzGgbdKtkSXoW+h7PTWh+uz6wN4UVqq61Mks+qMnDkx85sKieHNtOKSisz6XQ8OsXE+5zahajWd
FRBypmW/YhNqR294kBUVTI/rl7R69cYz+mM7wxq+flqSjI+/Pi1Q4eMB4/1tM8lm5+M12S5tlu+Q
vJCfE6W4Pmj+tun6q5ypYnYeV5uFtwOh4aNZpsbBdrwS6LWLe4Ay8O8Hu6JU7ETKKPf69PovMwbM
iGzVI5CL8ibpEZnqKr2rkvrnlQc4mxPowzwFtV6NEG6vGJbr93qvu2ioHJyodH7eAuB7EpqFKkf3
lVl4fcY+uj8N1eu4hvhd4/tKHXMmEM12JSkGKWiF9QESCRF8i5MXhKf0u8Aumc2sXcR/sCPdbBK4
NxTwpLFLb4Q2DlnFnBo/q72xmeedDbj9MBnPadAyy7Mnid++8Zk2r2U9JEhwpLLlGFtL/euDTIdg
L+ClQB8Q5z71f6uZKSm39ZNkNT/YCWU4JRwxDNFWrWW4jDtJ2zIxNlg1HSzsUgAGHcyZoZZya3mz
txEVLpW/HwKklEcrpoUleq7Y8L6WIX6gP47mwDGyhFZmfQj+/cxuAndrS45RgHn+fkqHu9yO+r8E
JB5kF8Co9ZFQoUWaoJlNcew9Z6vXHrFcu8UAryRAPOa41w8iXlk2xTKj5uhaSSwO62smH/3IEp+S
vFaYdvy2QnOKgrdnBcSAspyMw7KSLONsYZ4a1Me/BMJxrfRhmB1c1uiWyzp6ioKg2l9/z3il3oxX
fE/XRc4+ssfH3l9Y58iBWh1lmO06PS9Wk3wnMJZcGyEDrIPO1fvVso/0FKlL6lK3Ymrb/gfk8/ql
g6P/gNfg1K9NnsYjs4tsExIASYhgk9deMEialDvHQAfSQWnqExZPPpHAjj18eWJ+yqCk7q/sTFCJ
9Rn8BGiC69dTrJl5tinvhVbDjSwIHqkZK1wlOBNwZhwB60tU6/HZ4pDCFaVR+XJxSJp3fEft6Yoj
RfFHQ2SL/iI7PkJ9pXBegZxNASK9CfYxv0SZM5AX73j9kTP40X/+9OvXZo4FZP3drKoavGY8iG7i
hf79tdY24SPO8mgM+UcS2wdvBInV6ZnDTKxHF0eIRZL0gol8Wi8u6/daxwNdyxZid/2LHTmgZr6+
D5nRvS/YtXfZBBdlbdKT2woxzlkC/T33XbdVI+yw67l5fYma/NoNKG72dGtb3pb+V4Qcv1jHI10z
xwewqvfXr4ht+KWnUodyiRTBlVO1dZKo21pSc6qsL+t6vly/vD4s6z+MA6mVOmDmfn3l02w0e9sW
t0Hn3sVOgbqETzeThI5zg0y2tb3PIVERSjecdFkCmrc55UvMhEzQ37mDGbBOygJJcwsqZ1809Q97
wO0R5MOdVVm0D3EE7GtNf2LWsoFzddGp+UAFwTCSK5coegI0NJrhtIGuhxx1ODRWwjlonIXiXRW1
/q6Za24UgUF+Ld6z3vvpFf5dU1vBjo4SuTiZb7zb7m2RLcsBCia3c7M/g1K46WT90x2I1m1c8wmI
W0dEGaqcOUFj0JUfcSCwAWhRhgX42SpZM26YLGrbzw9N6rwM843dRBeFYFMJd9ylYrjLxuJDdQXX
WecyjDhbsf58M47vnjSzSg06vZ2S+amIzGNPPYYsFK35XJ1kY/Q76eP5agvvwpj+wSd5YiMfLRlN
Ye0AB5m89H5arYppjS3Ln7FSCxpjilQKlX4EFKS+OSMXGHUUZSIlD0SY2NS6TLREtiF/YFtQ3cyN
S4iPXZ0gygxfynxwZeR8JxH+bPoT7vKKGlWX8c4Hhhw7xn3A4CLMrJxgsrH/YwXU9U2iH6cG8kqn
jGB/PRkZOhP/kCH+r1rzMHr+4YoKDlpBZNP1aT7F4tTMJ2QIKArm3rq3isXYB0kVnKdSmqf/r/Wk
Be3n/4fW0/bQIv/ftJ5vv7v+f7wSBZlW6ed/h+H+8//8p+BTyn9IFCqWH5i+F6CwRGT9TxiuL/7h
uTbJMRzFnuA/4J8q1fbJ//qfq/LTNgkj88Hn2r63aoP/pfyU/1iDpU1TegEK0JWu+y896j81391/
fP3fNeDCtf4zThnRPAJkx0WGbDkBNIL/XfkZz84IpzlOYPgRbeEL9bvUzMPEmN53sm9vYC8UnLoK
DdcwfPaDX55mAwKTNdzp/Zw4HvJxktCr+JAO7M2rKo92tI7EPYwIrTz5iVv/fpiwZyomsWSfxNeA
XJSkWTKvaopL6t2gMCLm0TyjDguYVVBCDqLNw2hc3sZPnI41BXYjgTIc/aEedzKuj6OpIQgpFjus
0GmhAN+y6mr9iQxUxyjhbxo9Jc34KeOkvHX8cZ95MOusaCJHqGB/DE8TXUCwi5PmvgTBv/aseEL9
TZInm7EQ1ilIuoTKrLoYbEB2DrndoYV3Csk8pdag96ajL3gql4fJUwbFq+eEzZo71PVZS9tO1FEN
BSSc7KAlISIp2dhBkFWxYYZFiiy9FtOPfHB9kFFcnylnuJjAWho+ceQ5G4ej+D4LYOcWQsY7pg3A
qth0zfWlHSdMriyAdl6TM64x2PrGRU+qYAMUphlStjoDXVlSZzvkTbRn84Tl1n8qfcLhVaFOk4sl
W7jdxWdJaB3LWpD+q0dor8Yze4EQx+arl4yPrtNu9ejtG4+kGy5uVUvGd/q2YOPGGRmyhrkZAZ14
arnoIXgxZf3pgFNhUD8Aamv3fU5QtNH7p/Vf7YLKn6pmE1dMkDI2X+RSIDlCM4cnG2pI2o4ARPsO
jY66safJQoZRoViDsZj33nmMwQ3Otj7TAsHMNfVFaPM9VV1+y4yGfI8JjU+CQ75qEOOkwiBfUtXr
4NSxDple6h1ujGEXoSU9ZOuuHrgDo2l6AMUBvundstuajUTmmBbN+2Jv256VOT5JDrgYvTCylh2e
+RGwOkLKWcQHmnaSd6fvvoyfTYHSxGLmvgMCeyESm8xt036qwSCQjfcoChJVc2ygzfjhxIXE4pi9
A0Zp79tVvJNi6jds7jb5IKnVJj8cSoYBoCf3KepsJgx5ctu5IH+KFFhFZR1yU4BgqZpzR/jbBrDM
wQbsTwSFl4SxbYzQ8qKwHAZGjQX6pAjEy5C0zIIlp9mEKNvAj1O30W3UGo9auKDmWLcl9niJuvZg
dXrcKQcxhSpVWJSQKaw0+ZF3jLznJdDbvrM2TS3vcJw3F5nqPVOM8SV5dkT9lLZPPliRgyJLcmMS
8Jr13MQrJdBWNXcRLo+gIgsI/3V5GIqWZBCNIoh04zFUfp+8j+5DVEA2BORk7EiisomXlkd2zJw2
7xnxCG4BLgrJhpYCWYbl3sl2tfTjOG/nt8qafs+ETB8S7d413nQarFYgMGu2yvWJ/8jRfieTfpgR
y+5QOFRb7WO6I6Jmx2rqaBUB+Y5R/Mileh+Y0WOn7yPRLSEUWn5CcScr5XIBwPYtmN3hzpJo9Ui1
QxduQ8x2SR2j9jma3WfACGlrdZ/ThJVXmhIImflpLusHFC8JCzhnL6FQS+SW2zajAjF8KFlu3H4P
Yh1elo5DBtZyauCm3zKPnzemHQGJCqIXIGBsfH7Ao1Vhn1afMzCAnbITHLKVxx+jkt81xFErGG3C
KSgLC1veA0rQhNiNr5Ju9ZyQlILsH/EJmU0j8VJ54j9qxMiYHEscrsg5/KDFMBerOgQT5oZj3d8C
w/ntZX9Sw3stFoa9JSxuMrbF73GosAsi+po9tnRMX58l055w7L7jVVFruwDSqfIo/Uq1twUZW4H8
wlsWb8vZR/hrc8Hqcd1lhGD4NVemhvH+pDSWOKLMHr2DJYcWhelcbuu05tNtU0J60Ud7fdttsH4Z
G4cY7VxCTMntm6ke3JsEKFubOC9ljTzKTvBDk63HcDc9Ryu9jZys0DZ6dO4WI7HUMplusoyx5XBp
yvilYULpN/ejHg9TXftw5sA9aO6SURuJxzIghcUBAtDU5XjuXEPvLDd0XXfXGQwetZiQWug1f3yq
wyYvTQyCdLFz9aMtUJkVQUwwRh58eIHEyPMnKPr3bE0ip3l7BBY/nazjtKBH8Qn/Kcw7p8B5wEYS
nXA97BKHMPe2JxOcWKYCSUl7sL26hAvHHCDFBQ/qzHwoyNvOXDqPIn3lXoDwNzfzgzRi604nyBla
bmtj2TzYJFg/KGyC4Kc2HtL194mF9w1h6w33yBQ7VoU8isiF29SrL92xsj3jHnLLJks8fSedgTuk
Nm8cM/iBjtA+I6bJH4zB5KFAG2lk3jGpOyAEMrT64ccimxfXCZ7ziAMlzt8SVfmbyR/JOeSwJL59
P9bIxZVsEG97qMRjY9mNSLWbFNkvWzyuq81+NrpzujT3Puvix9yHteJv7Ua2dwGpc0BHWTn5kv+u
RZIz6+BxsY35MUIQhIJ9+TWQKwfsvfH3nGofdTs+DRi/T13M8R80GqQPByY1x3iEVNhvl5lhkNgI
xbyf4/feXZcHuM93+FuTnRrrmmyA38p14M1M6jdxGyA9mtmH+YAIRzvtPnVHi/WXD6h5ZsLaJT/L
yX5uBz/fa8d5goWM0j2D1hqQc5Oge8dg6W/N0jxFc3/btWW5tbkdYVWedxq3CDcFfZH6PRUp+VhA
m8pm3nhlfHSnEmpe67PyEPFHI7GyI2bMjyb5g7wtbGQUFs+5FB9JlB7GJeAGD9oEz/qb1+Z1KJry
2crlmztMe37w1jsjLoyOUAASAMYVFMkAqs6CXOmoLEsz5/l0jWV8b834WyU4qpE6H5DK33hAwDiB
eMeIUMThL4IXXQ07mfpI3Dy4UEFMWJgnA25jrsCFS90FMvOTfQxK2B4JA/ijjdsob2sY+qmc+9di
AP1GBhhKAfhgcmFfEgeITSYmB7TeL01gExlG4s+2G438orJVCCGX+qIm+tKBDUz9ZUaNfWdjknUl
npIpnTKGav2pTJNH7CnuDRpdgLNpG1rt8pgakEwY63hL/D4TNoRj58Nrjec8652djc+dMatQm2gy
ALBLsgEdUt+SYnksUuJxSQxzHyPf+gPILd5AMUKqs/inlvJp244yO9V4qAsfs42K3vL1QKXRQ6Xc
VyeqleLWB8/lVlzr2G20+5KBMck7Yx36MdCpNNfznuEzx1d7iSOJ3l9+ZTn++2lccbUFUDvxZRjE
P2hRA34Q5lcXiw+Hnv/UGUw4uIveWGXg7MqlbjbGfWVyia7GBdL9XD1FTXNvSXT+LrusjKB0lTxG
0JVD9GKUlIVD3m3gE2G+tOWmVuWzZHOpOudxrjAem0OLttK0921nPqlJV3c9tY9MKNEDn/vYWCcb
Nntc3DOS1pa1axiekAyjJVftIxa1W7TVlyhfnI3S03AsDI/bS9RkGwesN3fZxd5NkzbYLtQDHoil
/Vk6zRslL7Vdx8aQQRgj/rp7GCoa8tEC/Yty9VQ7dvOc96T8VvrK0NNkjdqGz9nN+y1RBzAIeYiD
iYQ/Pbzgx0VAVLXVJvWnaL/0JeZ6g3Qhx7Y36NziU79M4y7KxHAujD9cYzJq8qH8cDXTCIuR0fDa
mt3eQBBOwLS40zF7UYe/mcGfYi5ct6dZ2+QPkqy9QW8M/ZbrKpko1GbG4u+7mT14b8j8ngzFhcJ6
aD6aGtV0ZdfDcYHhuoLRk9ArG2ap0fhKAOhhkdVlXneVqifnL6qzb8CJmyjLp3vgib8Hm6FD5sB7
brCVmDQbt6AECAlh7lDGPhlunnWK13/i+FOR0zGzSL86W9+YPsdozgmwSwrxlRS3RunyqwyV7jFI
vM3u/BvJxVOXmfVasVabYRK33cUhVrxqqktlIWnDPeDs3Az8QIejBC31FxZdcsuy5qOE4OgDQ5iW
B1RLZAjVn3RRj56eX0ejXfXhy06Im7JoPgC89Ie4stj7oZBkRH9w2Qpt2MVBlXJ2S1zo7fLk1cGT
O8Wfvh/zDrdhi1GgECb83PiTJfEpaK2tS9xCTHsjnZFsEaZkqxcnADjJhOVsFvKUllhrhfYOrpPs
vM47elHyFVgv07KEC92bBrZbd9kWd8eLIyfk7Zjrg+doDr6pPjEKcQ1xWGgZ9U9hXYI1adlj+8Gt
hQk7vUH1sPRc/iT7/ljcsMh4TQ0ouOgxF797cIBOgf6RT+460k4WBm9WlTEIz9lUZeCi6TdjDV2q
uM2K8rF2AAyzubBK8HJlJBj/GdO96yW3zGQfskW8V606ZuO4dXV/Zu1wBG4TFi6iPzICldutEkBM
L1wXEGJiYfHZtzBzelSm9WoTDUr0LYzZ3P3K9S5SIMIMH9Fikz8Hjn3J6vZ+lsYDWtGwQ8+EocrI
1W3sR1vZGbu6dcKlrtPb9zZFTIHBBI4oxJmMq7J1ihS2ySVz7qfW+WhU/Wx24kK01t1AiKZBqMGK
iZjyD0I1qPca92sog1vqX7HNk4l9vDN8T40HnyU/5DhLMT2wPUZN3FEIwOZGAc9BVt1J4iNLApkD
d3osIlIcI1DKeHAfXN+DdaOf0xTvENvL60dTETvlBiX8miPjeZoh2lHR/MjIFcR3goJkQvIu/HFb
G+V5UmxjVounXW99V7z5yzBuM67tI3ek9T03Rv+5VYxT4+Q5qi96rD+leUgrQSaG9rBvIDOBB/mA
c/s11jUx5iDvIniOiC8ZgzAs9V6ZXsBI7OmejSR6yMEJxSQVraNm98dTjRuUIA5r5aFhJB3K/CGf
jPRkj9RTTFwuyM/MW+wkB1Mt3anXXDRqMhnGhT6KsApI5cYOzNop1iiUvI7IeAfDGFn0B+79wzm2
+0sam/fTwASAG1eGl6O8eKPxI1VibyRkrRqR8wCQoN3RAdYbRYZoiLHsBmj57ZID4qwCuISq+a08
XkCEGNzmHFomWaBrl2/Yl/RR0UUk3oiqY+h6DomAiFdjuStgg+cGTNAB7Sjo6c+Wsi4FXRYVqgxN
y7+14/rA5IoyLrbvXCxBe3nn+Ze2oSzIEkEzDzTSbr6ktr+M8dS1lHHZyN2CzWq25ei5m2d72Ey0
aOC9U0y06qtOcfqVeAy2DPjGrVWOINW7hzpu8NYa6g156M0ka8xxHVAjY5yfzfS+8RnhBxFrvqjH
ohH7F259Dxpw9sYzJQt849nTxj0un1fRMYJRHdMqsw6QmQliJgrui2r5IIev2dg2GpUelGqkhiPH
5V600PrqEjXtWOWX1PT9uzS2buBeJHu/TsJ2SRNkhsWeDNd6q5qRcRPHnWt1wyGpxYetFEV0/e3o
PtpOrbdjluyebFOGmbCZwucoCKJ13bwG26wQBKHuzDjtn1mqnKIAXCr6kpuCiefONZNzjMSY/c0m
1chwZIfaz8NTXNj1TWVFwQFNMn27Nf4qsw7gp0S5nCztsau5bFiMOsMyH2/tUUN1k0j0XVoONf3I
QEtTbkXbsuo/LJ+A0p7CZgRUNTogCV0LKVHs9qDsGbD1Q/QegzFvWqB4Y27uq6AjD7Fd/TPteAfX
IaUfXU09GDLpKP6UmhN0kA2dJHxlj7A5Mo5/FITBApPDrZcqQJpdQFcyFtK+AXeCzbQ2HodCVDv+
a2TmgsavdOUBb01+FCKiu1vcI/dUuSFAnYGA7ugSKM6IewAULfvilLvuEUzruU0KFP/kOjhOZDBH
YbxRWrN+moZfyh4nmBcKQTAyUyRUl2Zw/JMVm+MucLpQiWHl50y3fc2gsqi7uzFrH+SkDhaj2M04
6SlsDGJdm28XtidncPZrmUDu5zR0WyrRbxm5v0tpsfssgNsPvsxudG3+aAOslEZNbOsQPyBefrRT
4y4CH0cQjiRQY24o8caaWnAatvAsPEJSsgfEE98pcj52s/o2RRy/WFAfEQFzitrlrpXgVFUNfD/O
jVMlnjFwhYuW/GC4sdOM/tFkfMnC/RH2yfNgKIYD0LcqQ9got8xzryWJYA1MpthEv8m6PDLqfWp6
DUI06jbTzg9uqc2tPLRR/4qAiHls7IV1kJUhmNGtI9ZNY8lklPgiOFRhMrbBL0T1L97CRMrL4nxb
ugS+MVBFcl6SQEHfYaSAzmQ7VeeYkMg6BiwprRL/sKT4nQg3TnSwXVjDRLeFRchz23y3BupnjLrj
2jI9BmsGq1wfYtLNzklWuHvP6h7sqbeO6X+xd17djeJruv8uc32YRQ4XcwNCKDnItpxuWHaVi5wz
n35+4O6tmpq955xzP929aECAsCT+4XmfEOM8g88q+kvYk0PY/LUGRW+Jpc2XdkMQDjwozAiZ62zQ
I+qHdZGFqX6Y0EEc5KniB7jubC1c9mSFR72hzYQrjCuBAmCFB5VcHYJOugWQ0bZFlf1F3wWagca/
khmWBR60FCLbpRY8rZViJYAUBgrDZCOWdjhbTh5wcnUo535HsXzylIUoQNAui2VtaBnUmNM+LenA
yCPbd8U5k3CXWURGR5+QKTjcy7uHklUfSkg6el5Y6QZM3nTW911vZl0DEoedsNzLdR+jUMJcSnnX
kIxy6DNShgbL8DdDPZuOjKGyDQz9F7F9ZbeHOdNWKisvyhK9OS58gDDDW9pZVw2TYDm7WogA5hKp
GbX0P8iMT1Uk8kKjakfSAWOPJ6+EWwHFISx7H0ulDsp8zp+xLjqeGneQxY/rLlkzMYzIS69a2T7X
F8qF1nLdpEAobaaWpv36wlBQwFAqBnMF/gsggI3HVLKAPv33wqqX7KB1O4pat6rJskEZ2NNjW8hp
5E7wUHbiAxC0mzaQ4d9k1SOZwdlNgYH43Av0pgMAdpX5x8zIxb2JqWgq9rMrdZSOxZ4gmLpFxt1l
JiqYfYGRfpd1FM9zJiuxJQg0PAn56UF0znI6/gGBCCVYjBdLxkgxfak9yti1Ms6JTkYMK5SA3sXw
LvHdsNcRjEAgKvN+z5xAO3UTFNbWzNwSVEoYH+WAGm7G6BYUUoe8ZT4NPIaI60EVpyi7TDHEMRW1
icGP8hiryo9IpmMh8KrfJovDr5+WJwFDrhLmrUsbfZiCcekEkJtq8oBC0u/uVdRiR3EOXakgJKok
43A2K5/+Rol3LdCQUxrBYVYs3aGZgxSNFSMwDA6xWSLucnHqDlCn3yohu4hjI7sxeBDSASrUZ+aJ
mChopQGls2O6VBsE+OkK9SBPiDsWBYM4Ofhk7pvel4IUbXV/cWrA+StXh02dlz8rubgjrzdQ5V2l
MFXBKCE1wD0z7TmRqEWTOfmVCfpjzaQaDsCR9KJ0r0zo8AWcINU0hi4rX5LKIjUciSLh8rgi1BRP
Is0O+vGpgUIYJ0+9nIO3KMOd36kPMLP2g4WhQTRtyqp4Boxnvk8kGVPJ/DKptLhzAcGq69/DzLpf
3hayKaWSheOql+IGWu3PHIe7HgSfQtz06uN7nvnEIQhi9qipxosKDYuX4Y+H4mve0bLipP5zqJXX
lr8QcysYCx0Er05u3sIJDLuQH+v2VHQReSqBtEQqNC/LX+eowA03ia7PnjW3H0Yf3FsQ1rVFogi0
eyCbmI/pNg5MZm6qnYnaU0mSFSmLoEllmnt+KV6qdvR6eWaWGHU/m6FleMU8FwScvlLel6IqHJsW
3+vRdzURBjlzwD38AC+SaxcWDb18ldX2EGVfCXaOVEzIYsGgNo6K2iFDmd4S3+qJKDVbITqylK0f
+O/Ox6YEg5IwOXUIFGvvhEmHCTggvS1a1KpCWIM4eBoRELDxDUhUidmT1hTp97jMMilAqIsk4Ra9
XO5ClUIlMfMn5FT2lo+OQpHygZu42yvC+22GYf9GJlzINjrtVdCRELb6o9TFHlVK9UamBBf3reD4
Mpi3LwH4+tVNTagNGaOTV2Mmtq3x1rVJO7qRJvOlr8UP2kplkxfKW1/UJnNZ/uYKimXaTz+SeiI+
PXUDuQ68dkgxVPXrJ11NABAmnYGNchfkZbkdhop4A3Bh7Do1DH/AvHV07Ie0jT+n3KQW0pwjvfmF
UxxONijGJ4wdwAWFAW0HbOyEQoTIt7hRsE7MQ+V9Lk2+HuS/lWrhxlM9+OgUBizAMSoGcy2w2oDh
AQ2SleWlKDJQfibNT7kREdCouCjwkPpRz+NYoNGT7qypH9D/9kSUqoKXVs9MsiyHer+5pDMu2Q11
jBdh4DQJU0qyop+oqKv8SAF/rcFg5qYIoI0VwugEMSuxiAmi+U31JnbYWmiLFDyO+ErM+oiO9EUU
tFsVSuYGGCEO55emr/Yy0QvEC+IBofPOsqlCZOxIS9CkXa+HT3GoVVtTx5IkqCnemYLqBcHE2Jjc
Kj7XZezObMuSvamB1gOThun7DjT7VQiVAPdDOvNjYkinutbfK4ZgDYFD9KWkwpbmQ2Xpn6ZB5Yaf
Ta50X3Ixn8vq3pALd1KBAUef3+LyAvlyFIIrHztEVIzh7HaRRTJNsFdU4TASJWGHnXpOCF0TpvgD
XsvO0rH9SFBXdvpCjhnE+wlTomWwgLXoNF7CoiQAKREesiQ9lf2ngHW5bfbtftbE/VThgo66m/Rd
ieKhBt2bJNqZpFBXLs3UrgwLJp2wQ8B0C0511g39Xknbcw7nO8/1TZEqd+v7kniN9ze0UWZ76bY2
ioewwVlIhpUgzQy5VRGqeKSjq2CAxIgowTJJTS8GZHmqrkEDm2D6Eha3YFNG2QmmYo8aIJuG8oeo
hsbgWepxRXJgJd5Yuf9AeNMGgWTtZeqHBY6LfEH7UdJukftwaOrqEuNl0NThUVscOC0ckEJaxdG6
N0GTlBagKGhDWjAVz/F0OgiT8d6a5i8z/RSLxeMq159yuA8NfCER/peNk15n12iJauQ6dQ3COoq7
eajfgXGZLBLh2Jqtl9PQCnn1EQfZA2SKuxrWZlqq867tsRhAxzC7jEFOoRgciI940kT1pUQPrmf8
AYwt99FkpBvsPN4nXDrshbNXQqUoKcPYAvApY3KX6isphLpLOfBD7ICMu7S8xP146KMHUWt/iAFj
HHj/OPF5Kc8JHa2Xtv2dSGcghZRskMOVBTCxNINLmqWUOZVEtX0xYownamJlLHt4SwAxF/KNGRGd
IKqv+MEv1Sv/WEDHzWEndAbCjECjliKScFGVb3HXvzRJKxJah2Q/rLE2iaPz0OY/TRMEKVG7VzNF
k9A2n9WkvmdV/pynDAu66FLp/ZuK5woG1eOZsUa+Zf5o0AFEI97iyUfYKtg/YcwNXGp3ef2p8X36
eMHyMBj2iGm5mUrJzpweg1hozzEKECIdZLEiP6AclTuMGvDoqCJYoVWPdxqPUqFsIoNvtOyQjOVD
xC9Bwwski8pXAP0NxCSRgldLXVJKPtoKRoBPR0FZTNnqbXUjZtSLVT4Y6AQx7rV4ZQ9y8NYIENTJ
HclJarZVk54SCskR5PVeE8TQNsJ9PKofQ5+ofNRP5oQnYoxBKQZdnmDBaVCy/MfyfPtFUDlNix3Q
mGFtKrczCm39SRUNgpJ7Wh+dKtygTCeYcRj513oGYR1GeIBBcmC02l3TJUxAZeFHUXEVTXjOaTVF
FF+2njFu0Wr1BWrATs312hV1adqHQMbrcN9of8o6+FQbCLVtCdLSNd/lvc9ApaLJXOjcSftDULmL
RpA+GxjFs4ByegnCi3NXh8jjyLWGxU0g7RPO2wmHSoouiZx326BINCZW92ISR8eOSomSLWWzmYpM
QYG08J+sSH8VQ+oCgT/eTIn/3Ir9UW/MxJVwSvOXmIU4L7+mKqfJkGfceGbPiMgCb7LkWDAdAlWg
FNLiG2AoMawm40Npohk7Mm1jjDExGfD69WTc5fjeq1T4HakIUGYAg5CboQxeIWgv1RzhztFkoHQS
9UkjeqlwhugYRHq+icjPkpMzQ6BFg2W8QrzZ1XNtOQy3UFeKa5IANe4Ot0kxh5jd3U6Aq31XjTQZ
+vsIXOHOBe0KX666zYXwoUJX4Uo+5lxDvNULfFzC5hX5jOQOIyY5AsSkBoGWbBokKuFMxqePGjWA
1k31xjGouFIMOpYNs4qi0W4lzJs8xRwv/BRqOpN7qJ+QL9PiLBjxZcBKBdyarjbK6cgqv3XjcSg2
0MMWZdhi15rzl9NE7XO4Q6STRE7TpDwqPCv2VCUM8gx0/JNuddshzqtdGeznGflowIRQrBTK8wPl
UqlVcQhN9HuLpKZtoUU3KbiVR80Z4aSUPGil8lkGSXwStb2V3NZMss+dNB9HSMt7SmatiANa0GaM
bOiwsrjHUZdkE3KSUHqUombPZQxXCjSv7DLGkaFo19Z4QYVkD3L+0BbDqeoxOKKG/9w2RbZRtFer
/KG3BslxDXFbZIg8ZNH8kCvAdDU1y6kJhgc/OZtFcJzBRAwBWKwAvdc7DHRggv6q55mSUjToNMuj
Bae23xMj8EterERSf0KpIV5U4R0u/peIA9qQy/kRdUVIwSw6YUIzu1YgawzfiSwf8lt5Tp9VXIL8
3MLwH7AtnhsCkdJ8i6e9vu2Q6g+4BPXSKG7USQYcbPFZRrvjgkfDnU2q2Z4VRIsdtgihQh/Ct8bY
Jt43HYFGISDqlPp4R1uePqrmrsgNJLLPwDNghLpgoObqP3OZsgys/cdhNF4leXwGjrh0OZGtcGFq
T8h0wno6sOjpp1SDyKYdQ5qaqk2Q6pGTdT4ibYFcY7HzEhO1pDQE2oY+lJ9p2tzHOr5xYVHnGyPp
sU8mLcgCqw+wMyD305a77HXASQ0XsPcmtLZ5W1OXL31kKKgXKYjfTCOVA5G88zO1WUPJv/QcC5HE
p+rRdSSUDkw/gznbNbNxZ0bQdrMZi92JLnunz/KdFqgMtIA6NWUbNpHXYxCEz770OaCmdJIUh/Eg
3tH3BeQUXDpLxSBFZrCHHDjfKgIqiDS7jzVs+3OlP1u5/NgbP5s421iWGS6ZhJ9l26EaRGZXZzcp
Nv50e9TLoSzZKMcxmPPnkyJ2SxRU09i5rCKOCXZJpOOUNIOlo+Zk1ieA+7kDEzFysPQiu0RRZ4eZ
MtulWisbS5zHTUtyYJf/qkgSd60ukDZmpH+q04jQM4t1t4+kh1AV2z3BZDTNk/7afZqFHO6SimoS
EGNn4FakTUgN4pYpV15uQ58pbTJcTK26CWU98kwTT685nzZadSE/pCJJe37UCfE4RDy/DPjQ1bZy
qZJ+QPYpiR0yzpamJ7dkBWJdJiktMhEKOHPgY3EX3Gk1yLrkRx+6KUf7Xu7vGkGjOj+iQ02x9EPV
Ok6bWdU89MkG/Hb0T7p4igUFe3HgFeiUhAYVdedEIyInKd1RzPHdYhr6nSbsoNZ35yTgzuS4h6HX
U8MNSlcRx58r+/h/TXn/b0RtuNNQlv+1Ke+l/Qj/Cz/7+4S/+NmSiCOvRokENEbSZEVV/8HPZvL2
7yIqJEuTRBWxkwpz+m9+tvzvoiTjVK2LFubdkir9zs8W+UchO8DAkkiStf8/frapwL/+Nu/e//yP
f+PWIGUrogJzXFno3sof/OyiKqKwoHu60SUe9W/Nz2/yn3VVX8UwxDkjBbzqYn47Vk29hQlDZ9hg
DuEUxkymH81zY6EYzg2sG/TBeu4LbcAlVj0FE5BHPgn3oSENu7ozmTEKw0H1VdMVpPnXWAjRPfrY
2pEQvXrNmMTbAoNXR1AXH/wxMBylljH6NIJbRI8dKHf8FgoY6Esx9RF/wA5JBQpIhtGTsSDbZoal
OhiEMx2osInNugTtSDSQbLn+fWZm5YT1LqInQcL84nFdRZ+c9kcT6emm91toNwiV/johWmRH3x/F
b5dZz/rtU1qPWnfisOqR/i15HYUn8VvtQ/FN71+/hT8YCG8JLH8iO7M4rLvWxeqPLC4Y+D/bR2wo
zez6Sqr6f6+q5GwihoI19H3Sevp1cz38+jaEvHDiuv3fVv/nd7/e4LoWRKXGsKAeyRZAtyiaKBjX
tX7ZXNeuLzQJIqrr5roWaCVTvXX1esr1Musp6yZiQdzDSJJhesel/zhY0vR5/n7ltyt+711P1wK6
JHtdjQy7n7FGXDf+uKfr+63v8sdbrZuoMhuK9SpCt3/8PeW46DXX7ZBxMgQhoH1cZZhO5+syWtSg
w6p/XlfJqM8PkGsOaVAX3rrr+8B8eeF6yPc11qO/D1pevm7+9nLShLxbtwD736vrUX9cbt381y+v
b/HbXQaLSBSyawGsmNK34pKYH5LlT1mPrNbAGGsQSiB+Ji7f28VSAlkPWg9fN2cy5w8ENC6nrjuu
V5r1JWpl3U6Xy69r1zOJxsQa5HqOKXQ60CSV2zoUMATE+qYl1Zgf83W18/P6kEmUqdbXyTIEv9cs
RJEMdpBMEM/Td4a6GeD/bRL1jC+xtl8LKZhBNYc8ak7G1AtbA1bwbmYmXs45N7GWdb5XpaUCpPFp
JraI4cJfq+vesDWO6hKLtW6ti/XE9bjr5m+XXHeuL68HXs9b9/kyBccizsNtFaDgtqGJfjKowSnP
xwOxK/B+INsNDAhTED9t382lOVsXyqqPxN4HlSTuMUiLMaJ2CrRCmHugCx0spOmq4eu7nKTVZKpu
Z7XCICdFC9kTi2Vb2ZgddO1UZw3T5JiiFrIOJPvL2nWx7st1pdwUMupWKLv5gSI5IX5ZFdOw18oL
nh+YkxoSfF04E14QDuPBD1ikugS/fpaeogyrQrx3GvHg98yFde3MRKVzVr8nBByYJw5VBNOHmV8G
WqG2/BU4eMTONCbzIZYHCqwRNQQngX9HGZcK5Fr0M+rK8gLma3hUDHupe9aU/kMxO6wxm6A6RnlX
Hq2mRk1utfQQEOG3ozQ/+qnpwAAUd1djKk1Atb9aVDVkSZDbCBlwaaPNqA5dTSdVBwweafHSBEND
QL26rl53Rr14pwzhvB2Xx2BdhIsY+bq5rtWTIG2VTCWblQdpXeBs3ngGxl2Mq0E6Q10UD0JwV4mt
4Om1Xm6YrvEITFkjOXoAjxEz4E1ed/ey1Q/fP8S1Znn9+a1r674K1jh+HFQdUkM8CkWBl9DyFKxF
RK1eqqzX7XXtuw45WdhWmAqGKAYIXFIayzeMDzxjZTLmYNKzHZq8NFY+38pAGGiuGq3qYlZZIcqi
XNSZg4BDGuaJh+/VttpZXSPvw3kmIKRWDwGBgQxs4QUEAQ/gokZMCsn8XlTdXl0gT33xGoOsDwda
mVVy4/OF57CUNcdZaUBjtrixhqOr8CAvEk+7j3bSdG7i7fQItKeE++ZxfDdDb8G1C5uq4/xMKs4v
4s0ChcImLC6gfif5GWGCiU87pfvXDo7HuAEUnbpX94dS3sKKwJRcDjeYuPaj7GDMG7ly42pMgSdj
Rykimm8D8V5C3aT+7PyPPlsuHdcO4Wwk86ZMc56HcFMLLgykTDktma7pwRyPnblLIcbmm9ja6MVr
OO2z+UumTKgtkViHiOJCsAd6EgUngVlC8CpZq4N60dWdCv9GQZf2YnxhfztpF81yiw6J0K6Obwr9
OVS8Kj35IT7+CC6OanLKQ6IlKVjtUEs05NTAdQi9mbk2RhSl4sF/MbD5aBYdGbcV3aB+6ay9AEV+
doRfI2LfxUFm6F7rcYPvIlf0McfAEDYnltMRutNE7HrqDd1LJizurvdl+1PvvfpgHrE2rqDU9R7G
FjFz+HGTp5jraw7h0Gp3aFHfJw8GdSkYJ9Qz+4NuYgcJ+2SnfAyUhfPCEzFjSvZycsqafY8uR7zF
OAurPlLFU+UpUp5n3DLuUWKDITYWXDW7/SWnjvhaP2OLA6qt/FpMzhmv3Uk3GWBJusM+Al0NmAlI
QgoS+AwrC0ukuwB/6AukNdg0bsB02t8WMHdbjHb2o+KV4R5rea3+arHvS4+4YJmJI0W7wt/q88mU
P+OZcSTNZGc3M6Fl50LYFLpn1h6pb7Vxn3RHiKr9zHNBeA/1hTj5VQTPanMDdjUf8YDj8yYqWwww
fXDxhRN+QfAA6KMNw1GMoKFDucQQuzpfYO/N5VH7hRxH1UhVd8NxU8kbk0zWX3Ci82Rfos0Xlw+M
z0mACo25Ar9O2dhV5j5GgYhEAGZMb3Ox9h0fAG1kVko88HZqHXhVmuXkMUE+bm45g+oY5hF7P8gV
QNEPmuBK6pNFQoK4o4DY7LN259ebscFt+oiF11AzdDgZcPJg9kH0SBtbhc832e74TgGntuOdZMEj
PbfyfggFu+9PWrud4i0xqDFJ4Ysd4q4jJ3jGVNeWvuJ3XeBWiZluPFncDPLDkJ0MoOknWdiowpuY
30TGXfQKRqHMCPIPks4I3MneLOXQ8CgEHi5SZQ1iHD3M4GmzimWWCG14LwKUB+FGUrcqIkmENhkA
zFFelDvUO+06ObAuTQ4u8t0Sm3qK6882I+sEwFt66sy7RS0f78AXZ+b6P/HysS4mYWuuckvFxwci
p2+28Jg5hD6a8u3wlgxYdXjYYBOtWWYe06LilTwDdA2EWisLNLThKgQXYAgK74XP/JYfs3Fj3SrH
zFv81F2h3dKPE6wAqI3WnAK9gw0IdxIJtlIgb70wcYLEWB67V015rbqdkbrtrnuQf/oKyRI7bs0A
ivFV6Ge3delxT37jmRlOSLYOicoJLuVLQy58hAnFMT2KneuLW2rteFZTELFoiiXMgIaTjgjqs4tu
Z2vTUXr8SPm6qlakruA10W1vo0XHUc+JLvlLdgM35k59Etx2fggj9Ae2TIiwchdC5i/A8anOE/Ee
k6vmKekNvvyCelP7Rxx6svIyFdvKdA3haKXnHiQPJtaZwq2k7gRgUiiv6a69t14yPv8fxbNxTNXd
uFPd+pG0F6KfgvN8pEYxwxt8sRrHnDwx3wyJC2WNYLQZLd+rqABk4VAN2msRAEBfR73XQa+TzFis
2fCnYUULT3gzd/OTOh+m6TwwKUW3J57amo7BWeodGl8yiWg2uq+AghNSy+LxqQufpvlgmlTvsR7A
NjPF5NnLO6o7v4bpjUAVCsBk3YQvGZBa31J3v+vD0QEI7cWt0jti6qXmA2hQWu0S/6SPu56WBacg
cRNVH0N5kmAi4JBgurivUXSHLYQzLozENLSbxXMScriNQVT/0/zgLu9C7PCPXD05MqEJYURAGNHt
8In6jDc8YNAtyRusmWGOA5PnzLNhG7nA/e0nFIsCMZ2XdJsnETUggh/ZwXJiS8JfvfmB3135UqKy
uyeVc6+elWQ7b3GOO073FGaUd39HVCCWRIbLL81wk8ERf5Y0B8/BE7644qMBRdHlzsHswX5fRoq1
/g51Q3BR782fWDzfBDdf9QvFWu02bm0psGsfbNSBNHhhQ3ChSNraAy5jjr8jGNiObJSTNk7dDz/s
r9LtfjRbfbMHWpfvldt8J99TEEftl1zUYXli8pf4heRlOLb1i/bQ+zjU2Jm6QZPnP+FqxP/D9IZD
B6zN+z2KIMRLxca/96mHyJc02pqx1zYOGd8YwGpol0cHsSJDKFzCoF4P7j7lFxfuwtYp3huvvItc
xNmiSML2A9MlwmepSwX1dnKjg7qBCss3gf+VukUSMx8UMvykzSe2Ts68i2W3I/jkZa+iIX6n+qGc
yO7YGTD8b4Uf4jPEmx5e6kfAY5AdirO2y87iJTgkN5CXQ/iouuPHtz20iEvh4VCHJczZfKNmymvS
S5a4hPnMcJ+3gUshkziCsNhDow0c2Lss2QdDYROdmyUYEKKVrb1QPeR3xg7xIj3hA94/ys/Nbb7J
t/29dkKy3t8nR91RNvzYtx0SGz40Rzspp+a2v6/3vvcuFPZ8mk/VrbI1KweJK5tW6N7weOMvh1pq
Po29XT8hNUCKg65shuz+yBGFDbHvdj5p2/Ct3aN8bj4m1zz4h3cEtafsdtxohW16jD5OkP9OqPPI
neFzTBzBpUBtZ3ZnxzfA6jaHbIqbdItnkhPft3vidMqn5LZ8El6jh3HTfcRPlNGeDFv8VT3jLLTX
7CWDx27fghc4zdrGeiKsSEeXjbiHXw/y2o20pdd4oSXjp8MnjK4FchADxABjxaUNH+7nh/oE/l7u
k1thR2XvBB9pQ8a9k3vWfe5EW+MNiQeGJdgJ1s781jmygz+kQwtFvidahTdB2UEmoHN5y/irvMBj
ULJPj/wcnuOn9jT8Sm5Nrz9VHymjHpCvV/HXa3YbPUyu/yt8y39mO5jfG9oY7Yim/WYx5sLe/DF/
7G5y2dl27+IFukSBUJEvHlMblk/iF+7VgiOOznTBOXG0n6zP7r2V+WaTY3XOduaHeqnfplsaQhpI
9aN+i3+QfQvvaoObwTE5yhfd6e+rs3pJXJi5tujJNywdioS8wScpHrQ+W2i5G7BC7WTsdAcXotfl
R7cTXrA6pXkjyIoWrnqHedjdRAT7LXeSnaVdfkeXeKi++K1i2JPb+/lItMdlPga0Me1LkbjFDb1T
8rX+7tuX+I6yCP+NPEWb8ZjxfRFXgxm+fsAaKyqcUrTxNud5jr7gp7QvvMbDFHUbXTqazFH4aOCS
0WHxMWG8S5/xOX/Gj4IPX4UoVIKQttQsVJhsoo2oTLwIn+IN7TIV7e24x+Sdp+VePwS7cT/yhUy3
48/6DdpEY2Oj39v506Ja/RHoNuamz8LdvEWMtIMxjf3sriEygwjO18QT98E+2lN3gWFSbYlFOQg3
yk1bRK7xkFFptrVmE1o/k8nBUy5D9GON98mLadikS4Tn6UH0jLsZzuU5uamPDCm0MeFZEd/wjnf7
nX//BQuCj3ohOsK52AwMlQ/xXXSeX8a1AVxbCZ/RLR0R2T+X4gtBOY0K1ZrPjhMphZLfTftBN/g5
3EBeUp/bfb5BxMxU7aO9wyfsM0td0kaHB2xMzQ/W6rfwVTv1dzoqX1SbpyB2moee0KmayDG7fzRe
xEt9B685mT0YlowP3qVPRGI0XbAftE311U+n+YUOsf+c+RpxS8dR01waNoYIw01DszS5gi3X9nSY
3M9+xwiPueaDcmtuAjugrYBY7tZ3tKV0k+9zdjNMXnNJ72jy0rvhhs8V2axTucKxg5hyB5ObJ5Qh
kCO9i3tI/PrJcs09Dz5aSMw+XGjmOyroG92z7kRPvC12OFhqT8ELZNPNBF5lE3nTPAe7z3BTupo3
Ui/bjWf91NuoeZz4jvseKbPTSIoOmdl29lLR43waP+c36lbaT+lNuzPpu+OtdZu/lEd93x4JsbAe
KLwOhkv6HV2afM9wEByGH+1l3KHDder94GDDcZQeCaD1GKFyZe8e+cYDY4rhy1z++uDQHwtv3nVf
Pe3EjmqlA/FgF2/jx+icnLUjkoEH9KmO9IKzO0/rKGxkBL12c+aZ9Z/BFvkC1S8l2uSEwz0T1PRR
3tdPyUN2i5E+raDxw7oLn4xHCccLZ977B6Jwbs2z6Mab+O0z3ggP47HncVZ2y78otsLBxmRTf5Y/
0nsBB/gS4sQOplvbO8Ir5nRwFhOGUA7JCK8m0qaCx6XxT1jJMi4+6IfEjTwLeHfPfOGM3AzR+/Kr
lS8Y0qeI2hB97Men4KDurXmDHk023dn4EicsPYIzdDK+xRk/qaf2ycIm5qDzO4Kr8FQ8WC/cxGfg
McCPyanvVrS1Z2AFw0VhbsT8aIXdhIVfXgzSX4vvfY1vK6asgxWAP5G29RcSJS0Q1brvG40ypW5b
DPGZWQgglLrAyetiRaKum+taMA2U2gcFMdcCRa33gyAQM3er3AyG9Jjg37oPgwEqxVDuFdTAUtsY
e2lgLNhHx0Z47wFzpLknM6x34SREO2LOg4PJU73cPvl5OwkTrp0oBncymLxXpwET4GXB1EUXBRRj
1d826usashZc5kgxwrOgPDTxguqvNuoAQERdr6tQsUjMWEzX9RRvzRzmtxyZIJjmJTBr7AZJIcLr
JH8oZiw/KG8z4V3t4yeluq9VsMEIjvNBwrbjMGIDcAhDqdm0U/IptTroCzyYOGREXY4BBapxXAbl
OFsk6c1ULrq55Y5BtagIiLFInkVCEmPrl5E3zsWtrCg0uJVwB0a7Q5yR0nByT+SMQU4qXsYe38Qu
wY1CW9wgW2Mpj6yrHdksuC6qsKJWSHfFeFdcd13DVRBa6lBVx8zHNXZVaayLaanfyYtH/HVfKXTR
rg6DLSmC5A910oA5Z6XVB/SP9WHdXBdiCXCFis9govC3S38pCJX8bd2v+/657bJ+u+Ky31gtXH3s
9qqI5RDqCKmX5C8R+gIyRpDh6R9rMC3BPpd96+KPzfW49bREKClsZPmEYKsA6G6+ErH5EkfYElhK
7BNUvuCd9DOk0BylFudKq8akt+TvGgEpD5Ml1vCwlNGLi/k28zGWCvAvQq3sVCqoeLlUccaGyt66
lpjWcc7DZBPP430h6rnk+hUoY1Z1Rn+UlA42VC1t+8XKdMZQ8wBzG1WbqT8bstntv7fWF1CyGZso
WLik6yHrzvW87+11FWWVlRsl7qxgrhoNvowfxqHFD5F6ElFC1MbW9XX3ukCGybO9LK6b11erxgdx
7VNvPey6//sqSlfXM6nbf5+sD/nZ7IwWGY+hOL0YSU4/idpNBBtktuVmSkAZYEJBwePjRUPjL8oE
SFiyi1n5GwK/2issdX99bV0LSo4y55m/YT1B0atGdNeX1kUlC3xpapMuupReRoLI8etJoNcw/qS1
jLi8H/pNjvy+1HXv9/Z6wnrqelGk8HTD6+r1et9Hrjuvp1/P+b78n4ePWgBbve4f/zhlfcPBqGtn
qMG0r5e5Hvfnnf22/U/v7PrWlZaknmzFVJ6Xz2295G93/9tf9726nulfP+Pf3ul7dT3g+w+0sPB3
9BTU9nrP//IzWd/ZaBb7zfXo3975+nf+8cesB/63O7i+xfw+t+qFMt1bs/Qk+dL4r4aq6+KPfX9s
/rNDqAGAa/1xGWktWl0PX9eux6yXLSqdGdj1mOvL/2zfn2+zXuKPy34fYyjzQ0u9bbs6wZprLZYE
u8KrmhjbY+qa3dLfrq/+sWmsFU7a5/z7QHOtqq6Hf6+uxxdgTTI2Y94/u8R6xLq4Xub7XZZP+/tu
/uV5f9zYv7zMetz1ndbrXfeNSxXsf7lH/y8mkbJkmNb/xD26KfL2I/8v9pB/nfMP+hEcIxkHRlWU
JMTVC8foL3tISSLjW5MkA+6PheWeyDv9TT+CsySKlijKuqlpqm7iVPmXPaSq/ruiq5plEBiuaboO
M+kPO8j/0R5Skf6whxQ1HWIUlrAKKnz0Jib8qPLHx0OUB81//Jv0f8q5SGQM28I7fVpSamsFBQXe
pnk1MyEXxP2cF8Y2TgGyOzN20z56NxsqFgTzSkwIQyKcwmNHPseWwM0Yt6Rf5hKbULbam2y2DyoI
PuZvKjl8vQb0JQCLtxbWqZVB+CIy0kEjCQ/jBqqvpviUTO3nPKduYcTIFiP8IxHFvYXJ+AMWq6er
WXuXJpN4RhO6IRQaswAKbQjyTBvWCcZu6giSjqhtIBRBSe6reX4WtOxFgT/sFb8wW8cMvPZgBGKC
0RE0CON8pvAGgTnwUy/gNOQJ5GeQqPRK6DOcP2P6OaorSmw6FJuD3Qz+LNJh2pM1HYL+Y5xFiNht
4XZYqVFDquOTIRtHInxVQgzgIKbdFPwne+exHDkQZdcvQgS82ZY39GySzd4g2A7eJTy+fk5maVQc
qkeh2WuDAFAoD5N4795zN8tI+yIJkt9N75/LIa92AfazFUQx3Ep73a/21YQXiVTVbWG3dA7zCuVU
Ha64GLknPcamHAd4BG0DtAqUWvIm+v4GE3sdyXRkjcDuqMbX2VMgNx0CHFNzfojzXZlPzn1T0kOq
M3pScArWiRU8awlAiUXoD91AxaPXkKEuWVyt3PoZIL9AA+Yw6LDz74ZoMZyb+YfRkzBMIiDWpYB2
ZyyVWKHv76y0fQ9S1LvuQhuj7EF8Bqie6ybeASXdpgZxZQWmQwbyoqf9n/xWZD9YAD+MfHhyF9ve
mWmh05IGXQwMm1C5BXQe5pD7ZoR1kfg56W6YU6eCcg2+kbgL7MM8EMK3ZOLVq0vudb0ikMCaD7iR
3BA7pLEj8zrCmyo3el6Fh9wBeBK7051mgf5KF6JXE4ayVikTTSff2CcegdWuflsswU8jSoktyLwf
5dKV6yqOHEzriNjpYTbcAY9W/VF0VJk0+MJkYaZ3jSFkGCwMgcm6AXyHIgDRdiDSEeUuwM/c/Bvo
cX2Mi/47uqllKybqIb5jbSc4BBuUdLJeFZ0799BWvzKNBmtaIhF24abtITTON9BiZT6I+RhUGSpr
MZRPcfwaxkF+JrydnG/gY3yeeKOlhbHqWwMayrRKJ6qfoE9cZACN/ctp9mXc9Rtd3Huk1OwiA6ZF
Z6zjguPbMzaoHamqGzRFBO6+mQwbIIK0YhzUGAnDFhGU9DRt76MQ4e+OExiCAUTDgixvSfBvZ8g4
9uz88crp1tLpZHQp3RZG6/A2kpFdfSCde2gNYuYg1u8MStBDUNcHrak2M8oYoKErYVi4yOFmkrB8
9GrQqwIowdSX3UYM0LHswt+KhNv7ED33dimLftPLOjP1vXryiCdsQAWiBf2BhXpTeViLfWvHGXgd
es5vfvES7pgJSmN86DryMw36O0NHwVyLoF6W9nFinxXRAUCSuYKWZZ6zZKRDZu6qtp8OTk+rc3G5
xXR1q1r1SUFgz0CRgbz373UQ3+kV3frYp26K1JLKYsa9qZ331sYHbBRg3FznJDjCXo12ul1Oewkc
0/pw3AUaHZMq/x7hykayT+O66UNkJWgeoXqKdj5OxsrKaZAa+tDtTFv78K3iKcvjD6dM7svCcu41
D//MGJIcCwX8Me3n2xgN9zbPDQTQKW2siaRHHBt7sG3VTncTVNOxsermPjwIe16P6ChAJvVODiU0
NbNTJ+Moyn7AgkrYGndxOV4zKcMWpxx07ml0RA7pRj9fV6ktWrioSL4uz7k8Jp/4admMY7GZF0Qg
qY+VLEPieVJzBI89LJr728oAqMeWsTdz7gmNiQqDI4VTalFNMgxHaDrsvx3xFMu68doJV2Rwb9jE
jXUZpIkW77hUtkT3LSAabOrDCn5WsG5iGtucqDdu7Jlr3/S0uxislL7oA+HUcEcCqa3yybSiSC1n
1aStkSYt/Aw4E+ENXMee16GoWmd0k7EpY/IstWnxHg0uoyPhDGSXcSZMF/FkJQiiChK6InP5VlGA
IdXBv1uc5YA3ID/Mdn+vg9M7qUktiQg28Oa+LWg/CiM7Nc6Z/So7xY774EbRWxcWj+0EFCAyJgrY
0a3f+cHR8nT0QqKOioPIkMjLukLioPESXfSMUbhEvSnXtbLMgPBoPI7dS0GAFCWhjZ+18yEqkoNr
lmRoTBR4uQfpUqs556Pzt5pnZ6v5pCamXnuvtKsqaeKiV/XuKHRhkbG0sjqYSjtr/goGNzx4dIQR
CiybpouxrEtYhJoEGnWBvmj5wGrW6Dg9iqgCgmCh2NHIHMdBpoNiCriAZ4W3qu2KM+5leC4H1mow
bGVZdrIfPWd6tvHGnQq6Di7QtcSNsUAY+g3pqCR6e8MPyNzVrqCChJSt2Ok5fOSStlYxtlgxYPey
n2T4+dQeoHwTnT3AwZMluuuwW819WWdGPWqd0ezJMOsKfZvIEmDRptMa0BD8ISlLE0ldb4uk+aN+
m+tEJQtcFy9zKdYjz9GfBhn1pyZLNxNrkAj87EulzVTSCTaSWWu1PbpTvS+wnw3yfRKpaFMTK0yc
rWdABsumXO0OqEDbU2RbVLR18685Iwmboz7Uy3A/+nMSQ36Lf2lT7NNvkL+v4mooTeR1sciGsjio
RyZvAm2iHiout3XqBtCbs+p/baEeg6GyswFj0gYgqeP6SkOJyMWFWYzdlkPrCvVY1Mtc3kI+ouY+
vY1ahmHx4o8N++n/3kTNqZe5fJzrW123UesAZW7tWfMRm6Tejy8P/reL6oEvr3n5qJe3U49fVqjf
7NPX+DSrtkLmujACmbLpBvNrdfk5ry/9afN/fpN/P/7PTf/1ob1CKmj8fmfnDMwbq43Pk53G52o2
JgLYdWMP6EBAq+CBcDZq2ghyFiY2+XKVnFXLDriMfuKQj51nj/LdLlrIm/TBJHFR/+csuIQYwVKK
PtsI0QSQw4fvXwZJejIuSjNRQK7VU9WymhhxORwEcVGTMRjiUOc+QriWVryN13WUX8Je6lXdIjbS
uYxu7WEImlXuFjulQb2gb2wuRCT/1vceim9Vrlfl76uadlKMmOvytcyv5r48pRrz7jBIqZesnqqJ
kGwbNWdmcD/tlHGAku9eegUKU6NmhxAILMklFGAKtVbNflo7+tb30mFA4rZUPecgsLZ+1by7hqxK
xRi++1TLj91QEx2R+oG2nTLzJRnij8h0uQ+Sx62adHIulfBVR8K9zDn/WUIuCmCn7jB1IbKppQiv
P6jOA3BA+Dw0u/yaznUVbUN5CbS636QyFkf1gtyYFpeXDinG+7Z3dJPx9zIGD7Bn/EtDIczc51BG
TZbqhKC+m/oZZCrCkeddP58pr5gDWb8XxbL67WpoiSh1CNGRQWPOJnSQCQnJDmKk9H0wMC/WC1mo
l01sKTIWVv4dU52zhZfcLmul9tW1qdnPvnecQ+tpEiAyHORwXeKuizSfDkrla/YNCunEiMjy9kyg
1VJrHWSddIMS3CI/gvpIoZvgrTDvF6vsGL1Zj5cN5dbq/1SLZd//Sq05wRBOt3SuUtJ21Luols0g
K0/axR6gWkoq/MgoDnWVzblFogJA7wJV1ex05Xjb6559UImzqq+gGE3sC3/ruCgu/6/6J1r5Ul/+
mMS3/kDvYDweiI0Tk6Vny7pyqlfUsf0hbOgmV9uan0z9M2q3jvTBgka7iUOK++rbqMfUZJZ/+XVR
PXptfv1rUW18/WGuz/3yUl05TIw9ZE5BeVL7mvowarFQGSjXZTV3WbkkSBN1rCSX/yvCjHDQF+dT
W457TSqT6hNM6lC7zKrjW30aRn7/eQBm6o2uHzmS3ZaJcaIW9N9UBw4mBsMJLdRQbcpZyiYoMgjX
+IGvtN4H8ZAh84tjfas2v8yG8ldL1iEdFYZP8sSg9lQ1d51c180LZuzZMLe1QYtS/iDqG18n3WBw
yVfL5IoyPlWzl09fL9O9k95OFeyLgfm2mpedO2GfXIMCqYAF/aRqyQexxcnEQX5UP3YgT1xq7vrb
X9d5Vc+dOZAWhJVyICw3Vm95Xbw+V81d/8brA9fX+/LcpHyBESAplfw06sTZe7EoAVWwrI48fvGs
O6vly4dfakRSdCshE0nzw3UfVH9esHxEGiIBtY8lpo46VM3Gfc9QRu2m/55Vz76cqqZqbg9+jQpf
Dt5SObk6B9ScWndp4sqBllrnyj7v/2g7tfEY/hoNUR4vn16eS0h2Yre9Hn6hoplddma1NgBiAMFD
Xje+bqVWqsnlWdeNLq/6de3XTT89DnSBeHn3m7Ho6VqdZtRlRM2pt/3Xuusm6tGLd0XNXifq/7gu
qjn1vP/2VWvVYrg+RW345a3+te7Lq355p0ie8Cd9K3qyvNQxC2rpYA0NaZ7yAL9OFt9Cl40J/vNK
9fB13XLJmJPbNMrwcHm6Ot2qF79u+ukRNQvVeFgZoPwue7SrHE7XA+XT8mVWHVef1qpltf3nwzPw
1hOJn322GJT0GBw3v/R2SyiS/ZAvmcvNU7eDWBPsu4biWzC+ZFNpoV7t9RdOJ2ibp9p7pC4MGXHB
i19n7dFuLLKlDXd+L+3y4DaW9mICAH0YzKoBSDU8Z2mdYBNFla+nWXxMiKPWXecJlhwcbAtiL5Ff
NUkuMFC8qEthrhY3pA9QbqROQjAp8bD+UCBn9ajWDZO709Q57usXvpxOsIijvuamaikmUHjSm6Yu
r+pCe50E16utWpmpS+71anzd8l/r1KVbvezlHf61zeUdxiy4cYHuQlgp1JBOTnx17F6XAykXIciY
xpdaqZZHeZG4rPzn41+e7jrdvPFcDyhXJ09q6umF75XpvdpyyBoyBKfmUT0wqzuof88mEZQSJ69+
GYlwQZAgFWrnEdhN13PZtCOAxvEvr7zptZo/unodU9s7JOX3rMjtXdKKAwU7+Ja6lcMQd0g87OzX
tk4eDOHe+BPa95JgWj+tf/iahQGncEiRc54IEP5VmwQUyNPzNmHofxiRE6xhJ8REIsGSW0oIFD35
dRst0tpN08IobBw4WkXaUdekzrjvtP4sfrhR7JCSyciw0fyOt3iIoIMewrHLtvkM8ClZkGeNcbXs
krw9BPB714aTnQ2uswcu8d8z11w2SYVbQ9PCV7fv36N4QpecF+bGIfAOpioEmwQSTUkhfNWAqoB+
hkYo8FwOjGmyqBTMqI4iqhSuRR9UJ/okzKJ1HVK0mGvmSM4jQmBckAsj+7dbwNmlXf3WjODe1mjm
L0O3d2vtb6FN87bQiLupMVskufOauzZ+MApzTV15D0OcfsQzrC2P3CKKAwQrh2+92zz6hcSzJkRb
ufyqQ07A1E8rKLu7fqaBHzT6zkmdnSdCl5Sf8vfsI3/VBqhz8TTtuEnut3NWPjSVTnzRDD82iDXI
pZ6PoBI1MfoR0EBk6OYDpCqp8WmhNjQ25bXFRVEVlrDKfMwiAYw4btuonEMYb6oS/RO2MQ0Uz66Y
dLEbiR5IdZoIATSLnVHHUriEOMnXcGZQtiBYaWN1VDy10noeq8Y/O3Njb7yy3IimfQmW0Np4XhRs
bT94TqduXiM+SR5Tp/8ex+k+Ixn0WxWgol984xt5u8HaMwN7xQkqPfdGeFsuAqRThI2itkYVXngu
hbNsy8Fw1v1o7/2g+ZgLp9rUS2aiKLJ98DJFe+MZgCldrXzv/btybkGx5tiOaUlQKDe8lwKAEnef
3FXaubEr2+EAKibk604UnUvKTFBvkYAPP90RJ2NgV6eBqIObxhp3lodWVp79Y0ue9ag3EQu4zktM
K3Ne3og+2se20WPo7rCZAHC2EcvXyTtZ49Muo8Da9OJQyJwW4IsuvYrAECStt7+LwGm3uQGsCQLK
0pa/PbI9fs6W/jOtJ+Jphiw9lU7V4WIzNuxyxl03Uyun37K2xXgOlsR/HnMDNxA3YaFdo1OLbiZR
tofR4boCrwyuU4V5q/8TeUn5kI3Zbx+QQNL69TYVWKjKDtK2iNemOz6bvf5zccGocKbIqCDAZ+Ey
9J5NoK9MUra3omm+56ljb5MAYp8mEm4O0yOYEJkpGn8sHZrHwMoZfsL+EKH9vdqZFWHDmdv+cEda
Cen8PRoh2y2deeOO5g/NJxcHhAHjqGGrt09z/atsnPgx1WE71nU57SKkt5MTa+vBEuLG8/GwGu74
bnouOwk14jlJwPRq3i8jBIIzaEV27yJQS1zAnV5l1Ni0vG9zZBcbo4WfV4VTvtZmcx20nDFMjCoi
1fFuyF5iXhdwR+vgd0GpDXPtvg7n5SaPy0evyc6UY6et5x1Jm4LqnL8FCVdDmK8llpBZE9qzH/Ee
gThUJnXP0nH2tpU9mj5OM5HccflznQydauMdI/7H7dw8V7owfwGBrIfqbSSOc2P7sS5p0Os254fU
jPw8psO0FrzdJppfTWd4C8ZC2+XzvJ1MTv4MMB8KpziPIOa3lrZUyF8xQPh2hyWv4ajtbcviQzuv
g1PppyZ8WxbaR0SeEZH8ajPeWZmBhz9pMc++wPJpp+GjGSbbSoQkEPZduyGD5CxyWSTXNX6Eyrj1
0cHZop7u7IlYt8TGypTMXJeKiLRnGgDzDeOZVTOIv3Zlu4cGqWcXJ+sFsuF+sLKCO3h73dlLeeyE
ILWKtKpjY3NH6Jp2T0OTozyqjIB0iHncd/ypczOShFZDCPVpMu9qmjZJUItDAlhmlfagxDjzcwT2
I/1sCrs7UZGltXg2TdmJEAY/eK87eqamoBUU6dFfLep+RQtst856HEbLO1oVMVs20WQwCbJ1jImt
dOLo1lrMF0eHLlXOWXbuiVOy5o+mrbW7nMC3vMaugh++X9vwpo405cA/YSqdUqLCGk6WnBpWXoHP
ZRgKmJ6iPfuR56x66v1vnB/PLhQ0cNrsqOVsr3qLkxUkUJA0XvZENX7TFVWyB+JXbDIrSPdWFv9I
jeou9SsAgy0du05U+DYi89bUhoelS8Gjc3rrQ+iRprdvG4q1QXJLUxwjSOrOK9p6NELD6NZ0Tajr
jX8X6vC6LIH8vx8MulXu9OgkTrwHJ87XqpYDdu3gfDJqesETh+NZ115yg183okwPHdu111byprfI
1POPMKSrry09gl7i6Im37g/J/Drobr0etMcmz5KT6biP04wpFhsF5K4dxSOLKKD5JsCpuG78YNvO
snsz9T/obnOAhrxQRYblIQQ15hTGSzbH3SNQSgHx19z78Xjsc36hkpMLQK/0bOgE1JOjIeqbcWqD
pyiJxqMguiYplq3pIvz2MLmMRYWzKBgPqT6fMjrKOda0NHIeZmjmnMatbMMV6mQWQbcec8bjg5Nt
S1O6FLpi2oZw7DfDkjz30L/xkLuMphuYkzOsw5WhtfAwNVTTbdO8hMaDt+R32Tggr/hhBUuG3XGg
tAWq0oqXaau7kyz8EFaGCRysezLL3RYFdZ9gGx1MfV1nZ1v7Po+Zh7kanbCZa0RBJu37Ami3Edby
jVzjh6Rt+BlK3IbsJOaGa9e+NDE7jr7zTs7aFjbgedRyIudJSFpZU5EfCGx4RemEnrhsjiRlTmsX
6CsXuWNIfi+d/bg/Bi6ApyBiwJzE0BMB0YCB7hg31UG0sYx6eUqtHZXhPNYwKEX6naeF0104Nrsg
o/lkpgz3xfxBpQ1XkRP/rktcRpYXbunX8kskxi4mXgyrUZUM90uBQth6RiWB0ylxtM3UcUHNkXtH
mWCAWS8nrkp0gvuGQzAhqqNoJYEx3EAwefdJ+gkAV4Eu9CFuxX+LOXtHaaKvdOoSN6LsnszZwobh
DM5hivyfcZF9AwaboW5O8Yx4yNVbSFPryHCeY++t4P6HdrRPRg068q1BWkrhwHn7QY5ps096ysGz
dtbGZbwZZa9qhufYVoxbYNWvDc6mVZnFT8nQnr1q8Y5eGNG1j7ttMnNSbkxyvGfDo+s7DmuDjE7Q
YQid0+M49q/+7P8VJH0SLuFa6wB84hDPtwMygEzAaXP9DkCws4aMgHwh6+tjoj0EJmJnAsQpG5ri
aHrS5Jdi5osm92i2gXPDzQX3DAX+SfSu/FWHHHHwTvtejiYD9SqozmZCM71A9u069nPC2cEj8WAS
L8Xib1zKVGddEGKiB7u8GH8tvf03LEPiPZEAJSnyocK+7fI43Sz1cEi1Idg1abVxe41D2Anm4xiG
d3o7wOlrjp7sFSb0O5ekH/dl2ggoABrMgkRPtoUlz0Cc/Kx2fAC5eQoYBzGqyvdLO2MDCCP2+2Bk
EJ7pew0+2Mrq9MOUFvZjsWwQvdAIjQ+BhvNqFnew6sVdV85ISWKhkSaOYQxoqBvX9V3HDTQZCuVd
hjvb7uStydis09n/URQmDUIr69a16zfs/f5L7AJhYAQwhfVT6s17Yvr29oAzuCfEk2Jsm25yd7zJ
y2Ub0ZbcpK75OjfGb48IJGAqKTcLADh3tWMVWKHTPbcN35uK4MYezQFJLzAoshFa+cjl01jgOpRi
P/UoCQJvO/H5T+bSv5Dv4Z3K9KHXSUchnjhe+2XxURbejZdQAHKCBi7HjMqiN5zhTB3eXQ3RkbS2
9jxCBr0L8uKZ4IRfju+M3ys/eGvIQFyRFQKqQXM3YW+gtvHqw2Sxf+X2ncgc8zUX3luLsocGqbHt
Ihdvemlu4tLCHEoM2k6f0CWFTXQwyvS1Jof0ue1GZ1PkSPwXxE5por2U6ZzsWvLkwmomIsanil4a
y5sbi2arT/ku9vkvXSdlz6naTSTmZRtOfUxaAx7Nuao3PsI0UCyn2Yg3g2bdjdaIi8IiYK2epX+L
oAFtqNajmRv7yAtmiH5w83MsMcLtcZXZDHTMaQInCOpr4wls+kP0aHK92WneSB8m55KbofkySEql
vIlYxQDNZ0a7yglJIoHsgyWoxaAJSHnVx162Hal+5lz9T2KcD2NWdxz6NVCTjuJz7t9kOjl/Sd85
bwW3S2lEK79ClbZ2BLabEAnbMuCh8fWuwECDa03QFpsEbEyX3DRQg6jHGAffd3gdJRY95kyWZ0je
PUIk4iInLKqYCVhfRhCC8eJC3OUuefDbPWDaVV4U82Fu08cCuvc2DqYjB3W1TUPC4NPOuy/DItz5
k4X338UcWIvhMS1AzoeIt2LPpnNCculGD3BacnfOAcceuCN6oUT+4xinOLDiXTjnr3qKLxvQnrIu
7AMPx3Prx+FJVE/T2L76CaDB7jXtJJwvysCaENNVpu6Rf0NErYtZbK0FWHk92182GebCzu1hwXfk
jViVnq/9OCAxk3Q++t6Phhm5exRl5d7DmOYYabbpBcxIYzGMe8MskNOFDGYMYZpk/27JAfyb81uu
G20O9nWS/YHG+ZP+/V5+xGPq9j8cqlyr0M1fBInOejp3B6eLQBmmoHVgIm3gcphhuxu84CYJdpFj
9URZdc75b9NAOgxD/IJcIp5MbkHwOKf1zo4KRkcwsh2Q2Wiyhh33FZh62/iuh/aG4W/As90vaPBE
z2Wgf1nM/nthROZdxa933y3iTieEmI5A5VEFKdtt1gP5DIT1nPqyB+uSQW10sgYx3/dNJXYt8V34
I4E7lpYRbb0+JZPZ6Fb/X1v8/6Qthvnn/N+0xXd/ho/f/1VafHnKf0qLJb7QQlrsGrZnAyr8RDY0
9auWGJShTgZ8YINjRSfof0IZOjzkuKz1bRPJOtHw/wMtsUG4wxeUoWt4nueaJkDDACec8wVlGHc2
OZCitm5jihrpIFCdCIzVERXbVRT3+ZrGDUkiJOXW8Ucv0+S7LIZqJe8pF1O8hFWD/9WhuuFq4b7s
yGTAd11ryEc72t5rgnjw9JmU4jRj+jDiAXzo2G57BI/wTmDj6PS5CEKhaUoAUjV5L6II521AsiK1
kfIhbCtnD7RIZFF7O8yY0VQem6hnAheSlPPiArkoxg2Wds9WPzU3wrG/+VZkSDletzOIQF3r4yCD
tIaj3mk69zBOtTP6qX3F1/ON4/hV5Hr1ZgWUd8rpLvDDltEjogNrGKFDaCk6Z7u5R3kWrmb0c0jY
qLlxqtqGjHrWCWa+c2jap1zviwfNl6yumGgoE9kwxT5iItL8UQM+0WWF2JSm/tZ7yLNBFgfgV6ow
qt+rqn1I9Pl2qeN4Mw6Nwf38ePJjQG0Jp8btpC+P2fjuhOBd2SXabbOMLWGVxlMQEbWmnkF3AIGq
Gyxr0y+Tjef0EI9irrtem/Lek5sTZz0MxA0/OEtSM8wjCNraGWOyN4octWRj82PXf/ve4Iyt9+u4
ayVcnjwWqwx3gf3bpZC1bgHo5uS5n6meh3fcBuHJXubWuR+5eG3L7N5uKEdwiUBHEYx/vXZ8n5yi
IYEu2pKJ522Cctxwv+5t0jSB2JRiFU7KvD0uoU3QA7ALh2TPtSdvPxwISvFISBb3oFCT9Y7gkY56
HXrpzh9OQ8/QKfEieY3QOd8vnJEHTRJoxuzWmkW69UVw6+YzBUovs7Z5BFV/gAD/AO4drHQ2MK7j
t6mWVAN1sKlzw1otFYnxDMQ5DvwZ9TMjdwgBxLU/1I1+DqnA3XjPvplFhwg49Nrt/zpiCG8bo/pZ
Jna2b6WunnsdHKfckp7IN3mL7JZUGX+0+XlCCNFBdaxHujQadJthGKw7C+jYWETibFnNplpG6y2r
fZLTKd0Lat+TgSaGdPBzaqXFugztZWPYtFLsJHoJXO4ZgsZit+30ehMW+p0ZT+0+bs0CGcg03Ar+
RWQIwZ7oYW4WtQwrNGOlA5W9oztyYSJZHrI6Qh3fNTnmx9zZUrPOGGCUb2QutTd+xRW7tb5Zedy/
N335nEfli66D/6uG3DkAwiPTZzpPwxidBWWL4xwLbzcmob+ejXEh1CPBnRkJ7UOzkltjbEfGuEFL
x5xziB8OB0PTjplt6XdC3gKEiyRMJ8Wb6RXVbWFy11VXDOs8L3X2eRjjFC/8m9g2i4M8XZXNuqBw
Qng7gKLcuO10vyfrua5uPD28WfyKLCKyvlYxZcFzq/MbzGZcbXStq24TcjL3aCfeTaeWCJxk2lIq
oAHQUqoN/Q5Mz+wS1KRN+X0YZO3B9ZLwmNR2fktddGS4zhguEgzRnI54UKdtGQsPQMKIR8OYJ0pv
qw0UGXTDMfZiCMJNWoxg5kP49MjRv/UQDCibw2YwE2JFCpeYHB2mT9QuD3zPbrb4Jcx5XiXk46yq
tLiJc8e9TPI0vS2d8Nh6pAWU/OWaa0CUGbvuPrCmPwiInOcsSggSTjuMBvNw7kvwHA7J6g04+Vmr
qZ9HxZlzP6FVBMQQWYBFQ5Ec1cSSuVqA8xlTXpfVHFHjKIsV7vHy+CytompZPX5dvGypVnqKhqce
+jSrHpocd961k/GgXkJtotZ/ecUe1e3JQjDlf5jS49hLj2OgTHyx9ExeZjVph1TLak5tpCbX52TK
7Kge9pVV7/rQ9TnXderZ6gF6KbgApR+QvA3pnJXv9e9PoKnPpTa4vJ16lU+zl6epd7nMUtk7c7jn
5EHyql9fWi2r1/jnd728xJfvqZ4zSbflJH2X19e9btdi1JylY/PTt1BPu3xBteH1ra+/ydfN1Yaf
vp16zqdPen3HyzM/vbx6UeTWdL6un7CucbY60uMqlN1VPV9NbFfaYdXrf/oQ6qHrB62x1dY5/lpO
ge8RtbPLEy5bST9uRrWi6CjuuVkHTFHQ3bxNK4BIVRTZ3GmQ18co+rGQZl9vRieS1lKhNpUSTanW
Xh/qhJnv3VA7fVmvFh35ZPUK10cvr9Iqa/KnVwxjILE1sXRTkzVndGWpnqIAHxC2rNSsJq3Ul+U5
oZYSl4m/+bSyDLPhmFVvl03UA+p5YTwbu0knXgwzPecB6b6OigDBJbxoTv34tXOM2430cs/Sy63m
hPR3W9LpbRPSszELwJHLXRKEiPbl8a4O0VqdCmrzzpTe8R4TuQgWLlfSV84YuDyShLdu2+GP1/7h
TG6vSqzouTKlG9LMvsjJLDVKauJKW/u/Fq/bqafxb8CvH7CleF5/mKb6PLWwE2zyFxN9+lnGgcCD
LJkGwRKT7W2N72HhPhNCQ5/CpZFUS13iNc5QLTYTbFd6cge6DRZDHOSwPUauQHNPgUceMUWInjvX
SOY5MiHPljEahFjMTGRdH2zZXZv7gY3z4UQw3QC8jEndwbAe/OqoTW58VhMaq8DfZq7mFeow2EHC
L8+0emAnyb9UqU/UhMbxyhxD76AEDUraoCZ9ov2tDQcuElGeFeV3K9m7k/sgxjY5z3Qr1jMyyvVU
U60jU/SQg1kgbbU82nbgSQ+7QzvQRZAPyxk7iZUKqIb4eDyyYrFCEeFSjCl6LZlWmQoTiieSJxCG
zTuKYsIGjIbLGX9VOj3RBcbgRQfE3FqZTe+mIcEWeEF4RPDpzIuB/DM2ToZ9Jsy7ZmyMr/+ip1Fa
LanbGV1nIyyruqhZJ1MiQZD7b1VwZBH1JlcswiTVXODGDLIqhxKoNVz+A/bspjtEfQOMEuMMRTJ+
f09Oxs43jk3+pIgeOnF4JHhK0neYWwe9oUd8lYoR9ILMUkl+LpKwpWRowDCvl1JNU/oInCb0C4iK
QACSxIrWV7GSkjKpSTRLAb4E0I5aaeADsKl6Ky2qM/vJAg11piIKWFMpCK87oJr7sm5G3QR6lYq4
L8+GgUeKlxbtWkaBZPMNJGGa8it9Wna9OCFnkZCNMpEMhC8Kt6s6LqjpkEGBDzdqd1JfT+1whdLa
XMm6fohE3NOPVyXWVdR1XddlmrmV2ucvwqaLGOiqisQThKGnaxswbew9ahdSc9fJVVnJ1YThamof
FMDDkkCPSMJB1OS6OOf6+xgR2ljOeCMVn15Jby+zlk1Q2OA7Nu3h/5Pk8QXsUbX2rrCiEIHVfwF5
KJrHLP0Xai4yKQOzW5z80Zrod4/mn06f6d1JFIqaxHFbb6eQ/4vGT3iw7RIpSf+XshMEX7k/qZ/u
qv/9Igfu8vLUmoL0dYzG+x63KP06dqMFfcsMQuHs9njdphrkUjrSPSCSD0r/zDVPfSGbQ9qpgK6M
+kB0SMtNIAg/M9+YtLs5ssR0MrF1pKg3Bt2890No3ubguXDJbYBts0lhK9bzMwmcN1GSfhvHDqtq
W5NwLmwqxPIL9Jkf4SaVJ3TJzVHf53IUaPoGcwhVxwVXGx6P6Nxj6BHRTOdOClI7q8h2xDZ+U2JR
9ceruevO4DVWerKfy6ks14IK/2aS90Z2/jEZALsDUTpnT040bga1psuIm2whsKirWjAmp7xG/xoE
J5eh9SHR490Q9699HWiwIvNo0+QWfbUhFgVNVueGwIFpD+8mPXd22e+9tn5sMtpq9uLBfUtywFxU
SzcznkiQxZQhNZ8zyOBVyHkWMzvEOkDkuj1aKRaivkSIkCnTkWTJ23RV0bvLZWKaHBo0XGoDtw9P
ZYlzzTag7wU+7BJdjrUVcMWj80P2k/ZqYTMtzeEuL+xh67XBg5/iFfSF+Da6e4vbXlJk5KvbFatz
gm026n3GpbLWjX5TlN4mgt+9KgBaGR1+B9etNkWrY9OS1/lW5gDERqWRa2jc1IYOs0mtU48uKVxM
0Xbf4p5zzbJEL2GYh7u0i6pza/9cbG0+mS0B54B66TaAgKHdeEqa4cXRWto6RRlScO+APmYLVUv5
A5R+2u77zLyhvXRPUiI11sXLYe9ii6jOcTN8N9oImODYbaGb/wd757EsqbJl218pe33uAxzhNKoT
Wm6tO9hOhdY46uvfgH3uzbznmZVV9auRYcTOCEIB7r7WnGOau46OxmrADoL1g5N+vsk1jSZwo/+0
Gs5FWePra/RH6VfRoT7FBXTzdL5ZttSYtCffM9oTNCJqzN2tK4eYUMeQpE6uJdRcUzoQywM4exFz
fLpdDek87ukq6v6mayN50P2m//psYdm5EPhgOlXOfNGdbzri905kQKI7VlxmxumVCNuXQGsnFtuT
sZ5ckrVcJ3lBu4C0LAFqJ9xovMZtLjeipMHTMjos3062BB1YERivSSs8fG1oEVls0lmct/5QJS5/
XFSHWjOesfuH++Uh5nxyLVu/b5aHOb8Vjcv9ZQdJlNNZM/gB593/8bhlE8hBsoVk8Ovrucvfsrg/
RrmerHP7e6IjQSvStNr0RRvg8La0TWPHj2QFTFdvIqVrrElwi/uHuMbkIkx66rU7l9C0kRxsAWlU
HwgV8r4FffYylSPdv7THCj90c0RWN6eNVugnnPI1UPk+kwa2whSbbwiEsCY2nG5PR6u3Hs49TvXv
/gDqsi+9j2Ixs4zUlPyucoHkqH5FIRW5qp4Mp76btIfJDL8buEqksD4aIen2Br1/65KbeSV51Vjn
STR+ujW5W3TMnk1qXwdKTHifO7v7SLTz8v+9SAlXQ2R36lCOPVaGenaGafi0wgbTd+a7N1VQNjd5
o7BPU3L5DM3iISeR/hKkBcRgWtrHdiL9b/lPwk+NQSWfjZekOzVBG48DN38mxvNm2SvfGod6ZFvX
OU3i1qYuvFr+o5XaexjTZOvL2gSARAM7G0tIp6BFwC+B1hq86b0yBneX57bCv+dNLz187eVDjG1P
a7+JxKVsKuOO1Q8nBPP1O+kgqmhGFBK+Xvv37hQZZxQ2I9U1PspETWHynOQt02pC9IhP3xupAhvo
U3CcvwQ1AskO6XmeezeV93Yi6WMt306AZzdqI3HXBaNxyQWUhWWXI6aZbrBpkuZxeyjGwtsl9A3f
s5B8zvmZYQHIom2EODW2mzyqbvhY/q6nBClnZP7dmmMmrpMDkc+an2CExY1M9eqZymBxbIYa/aLm
BJ92//UDWxWHU1Q3zrHrdfUUJdPDssO+tLN1Z8v2JgRHdlOgfPj6AW2ZP5s68VUVqLJto1RyMuyY
XuH8lejNGSJG/zHRjt8lpvAPpu7atHNSIMK8m4nMHnLVOMSQ5Pi3y2G3PNGqUNbahflgQbg7hzLx
Nsvbzw2ml6ZbvERQEI1MH5A+ldYxdAvvPg4osHqjyL/nyjrh/TNfBznhEja14BSg3bgPhpl0PT9C
BfnRdrT4DXFwvLPGGk4XF6R78rQMzsGs+E5C1t5HavKmotzbhqKacItQHTUK5+AJDrRlP9moUESl
4TuzLeD5gZAnA23u3Yhv+Ws/dkRHsde69xSl6pbA5Iz5Qx7e1XUQIW3ilYKs2OBX8t8bzy23SZn1
ZxYGxi1lYjzu87utIR+gLWg/gjm0rvVNBnqZVbe6H9Zf+3Bom2WtLT+mOWF2KI34Qmy9f5OGU/f1
CEVHtpum5lM2ttjEqdVeUG/oN/asJF5eZeAa4MXyMy0kENpBE5cGBcCN29DmXt6o1x0c2uCX5QF6
qcD2t3V0bVvXuzJE+F+PomtZxqP7rVMO4irHba6JbCcOQYNwua5JvxNzOn9sVdClHqxeXIXVQ7zl
tTZJ3RukrJHYyqceKl2ulaaFN75W+xcoCGpTCSv9lmnnZQ/GVIp1ztB2U3a1flE+Mmt/Ap3RWa/L
A5BXj+tar6yb1hjLi4XvnLj5Ftal4udBcwYmtax/0NKhFNm3+gOylZKxbWrobOfdwySB3naGU/1o
yD9PHWV9ViLT1mnEPiqOz3POe9x2NO9ftDZ4+NqbFz6WsrBffC3VtnSzkrNraBZhwBE63lD6n5If
a3loItpxlamoerALqzsUiY9royjsh8KhobE8JC+GdU5x9pPefLwpk6q+MQ2rPyd2gxC9K6tXPa3u
lody9jwpvW5fKK0ku5ZT4lRNMrztYakx88mbbwL4izV/YsGiduW0jnZvjKNJLEOt7SdHxI9uQEka
fWn9Ax8nre1O+4g1K98EmxTN1k3oDta5DeSwjTJOL2siT2T+ehxTomKrI7IE2gpY5WCczCivb4dG
I7/WKueZ0evyyEn5CPk6w7gffOBT/Ygss+3q86Aq9YhZAmr0vMMxAJxjeeOHFpf4KxEIXHs9CC+D
QmmmfDd8m1RyXT6LV3pveqfEsxtqICFzgD4JQI9bAzAIsksOOKO7Ll9QxUoOE+9U33doA49R2I37
lry7x6iD+bE8xHeCnaRd9eHrXKul6fVX19SKi2+RpmFHTftmZMZ5eSiVus8ozBkns744I1vJ9oY2
4E0j+f2eSMgRsIywvqus3pperb0nSvibvi2aC+KA8MaOk2jDJLL9lsn7UWX290FLGRQ9lwAi5LWn
srKQDxSdekU6cV32Fbb6Ly0O4if6C6gXBzWA5WHodgMFTnTeRxd5OEF9482zp247OeFwjqc8uM2a
AlfK/H6Wm+WuCjzthii5/mzMl6blafPzl0eI4PS/vfH/Vm/cpLf4X/fGv9WfTfLv3fGvJ/3VHffs
fwjC2S1qInB7WNqyv3+Ct3Qa5zbdaUEz3AXFCl3rn+AtQUdcmJIsPs+BhSX+AG/p/6PmuOnygn/L
+bPBfVnCc3WBJmYOIvwTtJUKpemjH3aXvLPaYQzXlV9fF+qdP0/Nl63fN//zvwWzH9Jb5uf/9W5Q
tmi7IiiQuGwMkcW75bW+eHzLMzuLpn3nRtZYZsfaT4nD5mxNvYmcX7MnsqBeJQSwPYX9S0G85zGf
QBN3XLRX0jDe8bAc8XyXq9hOFWvT+jUj24omdVm1K4u2v5ZvERgPduSshKO6PVcNEmS7ad975ZMv
IekoGql1Nq5bTTy3KlxnhEbf2aUUq7qQwbqvi/Hk5901jbsXlPLHNK0dEPlAMFovtk9l7x5NUWuo
AzSIAAWm6tqHuDyy/A+yF9dzPvu+wpbjD+RYYLcuRyJgbL0nctXU3jOHhVTWesZREbM+KvHDaB1q
mIjBeJ2VEmayQ6Ser8EMwFzHu5QU1jzbddUtmbMkzEbQqh0IB9YYI3cwGntDykosFUhx9EVtmb+Y
cUD6rU1uktb96q3Q2gR9/pjocbdSylMbH93mDkBSKBGalSJ9Cfih6CKfEss3N4Xo5WHIu2QDSRoG
mK2BsSLLF7CYh3OPMPFogDs6/vDD3mPx66Hgj610N9nBhTjEF4+C/bpAgLjtahLmnR9tAJLe0vX2
yvRmWPdFeleT3LtX7W7K8n5bC++1i43HySnsnWWV+8bN7qdSvndFRUlfw+WeB2g3aibTgK9wcmld
cxwS7SpjjCsV/nPhCa601UhTlOMAsf4HGl5SfPsyxrn0oveiIMhGd1YWwzFBsejVmKGuYwVoy8XO
kBs3PhMWlLQI/ywA10mJPGEkDiAGyV/mkEy8z84x+PBlaKIho9tTUqE39O9MVchssj9Jr292qZ4B
F3dYYddJdZEd6TEWJ+TKSIDQI/rm1yvK2zLznA1VBo1DOqy2UIhvpyF3Tpmtzq7AcUa/56giatBd
L4tt4BQvcPLKg4JDu1Nd1+/KVDs6mdiin95aVRWvzcl+GEaD0TQs8BCFFskjSFDEUDNs1UyrXGQY
oyoC0mZ9+tCOHm91M7zJggn1d6odDIc8Nd4q0TeV+y2ts29hpTaFBRa2s9yHuE1/0kjHHm4fVY6y
2LFH4jStzxyl+AqMKAvERRJvHxvSurGA+FvR3ludIA0ERS1LEXlv0Ig2g/SD2tJWN0Dhp917OFT1
wYbRtCrb/FOWI/yW1lppQjzLEsuZ6vmtNLMC4N2eNe/bYJSP8/V1JUfL40cjiKjLr17VD4dWOWvp
owzQekvf50hez60f/XKS7IHL43bygnhf0LbZRpS+NMdBJs9id9VvLSWezLx8qhOW0Jpuo/ej1/N1
4xLPkFmvEesKJKHmXVw790mreYj2wor2O5kIhpL6yTH3sU+uKSHQ+97y8KQ6+nkCubeuAwv0MeeE
Gw8JMdysVHJ1jUXy1GbwHDi7LG3acQEQtvGgEXwjSB3LmFOeKwoSU/RqTzgDp5bCQVz1KeyJ9JxS
S9hEpwAZ3s4W1IH0uB8voOf2fJYfU9BZV5ENN3DoODTM6qAqax20w12VBpgJgsY9uJmI1m7yTHcd
7Yxbig3ovWvgym9upfdIkw6DTOK5rOSuYkc+FKDydkFKOEBfuVtbTdHKFrd6NEi0WOTkBIkct5rt
c4oheL5Hpp/f+pW91uGo6FW+dsz43fK6U1aiJA40lAJ6htGtHe11aAG0y6S/a+Ssg5x+lpl9cFBM
MqFy861pWR+lP6wbda3HLaprsSktpC7l6Kfg5ew7CzWygbcrqg1/bfZIq5vEzm5EHT0YjlpXoxRr
PHR0bibtm7JY4+PzN5kFk+WX+lFESVmROSjJ1fA3fsfaNC2mml4TfDrXQmytjQ5pWqAOiJOkl6nv
zClsNwKj0nqM/d18ag2TQkWNOmCbxD/MDP6BbZ1qKjg4v/KOk077WfXdGxck/hp3O08ZlyIsfpRU
SRgMLvXMjwYrSIKdld57eooSorh48YiQv/8VmcBu8qz+GTphBmO8Z6hsf43+qE5NEj7F6J8O+As2
BQHsiNnaX1gYB8q/EoCKa10iu4T1YmwTF9N2q83xFLNCGbEJ3hdf/praDGEz1Kw+QXfdtPR9MooV
WhUBzyF8WqX2re5qzo3ATUwSY1hcsQ5+6wfzoR7HC2UpdWTqnl86f9eiGl15ZvpitJZxyhPR7dvc
41IbjXeIU59Z9sB7iD3OHSw59gT9bvSBUDsITsfev7YsOBpZciID7UnsYVu0g7v1s59elDfIWMkG
g6MCHNA6e/DRt7kcCDdAU+/X4tMnBx0BFkExLj0MD0+baUWXoiWMbcLOOWYv0gyMEwOQa03V2tVT
smxG55edUneSAsxVZ3Yb1vB8Tbb7wC6R5hGLEfZ6jOyNfAXEvJekr7RLp8KzXnr4GrPQO1jJnAdg
UjVGmetU1XgGT9qXzDIo+G+6EsN8lnp0/TifVpWyUZIVHR5ar9lQ2vxZdd7Ws/A39U75llUkiHdx
/ssj5h1oS7VvmdIBhkOY7bXBoWuacdNkXX/GR7jWqVaurLqrmV2QLG9oOK8avHeyQkLscGGDtHaO
grl6ntQg5kkr5A2vRdLdMY9skPaGEUo3YKhihveTd3xo5fBJ+3kgJbFxd53ofwYn1AXuocmp+hSo
l0wUcfuhcdWZuQLI8NQqGeyJOSgNASBwsIp1Siq7gYr4WEui4DQnuWh6di4aeTu2Zr+eBFBNFRCW
7GgGqy6LcpI37ceA4Dh8Pvux1dt1w4+FAYwmuLTKjT7G9GoEhTm+vxgoUfUTlWe4oh2LND7CZ821
jNU7WvubyhYcKBWYSkhxJDDN+qyWEp1h5BgMHZ0DCIjnqhPZT3cUCe4/0n7ag95HP3J+yWoyYZ+N
WX90acZhbyRORg7+iGcGM5+0AzxPGs0nh2biWI32nl4G9qIA6Wac0Ljidb1+smj0NdVO1/EdNH1O
dJuV4SoZ9HutESXMnLDd1Y5R77s4fMghAF5srZxhkEwYLEddOQaYg6THCgjstsK9tirz7ofbJD+m
WP/W1O6jH+IMLa2BKbNSH1U4ye2opH2q47xdjYzvW9senxFDxgcnzwbS08STN/VEuGLGXiPmt/3u
B31HAuTCbMNFnXwxumGYn8I9YxiF44iKilDfzTYApetic/HE4ih/yjJZ3pPuFfn2UVbkY1mIIXeB
J69Ejheb2GAgn4Ky2wiJhWASgbo0LtLbWK+gvrn1Bnapdk5HpDT4e27tXO/3tuvEXATCbF1PzOnR
yXVPGojZoq5vgFFi1RAWIRKphWWecU33ix3ubKxdfhvdxAXGvqkwyRKbu/iOlhGTVtJkD4uKVM+Q
mY1wUFjEcCm4KEflRY+Djn5l9VP3ULE0M4Bw2VJmfyts3TiaVA92hduTzej2wBBCW2Dz7F+1MdP2
fTJeLJgDlGA4se2oPYzxqI49wybcyTTfx3qnwX+Lb4YsEUdXztN219PI02MqZxZzTmbgX0fkvZu4
K+1db5OQY43+gYHiUjdue079MTo0/nQ/xp1/GBLfXfW6expc5H7JQP2z7dyHtCvJXELQefTjSn/J
pLiLMasOxthuEzMIsbO52xFhJsR/cVblEF9RB1wzLiSIYC5NMel3A/4sYYzhRQnnHdxrsNItctaS
oXiqmkmes7J6tAkDmfTcPZjZQ6PL6W7Spwh5b1btcPP4W8+DJxsRe7+OdR9RpZzItXO0Rz3rgRSx
stiRFYIPUDdeW3NLM8Ja1V3W3/Qm4ex5fwkQW68nWmTrIq+YJ8w305zKsdz87W80Nr8TuUBUFVqJ
Uyk7hkUQgwhctJr23vJXvXQ3uFH7w+zJPjmD35/0NE9guf7rPh7XCHbnvH4wAXt22Vht8zz4FevY
FNeTRr9zuSmyYJyFDCbKS/EZtYLo4dyCXKpV9HM9L5s3dZRGX/fb6jOALrtd0GpGotH3thhrD7hU
N3XoEmU7M9eWmwgdrdbhOlXWEHZnLuT2gULU2h0yuKOLDCJbQtyXzS4L5FYZzWs4i1EWGcTvm0UR
stwdNayrll1DqUebTmU9WC/6imUfy43OhZ0FiLv//aevF6jJBTW6EBfjv3Jj/NlFvVp2/PuPnkXK
qamP+9/SAOZaEK+W/nrtBdMxMC5/ILb+IEotzfVqdq+NZHsvfXUWHtiPIOs7pBpptFTg9HnKz/i6
NHIpRWcA14BFOXejWW/QsmpPYEHgC86AnRClCx3i+fuflTrOJcGPb26TiRmjj/MvMVGnefNPtWwN
mZiM7RyNyah9Wrhvi0hj2Sp1G5O1Nbhviiv4VsyEWGeGwxYl/pfDKOFy+R6BwLNIY1EdJXnKD/xb
tMH8BA+yRgRnUNDsnwUay5ZVJ+pguzCFFzTqfLNspTVpya05vC+hLL6+aduMvF8Ded1y8C1bEZIc
DlAsdWsD2t56OdoC5jrGdvng/EjzgVhiLncFyUXzJ27nQ0159lAe6D3uw9hw9kESoqibb+xZllNa
JJv0ZIlQy833y5+miawzCPGsgXN65LMI6Sv/emZQLTFDy93cKuvtINQPfCHtzhvb+/8PTfSlnZqP
1DFEIpB4Mz16lmR4C1v1S52xSDTmm+XupPkIsOvcAwyTsQyP5oWYPqkLizh/txw4GkuGbehngDkc
uM71/AmWD7R8luGBLgYY20V5NOYhztJFerRIqmLIJnsUKacl5cbV3AZeqpfWwAdiLiXmg231BjE5
c0P+d5M+4UTZYM83EKjAOlxuOKf/2hqdOdf+9/3lv/XljzhA+603skb+1/McPdGhgsz3W2Vm9dvf
9jY1IjsiGxjKgc+25NZ8bVqVR1/eIEhs+WPchf4qq5Fi//FIWjnVV8LNsrU8sBsYh6nejLR4OCTM
WG1L2wFQM98jJABI7rzlifqtUq27Xe7VCaW2rR6Qmg1Kwd6UGjaNuMAFK2b9yvKYRcnyt7uOQTih
w1WllyxSV793L0SjbSBBJl/f7aJ98CRf//JVLzf9/KX/vvu3h0DZsQ9dzhV9ATVTZkLwWRg+8tqg
dmD/hvMy28pui5CLJ6I/ckSDAJkctkdErQuZbtmsRpNk4NjZEXFXjJivUd2DqPuNY/7i8lLGrTZT
NcOei3tt+TXV/KP9sbnwmGXNSpq2xR60MBdJhnBuCy+3DolFjqDiB0F2Krelpr8y9P3FmV7e/nIX
SQ+O/fk/lpuwrDDIK/pIs4ZMm9XVHZcsjuF/3ff7Ud9LhfR+/mTVfLNs5Vw/hzl5izJxvTFtncjp
f/2n3RCHXlKDwmA4ssIbqf3N1xdOoLA+LJt0Fws0H0QVp/PFNzOBrMbz1nJ3CFAOrzLI6qc2/Qx7
ozv+hgYLRn2uTTNEuDc0XB2rJWbpj4NwPjAdZI+n5Zi0qb/h5rHu/ji+l802ohSa9I78K7FJIKBM
UX788bhlp3pr3NAhEbs/Dv7lMb9fozKAfuVZie98fl2iBTif8oEZbASx5OsNLk9pnDlsYJiRV1Lv
p028IL3iefSL5pM8nLf+dnf5DyT+7vp/OzL/rY6McAyMg//3n/7AzWf7+R8/l2fefGY///P/3BR1
G/7H+rMu0uhvgShfT/2rL+Pa/7BskzwU6diuaTqzR/Cvvowk2sQ0HMrMhvXP5stffRnh/MOW0kAi
IDmveRrP+isQRYh/0KcxpGcKjxm/Z4v/SZ9GGKb5730aslgsZHEe/SFTwpF1xb/3aVym7RkE2Ri1
n20hhC6fbTn6e0rzVJZNdR8LN7wP4v6UZ0a619uAqJFSFw+5ypCRZ5M62RmRln3uPJRa5W2nxswJ
SNDySz8y+DNlse+IcJasvO6QqO+CII8fCw3eTxoRkd6osnwV9dUzknUS6dOHr0Bg5V5fIYvPy3My
od4M4mZctZHh3lfeBK3I9rNHl3znJHACfFLAbiX6zB1RB+bZLiKgMF2L6qhy/I0ZVvauHNDawbkc
vreedg2lofHOHcIkcic9TIOf7Ttj7N/0ut74TTS8RxJwEP7kbYnQbR9nTvFKDxwYW+h2R5GSDoae
+nkYSYEPtbG8qnZqn5tMKlLFWkYnWWIj143wOYdZkNlEYzN1OJPSRMrsPU0x69jJ6tNzPer0SbI3
Kpz7ZE7IS0wbZV8rbdfP8nQuKgIwDHMomElOuGFp01287NLJZDw3NEZ8vqwXvWXpWjriGHsA9uca
vGbjznMc66cGUaYoeDmdSABSwgnfTNIBv38HJqUMD3SyHlRCqcc1aayb6wjC0y7XjWanWU2xp6kd
N8p70c/xPRb2/C5QAwXDrAdxRmVmRNa2HmtVHLx90rNybfomJ0Igx1TQGXeYYx/yujNuMhUPKydL
w73HRzCdiybxlKFT2LYFbaW21rMDYhjz1LjkFSqrjl+IuNlY0ZRjCa3B5OEQPJTWD84jwsXjzGJ4
dfRb7BQpCW7iqUmYpKHz3AKsaG6lmZlr1/bLo1eCsqttuByl2Q47mx9n13oUEvSx2zlMNY7pUMG/
A25GLXNMiRMhiJ4wBfo5pR2ejV77VTT6N8ZKIAAstO51jQwcXxwNM/cuuETL48BO19RsxbbVneAk
TBWtZASVpBORttOoK+5bR9IW6zxxJ+Dsrrwuww8h0o9a6MmlnG/cqT3jP4kOYa7Ks56kHPfhGp+f
OAFWYbrgPUypa15lNJhXko2yTZNaCdSo+DGJSuCEGDKkP8pNH4/4bX1KgzORAHfc/SAobMMS524D
267Oasr5ZZ5uPT3ytwFCfkj643AXwxXcZJrrnjQC3TUrUzi0sJyGzPg3bTG+wNDWNtjwSDSKporW
wvybwtGJ/XjamxlQKDGSQQkwBcZLrFZP/ZCr81CH35B2p8e6oqFi0+Fg7ppuCp3KoATvNGGuOozT
Qx+156oq3TtXz3L4cfPHx2uIFb+oD4NWEWVsyRYpBgdrSXEFKgzmwsYoEwyXiTxHffKqh1Z95xXm
oxMkp8gXgpB6+QJSl2ZuH26aZoKZ6QTFW1YYe7du8nXOFfjKufMKrSDiymW4OyOd7qfBHI+I0Di4
o/ic+2W4Y/UUbsO8SKlJ+ejKW8r9cQzLR+ndRKs1lRs/TTjRLC4TdVE6mz4dzBsRRRWNlXAf1/mH
RV9sQwc5PlFxaoZnjQl0a0XqWphM5ce6llinY+SWoj2FMpqJQdMLSm7o7ZQvXQN5RtMP2GMm7016
RCRNuZvRds7eDd/fUGzyd5XUivcoFpTa3J2qRHmlfJnfODRJH8rIgJjiluHFHcFcVJKEdwvFAIUD
26Gpmanb1q3NeyvRb82qzW9l795PU0LkTTFhjw6c7qYifjaTtOP6LiR93T4GZfwS9MG0lVkpt8SS
d3F8HBsfQJeRRMcOUwyVYdfbpnUU7aMQe0VkauBJSu2bHRf9Y+ybt6Q57qxQqKujO946Jj5pyzhU
XJxa3OejetUh/NwbPwkFMm9Ljv4tunH9BhhPjILendk83Zy1hHOHPIp8E3UW4IyGiO/K/Qwi33sR
/ujfWLWBE54A16H0+wMw+XbVx9lwcejg70bd9nagTmBp6cPdFMriI7Z769aF+jpXqTLoJ8+Fu21M
Hxqg4cqNadA00Vv1K6alttN0FOxJU4QXO68YPKhEHbLEGs+VTN7SyHgMokE7Sx/oSpImT/X4vez8
WxWa8jnWtLeMwnVZukB/EiekJkD/xgwVHSGbrzbLmApy8UbWFWanYOy4048flL4+RodHdlkW7lRd
ecfAhgMZBGNDXGsbHTyO+E3re/W9px2FJX4EBRiQKqjsw6QHd/TP4JclMnyMx8Rc92P0MOgJqUk1
//JYu2ah2GQDkiSjxPpmNWZ4iKr8zQ/tak0uCbkuSUj0j5wyAmYpand+qXZOHZt7LLyHZrKLJ0Ua
0DpvsmHvGIV3K0V30A0qqW7ttmu7s/WLVwF8KbRW7uXk9FvKTBRqqL1uJB0d6r55gB3Is65J4XyQ
KkeskmM+90YxnKLYuJsi6G+1BXbX4hgK+n4H47E7tT6NN2WbRFJnQbmB9eXhp5ijP8bPTCXGy2ic
9S73Xsa0f2Bi9Enwak5froG3mTTPQedRmm911VwmWp5lIj9DC3RQofVvZUPrQSDXBVO6brwyuZqW
cf4aSNwxPoZSMirGLokMVa0f6oYxUanWZA7QGqgXq3IbojK881BxQIH4NCvdBlBAcRfJrbiYiYh2
ccVIHRJ1AkA1B8/QKrA2yHKf8JRPW08yrCs4fIS4j/UhFQ3OQRPmFUVB6hnJeNL9FPcGJfDc7787
6UPqT/65Gnz6DgahV3WVGA8Jdg637byzqIp919ce8mAKQK64DZSlP7TtzdCUwdkyohPgIGz3CTVe
uoZnGumkuocOnZqmbO4bzz97XIAuhU8RMkwyLGZogy9dHp6cip5JTLjBCvfvz2pCKW1peUgL/b6i
z78tg2Z4CHT12CKqfarRUKctGJ3cgOIqAchoLsiALP5Iydc6Quv6Ues2DTbPb7fhnOQFbvc6wL5a
tU1d8n4SSkbkPCtcS6lP62vu1QTZR285cmdi0ih7AuGcxNRvopRjvyiBr4fjoO/4pUmbCN4ljDYu
jYUC79BqwbGfYqwI0tt0hVS3HS2QUMb9xR8r4+D3PgF4tU1Km6wkpWMzvDh28VPVgw+Mw4CN1bLc
x8B0bHpZ3wlNe+0LIt6s6rF1teIx3i/TiERHpwyOIs4wvelVlWz6ROVvXbVVA5c2bboz7OS7GzPt
sEzwbVbpXiXzwk0ZlPU+JLx65Xrvuf2ghVZ/a/nWp22Fap9NB52W21o34gbij7OCAueeZZruKlYw
F7wsrZXmZ1ITfglbhJfWDwBuBhODghtBS4tAYsSYEs6tUW5UBFckh2LLbC1u76BfDMhyZyqFumPO
mqETHnQkHcO0sggUOoSEE0H/oIfXQRPZpa7zkpkNHJNk0g9ZYQPacBN7NXR6i0w1XXeiiNYW8n7K
meMz1gOoZab/BN8sOrSVHu3tuL8Nmbut8no65iVC4qnlnG/n5bSpPVEFMH1Zv7lVyR42ZRdXt6WV
E27d33tmVB0TUrVUTKuGsv/GM0b9ZJunYp5hV7FDClKvpk1dY4H1nQ5fplW+hPR0EmWXRxjdjJ0g
+hIjX8HvG68FAlgErNRrAnBM0PcQyVsCjyo9U0fSYNKYhNd9AfCwSfRdmOY/8pwh19dEdElyCvfR
WBarsHVRHctOMdo5055VF7QkEvtYZkBxQHpAj3oeUZqke83q2DoukyHeLxqvAUlxS3phpABX+IqY
jqBc+/3kXdwEoJdKCf2uzfLRHfxgDWcx3lVhep9kVnzl/0+pI42NA/kcWBoO1cie6q3Rd/TcLSRG
y6Ssd/vhElOl4CsxK7QwsXfW++yDMiTRJFqeXioVV8cuh/7qwp692H2+zVkTbT13LLfSQfvkgc45
qCGOsb8mCCUCXmpI7cdayAoY7wg5ndESp6u/NSFy9w/CG42b2mX1NP8nXuyQt1Wupqwc97lP5Itn
Zw9oUjl3uRyHjt4eC3A7pG3i3KiYbO+UjSU9wtjHrNI7aoKJr4qYU2s1kosoKw5DxlFZaRYJk8I8
uK285l7dr9lzg3iq28pRIthTH53JDIv2J3YRGzu5NfxyJZZgXCA4vtvku2XqnJACU6ZblpwqCejN
3AI/FzRiAvhaR3vPIx6P4X4mZ2VkyHVHE+PyGokwlCr092ApqtCnMm9yCITU99IgfotxB279RqYM
sVwG+Om2TfoSO9VErptpb9pJ1scWPt0UBgj9i74/OLWBC9EM/h9jZ7IbObJm6Vdp1LoJ0EjjVEBt
fB7kcpdLoWlDxGicJ+P89P1RWai6nXWBWxshIlMRIafTjWbnP+c7jwHd8i8C0nfQsANemnsVG8aN
NbLWh7gkznIcn3PT7fclqA+AIDaAb7Yr7ciBxcwq74DT/GXWGAyYzZc7xp/1qguwoHnPlau7tVXN
rKJpl/MAhydJy1mz9wyj32fJ9BYkNaa11ssQ7PBKBMtt2WBnEgNp4zxNL9VUvcVR4HL7AX32Czs+
V8X0gXMAI4ucynNShu7O12OCbAAsro7T9y7wIb0ELmo9w+AdybaLYxkEimFm845T1pq5iTrJEeac
JeujqJ1fgngbEVL4QqVysdIRRIRUSe1gUmt7M/WguWmo+zpwx/6UrsM2f56mlCveiz8l+xfs+nRI
QnX6OTkVbzc2Qwdt7qHl8LmOtOTF5eQjOzcOHsyBj1qco24OEwnjpvagb6YFkMq09zdllNu7yfI1
LZP+QeuqOEgRRJvYM71DWlls7IR7SUVcXgxpn4CSVRx8Q3MnZKciith/xva4Ds263FqDsvZT2DYH
dx+Q91sS1jhAWbd3oay/Y3/7qWe6Rez4MOsxuFR9GjO5LAKmq8axGkGwNGNibzrPHu/CGl3ewwnL
RqU5lrcswhUKeWHN4QXb/ScnV74h68PT7Ldvvte7x8py2ltT3op42PMUb68hz6O9RMqBKcp1QbTa
d/YG10bwMEONWrcun0WoKdnOhL5MTdUYbGI9//YT+MljPSZsxTmEAYp8yCxDvLjKtR9if872sVfh
dORsytOD7s+wOdqORRkurE0y0Crauz5hUD/Xx6Z4HEtLPljkpcjYhRoTTQHfQXgwBjH+6a0A6bkq
dR7v8xCTiCGhVaY6x+rqYLI022pnBJBk8yh8jYgCd2aV7lSCKVXY7HbKAjJzgFsnyPdLD+EjJ4J2
3wVUwFYZbhGmYNW6nfxm7dpQZsXyCBwby3wAxP7NbdqRfCjPuSk9zFNzm/J2OucZbpMk1C/AhHNt
tyQ+MLpx7tgv4cZbO5p33JSLnvOajmy6TNd3j53CW+C3OYtqhJkmSNL6rQxXlQh7fGgxtb4MH7el
HlhfGquHZp8wsQbsa8z+k8g1GTX/s9fEbM2hvFWCTJduoYbPtE0ZPA6ONCavm06eQUobhwlMIY4/
F+46jqKNJ42Aj3F8nAQprCq6xOnwnrWGfq39GcGg+NEaRvwss/g9TPr8rMLo8+uJlRCfDjUoHyFq
CGWz8a1HiKFUo3mOUtYXu7EvqYUPIerafs8iZx1ZVtiyP9mqzV4j246AhW4Gm6LgspnA2KocLmNv
gcySA1amUO3BANFQNZhMEN2SKptAiJd5ok4WJjn4Um5qntWP1vJqGSmYnJplfAySoQVU4dXHeNp7
I/s9NQjok2HrUF/Ado6yNrQmof64szfdsoyctm3o+8gW0Jru+GKrj8QoN36LZ7awUyIhdA2miSzP
TpH8SWRjXsARb50cMIlE4j0moqBmCuD4vtVm9OhuZdD5x3qcVtrFYRrW+zwajKOO5/QcE/9aqzRo
d2qsvUtRlsah9rvnMhj4+UkZH/scjyoBy30fLWSkFEOrnCLAXINjQX1lRKqWYFMwSvljiXXVMF2c
Qb8LcFpSLPFdVvKrJOB8yIBZclz2Nn5pBBez/OWP7X4ca2JRuvU3kRl8RAZXy0efWbPZU3Cu5uam
c3E35zTGHMpphp3NcKs/fTmXu8FuapgUBRHusHzIc8OhvRfGmDbfor61P5XxHoY0WsS2Q9cosAvY
euqMQ+XEixmuriaLL6xmLxMfum7MOs9T3NgYhoEYk+NVSnCrVbHXPy5TnyQbUHNtP30uunof0N/N
qlmN+Dm4Z8tFrLUHfXfiBjET+zN72sjbzgxe16WEf+WZxatOn0Z3wszquD8tG/JYb3jFVcoSNXJ4
iVXqXeVwVGjoDwHPZUsM4cHRII61O3G0CSStA7h7OIiTks59P0RvJLxKjJx/JCEVMIbkjNSQ4oBU
yjjEBMFw3E5qB9TMX1f9EK6spSTXqXqihYti0c8gQvPBy/dGDCigzPDO9MrId3UDabWKy2BP2At3
EVq5l0e30pjupc1pHBzuYwfM9xXMzHzk+fw4SP9n75QBfTUieK4kCsGINuHL2+BinxbCCBbJOdkR
fTsaHcg/A8/Lc4Qd32BzdxlU+qYzjr0sl/E6R2d4Qh9Zl2MJunUec0qEXToQFXbDcrIPhNk3BgMC
CLOTwjWNZTWu870/WB8Wqvkq6dwt8fb4jQHXART9a00kiU7bReHwgSqY2KMDLB+L/OErds7RGBzJ
Xdb4HepH14W5h3SXPSVj+ezOrbdn9zUeswlqyIhXVJkp0GJMWKuoJ0cVZgZZvNJCca0tAquGFawX
Sp+DEwItGMtP2CfNwehXDZ0y7I94ViQWswhNFq6vaM4bKiAz/SRumDTynW9gCTesVTSnCm8RufqQ
0URDywAiA0l9rKETTSAWIAOeRy5hi1p5CyvFe/SgppxwRZJPA+6aIBun2R0uBaaPYDyJ5Yv5a4yR
BvN0Onx5BDA+PZtIKLs2DD8NeOZbWbJM4pKCukRJk9uguBp8k1Ek5snvosOU++a6qSGU6N68sgOx
d8MyBvW0rLEcw2bQ2igPTldv3XYxO+oODyfqFfxpXKqz213xQLZHulDpUQE3bcsYUwV9xV/cnhHO
ss9lQ7uFnOA10Y1jxaapHWO/cFtMKIE7M3EfdeemWBDrJ+IbC36CUaeR4439+jlT3Nm8Xjo77KzF
gWpz/YPym9eVl0QqsR5rd5P1/nhgS83iuhjoRExRCZD/aP3zy0Py5VRiBjrsoZMfv8wTX18U23Wm
oOZxqhEHhyHV21xte4IRO6dP38omw99cYh3Q6iFfZsnFMkC2neyPV9Iy1qlOcyyGssNkmjrINq1X
6YR7gDqpEf+xZnBUGukDyfyPOXz/aqGyqEg4lLQkOIt748vCoVLSGCqarM2XMcU0fL1CAvvP3q0v
3xKSb7sKmL9sjGDqT9Ip033Y9Q9fdqBpxOhYRsOPdmExKSt99tgHrdnukZiYlrmELI+S5KsqcniA
agn+C8E7XVB5AD1g5QKw22gQxYu1BHWw3DF4b060dj1MwIr3bHVtHECnAnM4h6zVaOELibHT7IwC
rkCd/SrlvG8r72VOst+gMnZm2UP/mBlk8JR0uVeOX0wXYatoZ0Xm65e/zZJNuZr66dOhuWdVBRt2
gRmWeeOmR2BCE6b62bfEUsFunCaTLtNQEVuucaycarCI9iw3nWlqekdkd/LHG3cuj0CARV8mHVcm
+Y5GoXM5EJISSTXv0Se4eZR67WVvfSvnVqyi1Ds4LAJHr/a6narKcAck4VuQ2dSSLzOSWZfQIovl
33p8EPFkPhp+l3749MMkBrsPx9PGCUDUS2SM1s40PPtkFtOrNYzu1oxbYzUuSJyCEt3UGFizOyXf
J9cipmLS7xxKTOKo3ChWE6UDjE84y+AfkBGOXZ1XaiucMd+Se7EBMfxl0gIxSeEpjds7jpr3v+7L
xe0woTOuDOl+kzEsysl7yYNfTvvaxNHdmLDb0FT23QvEgHIRdNDB3KufkxWZu/TPaE7Yl6nOcuF+
rIyAoJEl/SOysLHSusUdkYYtcx1pH6rCs04Gfzii/RrBkffYLVpveRhTS1GyKfoyfEg0xB1Q6Y37
k21K4NrbQNMfHRvygb6kO4rj+qu705DBd9+qPs0YFEVRnPuUDbD7POrbrMZPxtEsBV7FAWfo342i
etM/fUI/WPUw/j+YmnRT3y2HautbY+pnCVoHiO4qnPp75XcbXCAQ0wGshGhBLlgZU3QNjvfgW9pE
29CAL8+3nrxIbAc7SQ/OYlMhdzMchtlYE0BRdW0fmW50J9LJXGJck4h0WLT2HTveGYWsrvdRgaLN
kHnttjFo8Yeh5ThYC1oqnKl88tNRrC0mSRiU6bbYcGA1V4B5olkptLsoRX1X99SqUSMK0RHnSx+X
mpyZR/gUPyvkJ7YvoPICHjt0UcybyO4ZHc+BuUgaJu4gQnATfe+6G399edaKQ0W+gww2koEBoz2M
FGkTnFnNLA9R4wR7xYFIgHA42BM1eJGSUOQhrPzlrUzkqaurERXNMg4eRkCIRhifg+IAdxSkRl1z
TLKp7IkMvbXUzJ45twYO+Uhf6ANEkxIOlUFwiV3vnQ2x2oxhff0ig3XVQvUbHXFQjTL3X9ZAXMIf
TCY4YiR+vHYmxWcjNCE0Mv+nxwtOLTZbeQoq2sjnySSkIfG/5ATCw87cK5u6UQf2eV6zrR49qeBY
jG+5CPqd7U+v1fLHQqV54NW8O9p4YoeA7zILr8DWV1+Pu68vmMw7GkiTYps4/q02aXu2Il5fWOIn
X0x6gAqeawdXqgptNsRlRC+vVFvWupqzisW5EA4a/FbS25LaH657pEgZAfe84logsxay6SO/9Wia
/BWBwrzYXUHWpXs35YOeltN3f6i2KmaO1lJD8NdTevnJv341ZN/7OLTIqo0WLVPGOwPMcg3O6HV8
sots7XJhK/Aiu4mNb8V2BnkWgrBVaJpxGlz2QKdz787zisRiW9+DMpHk8NRMtrNjCCAEuaLcuwSj
GIlv9AsU9nun3JHIO1ZeouS8BMuSnJDtH8GyO3G2gc3ybBcM1XwCEAbbU8iFIKRDMm3HhpSaBHW3
xyX66jg8M1jOy9VMZylo/LRZNWD8V1izJdx+nxqFLAEKEIQ8ujIoLGTvg1MmrD84gY+SLh0ySsRZ
6hnTI3LH0dDfbdN4kfF4jZY7xbfhyiq6j4S8a3w48KW8cF21KT5m1oC110NuJyC5p2WJ5kWGk5VL
XVT9OvWJ4vbGot+OZxtF6CxNyPd2I+92QztVUoUsxe74wDvZYgQYXiBBX9nZPnFa8zc+zQLEClwD
0FzxxxEsEJyVN4EpcfLP2ZvPJwlILr0p/XQZZHVo31Kzs46znjycjfQDuqovttL8TQ0Gu6cyppOi
qMJ93CPm0d/x3HAEXKW+bq4ook0Yc2TR/iG0inwVZBWwnW7cQwhiFVyEOdsr1S59qRNKkoooemKd
CJEVkTGgS2T4DkUlWBmF0seuGcKtTiXREYqUEG/zW5mb+PpdY9/Ydbh3Up0dlIi9NYqdXFuGsYMJ
AKPO17tCaeSC3P+IMz89moJNjDdde0Yi5yb2URNw3JABvbYKEwAbk6zpvodJ8cPkLV65/jStHQHw
A/+GvQKr/QmCEDbDOrMB/ZsV8Rcz+VEILCxgSnALAM44jk66OEaEXhecrAF1UJPe30trOHLiETwl
V0lg9jsZ29aW5yOxgnQkrDV5/Yad82swyOkgul+mMA5aWOHRrpYYBzy7QDi3JOHitV7a7EXugWWv
kxePge1BT90h7UNxGpzfYUlSOpLq6HCWXDdu1q6D8k9Thtl7AIer0jmtL1H6Geyxu1IRyQ7yMMhC
AvZ2fgeVdrcJ8MwVjA7U+/AcYysmCj366z6ujrYWgF0CU+1MwmRr6VCR7RO9YQCartuACjo5wnIK
pfvKTQA1DUEo0pXF+QhjgEo2zjKZD4P8Gg+ZOljt3eyx7hgwvifIEHoprVxUZ1N9t5c4L+OUn4S5
g43Jb4YEyHyspn3W+iy4IUU2qdlQMqoGPuD5EY7AwIRIhFzOQaE0PTdNoo5YsCaiUlI/dkl/U57e
VeSH8kD8Qr53bn7n5RylLu0s2k2vKlInMXJdRxSUkdpVcMB2ctfdAPjcs0AlB7+snDVH6fe8gypr
/gobmMjKHqGPB2TNGH5VMHSKfYgwxGrFLsWkAGamHxsOVeCBb5un8zgSFJM03hlNo9cwaGGgSGxj
FnA5StaKjeNjmSQg1x4s2/vdX3CeUs5HqB5U7SQlaFo3YVg+b8atyQBtFyby02pebM9ujt2ARyGm
b2yZX+H8wf2xNbUL9w+Rq7SxuaTFE+YKf+elGV0ytJDFuY+d1uBxlG4RHzlBOcACmMpwjO8YOraU
fFjmwLirkOfRXE5rOHSo4km8TJ1ds3z3RneTu11AknXl1T0DkjiJOHVYNpoFi4YBTITQaP4jGBqC
qcsP5hAfXNWkGy0w5nQP1vU6jqxfPnowdHXDGYutitKXrKrFeSqdtV0bnO8Iq61qg00yjzkPywx2
sIaix2idJE23IcV+55THQxpEzLqK5y1E0k0Wd9NRZviAGi22DoCbKKfIIJ7zJ+odk40d9z+8xnme
WzByyPybqkqO4dX1bbr7bMZG6I7rLOiOZhPtfMJgp1JbW3cyUxLRRYBTxtol4cD00CE/J229G1Ou
nRLD3WhUQHVcsq9Sh1pOwPt1WO0TaQhwxPCYRpNWTstK4fNZ00pp8ZPRr712K8+GR58jxFjjzUyS
fDPeOeE0JwdwKB6TeCf9+bOOofiQNm8RvcZ3t7yogCifV8kf2UDsxR88c9fFfM7zsv/A/JMvM7pw
lWTBmUGwsSeEvvX5I7vMH+9NMXbs9EZsSMvfMrim3NVlhdSGy6ktqQekAyqxjerJzYtbkrXBifmN
u6FR9U8JBOJgF+7F9glscoQAOJnqjW1FPHjBK1DzGl1Jda7CsJWHDntenvUPqvDFypb0WBXcrVVd
DaDYSwbNzC02ioBwg5CyqoZ8qwz10VhPBXzmb1W+n7mj5MDWerAssYuTslprj2eRk5tovd5g0gwd
POAbszfMxMdtPlurvnDfi2zq1r7uMLqMzyqnV9V0CBCPOma6my93g/aYwmc044U47YZ23pomaHZX
vPmMj3JJbj7EJuqLEk5N8o0OOHLlO5djOvcHJjJbP9E/EZ0ZU10GjIerOqMFLrDE2XfDtygoww0Z
gF2ixvjsStIyuRMdFhW/1SS8806RnmP/PxvNZhZMjPJpANgtSfPjy7rVFeh5b9Q7IbhtfNmEmPtq
Y1fn8SlvhuiRJowP0nCd/EmqhoFAVXyrWrgOZh98xsQNdxEMxTzKJmxw5NVYNs/ZzNGi6Fs+E7jB
+lXL4e2k7GRb1ed2KSqyeC4HjMLYz8evoeMmbDwsRXAKndN02tNQLJ/EkT00ax95gHgJCNVm17fn
yv3me157NJedu7ekW76+/PVbj4OTO0l348TgHI2pThE5oO5+NXHbi/b09UX816/+t/8tB6Syajl4
zkFGaZGPcAtSqDj1iblQGzlnTm4ndn7jP5scCdMynHAbtcSbybUlSUu4bflV9F+/+vrtP/tvX9/y
33/in32LJHS2Qe3pNlqKlJWmplFQN9E1Aju2VWKmVKRsceZN4bwxNPJMNCfbImq+yUH+Up1qrnES
D9vQTSm8oFW38CPUEdcsduBdMAvwXRKCEVn6eMVeCQ9RdfKtHkFwYuzataiFQ588cOftWWLpsgSI
uO6CaLwOBiyTKJebwqEVA0cpk0pkDodR7Up28Vnx/6lVpEFRtOtuPiC2hZ+fIhXBRWZ/WDPHdWmy
zHWauBCk570DvW1lie8qoXxjCrXa0AbtGCJhlbQJVnImRHwnHB5aHz5LxzGE0THan9RJ3yYVenuP
I/wyxDa64YdVuTSpxO1GtAxBXQ9daBomLs+1CRIbzZC65r7HUWS51JUuO0qo669d/sfUAQxE8QH+
7DfiakSkMvym6iX3YE97W7cEzdKUDrARX83cWHLd+Pu06uQuHDjZD2P5a54S2G0Tj0FTv+KHRpee
WQomP3tku7AF7ZaS7qDpKxbdPQ9pPTfuuIjsDS/q29C4e07p4E+E2YCGiH9qBIoVPWfjbgz6/ECI
/KUwKMRqh2HaiC5u15yXr/acf/jd8DzmbBxMJ2bHkxN7LSuJ2AI5l9pFex/Ps3OiGcQ59UsKWZb+
S2aIjj0vJ7oxH0mdpN648cbJ341kejNwPac68Lp12LkDg+FftcMHt11QvKW2jVM5JghZTwoFtoZs
dy6hJzKrXrFods0240GzifM0WoFhLBZCw9M8dc9R4GvG6wT5mx6uG2U+3snNwQr4U15vtVPIY8K4
JY2RU4cg26esgvx0aOm0j+2Dho7QILCOdHhl5ykooVTnw0EuZ7y+pFK56qGGqwavRACaAFxxbp2l
N79xUATSQR5P0Qt6oKL7VFUpnu9RHL5ev2iutkv6zxzNR6blFONNLifv/M1L05szktod8L1FrzLE
BeSblYktAWEZUfreJex3LOSnr7+IVkTb5TUZA5Jz5Bq7Fs0ASLB7wLcxQTNGiw08AT138kNgw9Y+
H4PhUEd9f+jJqhNtnhhagenOy3MKldLOHpMiOZV5x7/bo+lTDK48dw3N4+TVBjcO+2E8rpz+02DH
Ju+jiTgLSk/jTqXUBfxkDtd3XCXxxXfEWzs64GOD8LuuxIOduPs28z7mInsfmx5P41geqH7+sMMo
ZIqddM+9Ha3M2Yyo8ACY4DAyk7bE8pzVSEXhu6g7c+fZwI7qePpIq2pi4o8e1ZO12oZJyBtrRuZz
6RDkzr19E6XJHcyRvzIBsyZDRlJbxveCGPiqm7NXzweOaGTs1zk+0DNMyG1yfPrtF9qJEUY7o5QR
4Fs3OI5FbFKrduqqQT6UY2Acurhh4tgESEK1g8c7uopOcJz57lpZ+lDM3wv8RVPt3UekHMXEscLU
sdNT9JQtp6iB1nOUKXwLPpMH5o4J3Mfhxc/QObIu8dZ6mTqUVfAjIX2Am6srtsLPIBgvt1/rINUH
msuuKLFfM14+RxaNCypF3TLZka6BtcT7sNCPkXKZW1XJW1JVNiyCpNiQpqgpMWh5iuWTmln9LNY/
4ebrROEDhrE/nKZxmxFeWc9TEHCkceijwjPDbGf46CnPOdndOPz1JagoKhwsdAM6ti+F6Pu9YBLh
25iCsvpYZKS/SdWBxDKrp17AkF06CL6+dMR50UwME99g+Dqmo7sidwBv34m7rd2PVFmTrPIDrM51
N5/ZMtFBwBMkbTfSUi9FzkaR5AQcSATrk9uZyE7Ll5lC5I3TMln8iuoJK36dK7431wQXE9fqzlax
HHqaX1ac0qW5/BkcABysljXNpT878Im/DbF8lcTlYm6NA31FzDz75uLjb/qoKiZ4FUazIhxhAKLN
lz6UKZOCcuxS0bH3K/MKyTDaePBOQe0Yr/gV8zmMb5iM2/VoyIHTRSp3g6YaK3Sp76MAk4Jev+g2
yHHReTb+TOj1nCTk2dWxew1aRtrFLJrftJ/T3+704LQHQE+W/T50DIpNuJ8rZ/DjayrrB/Rz2FwL
t3CU3SXnp2+CoryHnvNj1PazktH8YZTlOfCG8Xdux5fgNjhz9NHkzLRnAzwIdgDcySCwN0ztXq1o
WiezM+z6BAV/IjIwRwxRA6uK360u+IA91Pya9JsHdiorzJtqqc+O9eBsZGH/CT3MqEmpjFXS+Mk2
7C3OhgWGLZssykZECuxAHP5OZ+hEamlVgem0UuVcXCYPi2gj5uDZWyzgQdn4n2I4tpW+taZzd2sg
Nk6j0qP2/Z2f19/QqBhcZUtaIJ93OOO+O8lNjnH0UjQCGT12aBv0Oz4ZrGxenXy3skadnRA3Zdva
MGM1EoKjMJWkZflc4pGrQlPjL9YUYLr1fcA2KgO7/+m3PqRm5r0vVVSdEna29IDd3alrH0Ixb+tJ
kBeMRYhXAGMXMFxFAkYQiuJ9dCOvOiofDdaaflM6/1AsSKp0kH+sOjr6DZZvDu/uLh64UEFnO9eO
JO6RpbDbSxwWz2S+OOeSafrtqIOYjeows8Pd0EXcnVXkkJjpxK1xsGqPDWNFz3UfrK7cT+VQX/rI
nm+d20X71IIPNiK3XXzXfGqxS2Nf1sVF1SnT1QQxtW9MnzW9Ex/ammPQMZZ38pYxxdeXnDPhKX0b
ora6FGlSXfImdrd+hbr6128R8vdQvKiXYK8yyXm4+W30Hk1kvHKfCU9XWffED52NHfT4qWog55lR
LzGRwFhQHevQcDzWuxG299iCtgnd9th6+t3z5vRBOcs1r1BuZCrkAwz8b05nBVt0gGLbRn+E5y6P
yOmVcVDPGRW4ENDBDgN8s+5Cxk1sWauVrlJMrhmdfJETPvb4ASBlExSd0pv/PLgpFiIHrL9fdhgk
AjgrTSG2esCOSXiDLbEl0ZIqQjMli/HByAt/6wOY/SsS+nP8d/W7vCGrUcv2fwjv3cq4aPV//JtD
t+I/gh2Z0EiHPKNFbNDyCA/CjPxHsGMXhVlctQvAxdKEeGZtXfrWPMVWGzxxuXZEpmO4fTbAF3Sb
rSsnzVOcyT+tIB5bA4WZPZviDEdL8tprnw0uHXqnOI3pWhmcPF/7bk5yubL/MwpFd5q1Lhsv26iK
GrExTk4TW3gcA5n70maBJvvRibOd4sMvhWUiJBBpR0+KDpRaf2SFPVx0UCdHq7OvVTiry39/8fNC
HzLVvShRM9eS7JN6HHDm5Ln0K3ZUUVSmuHdeEP6Lyygpv/z7ZfRtsVxNz7e5lH/jY9LyIpgxQE9q
B+9X1Svx0TVJv07txF8RunFROPr4fX6vJo3nx8vsDTK+fcft6GAHycpjJzP7zvxVX0FH7fAsEGCR
OfEXxO5nPriEcTrvxZw0BXEB8DAkuduYJu6Ga6+3pev+pM5Cg3WIoyeLGCKWi+gza+DE9NQNv4p4
LDaypJCSJdqjv1mHj57ojv441WcsobfWIqcnNZ3nzJ3Zn2nx6kvm5/8Qq/0nt5tN7Pbv1wlWNltA
yyUm63lLfvXn93uMGv0f/yb+L6yfkAi9VIfOonGlyPutG+p9BbEYid+a2ErC/MFx1J57EysrJZkJ
98B+sLv4iDz8GBaB+RAxofAmuApfAbbEaeuDo5xgSxWzWv9yqlxd/W09ztO3fIwfRzMfQVLiZTTC
/MNIkv7ZGCQd5f/iHuDf/acvzuUFutiFhVz+/z++uIkUa9HP2N5pHD9iL0U+3Q2lHX9S1ksEUpU1
HyXeCKZXcmfXmtC8ERs/4Bvx7CrZBFOqfpCgR8GOMWxlfgq2c+rMb03gDBuvyZG6ua1Wei4xrzCx
vSrby/7hV6kTPdKb0T5OHdwiw0rbnz1LpGtOxZvbhs3O32P+GU+kcsXjXGo4z8r0PkI4WrlkGleM
5qvZJh+x1cff2N10+4wEzEF6nXXPMIKv8CJhxBwmF4u68Ybq4z4TlYC7kMSUEnDmoI06EOuauclh
ytyja28EsbSzFd0an+a+Wgn/mYceFR9MCIY6ix4qioweOcyyIFBdv26SMTzrunjrtdv/7hl2hbL9
LLtpwuOOFdRy7m2Pj4GaonolnFY+V2j5+yofi5PPgXpjCIKkeY2dz+t6970ey6toZuc3S+sB9TM8
u+5IoDYOw1Xb+eolCWUG9MZxH4nZkbgwcngdCPgpIcMk2vHcbnazQURl2Om50h/E3jCO6yOfXfK7
Q9A+WAkpF9nzOBoaSHgefM4AkwJeLHlKIic/tHYz7Z0WK2afWB7OqpZmE7YZFC6Kj3/xCfufK5Hj
ecLxFqSQ6Ym/f8IY8MSGTSb3ECCYHkysyzbS5sXr37LeutG2DmtHNe4WMdE6Z4L26Sim3AkLPSd+
n84RmmHmU2xaP3IHnRdQmNp7JnNyc6IOhHYOKg+Id1iapEC3uOrn1l95rYYpOaFBUuC1tUvgpm0Y
fWBsw7SBOrqW+XwxW74z8wfnAHzpX3z4Frbx3xYW3BSk3lxberYwxd8WFsOpjbmzvOgAXuYap5NF
D0IMlygz4kcF9zQvaMksVPFSWgE2+Z6qA040V2PoOGA2urtpScYStg7TH0ddjDBzF7HSxiZDZrnq
cX+rvMc5uBghl1oF0n8r2yABqJLkGx+iagN7y0wb/eja0ckqnQNydLrLRoh8MPScDWxLZ1c7e838
azMzzvoXl0C4//Oth0ggncAl74H6SCPy/7f+eL1ZkQiuo0NvVf11ypR/6UAMitx6d722fZqVG51q
Ff+EOkl+Na7ehpiudG+pLPZMBLk8qD6yFGSSeM6mFBdzbtkvuaeWXs0M3Tcez07d9G9B/BFiU7j1
Q/+jHk3zYNUU2SeGNF/txNvgSOGTpoHLj1N5be0Q+z5j7KjMXgsGb9c5bt4M1cbA3dIEME/TPQce
veEgUjsUoU2dgxTquvKWVVT1NYyQH0Y1ffqm7rGZ5jtdQa2LHfdVT4lzbQF4Xlkv3zMZmxvXoqq+
h/Rxxz9kP8AaeLQAInI0zImHDMalI1UEOU46YFrn6qoZ1Wzaybp8eUtYs48648jfm4BHname75Uj
7j4lqueubu623foPI4aoe85hEIYvjmP8knRaUeFQAq4XbRGDT3FIU8z+vpuDc2vWjAoGM2bJowJE
dCn9pC1s9lbJ7WBgSCWmqCr6piqv8h8sR9OzhBdvO2It26F//PKmwNySpk5XRMCK9dBl4S3LxRXF
IdsnfdZsKx8nsS5Us405vsO+zevN6NO0MQoj3f0/zs5rSW5ky7L/0u+4A4c7lNlMP0QAITIiNWW+
wMhMElo69NfPQt7qvkV2T9XMmJXRiiKZwQjAccTea6dWXj2Y6XBCcop8L6UvJzSBWacg2/Y97wlN
twaHz9DcTrwoFK2wjgpOf1d8orii/iuY6BkJxmf93RZA97p1Qcq1jl9NV2oyoxCh4Iyk9hswODYV
JAXgghsQNfnZFtYDus1bgWTrfioZjsI/PnoIc3YtbddDVwx+6Li2DOeFgUu6iJzVeoUW0EVtsaTm
B3zm9WORzCn4Sr4yiRxq9dX7hFJsB1EmC1GYOtdyWFjwNJHx8a8PVGH9xj6nqHNcy1WO8JRQRJH/
ViInAlDpMrrGkW0qeGl2R/cFwbV7FN0WUUfqbaSJfqqaLAoWoYuwcVV1MyXiZazcGHoCgzsjgytR
+0CBtGElZ7Ba8x5M5gcb5PmpA1lwGN1JnAhM/9yDM5ybpby1a1vf94uBdK8d9U4mRX/nR8bet72a
Bu9hTvLkYVv3PVKQ4q0QlhumFarfiOW8Z1rZ0Rv7HtbzyNfFjFOA3RY8hWR+69SIH0Z7GgJoP/at
rUrW5rUQbIbrb6zNmVR79e2QJA3qfq7H1BbunVX07V46qT4kUwdHUWDdLpf+czlZ7sOUp6HEbbb5
9A7gxUrYdq/uos+pj/pWGA+W9Z3xxXgyarbldXZYKSLuXCpcniTTdAIegv7EITCEAzmcRr5LbDng
fUvSk6QTP/RVhuSGFozVHBlVxWwH7z54271Ih7FeETXrqWRiQ2rH5H/CRnubLy10CvVYrUAXKLzl
TWL72AF7tz1hn09wJvgyVNiwd2tbyfucnMMVYdIVHeZeGA3FBkavjnhjZB61e3Gq2DwgY99EbZsS
AnE1ehf7Q4bzhsmXVwYj5PN9Rjjoyffy9i5FD7KCrQhVjBkPlSRJDuWrnyMM8DMIzl1kXSwXr+L7
Ffs/fmnq9DvM5rVuWFwSFvTbT//9Q13y3//cvuY//8yvX/Hvt+lrV+v6Z/+Xf+r4o94YOfr3P/TL
38x3/+PVbWidX34SvmN2Hocf3fL0QyMF/zOE5//2N/+A9XxYGmA9397KlL5HkzTz2v/bH791fvtf
/yZ57tF3/Z8xP59T/YrDJ63+m6/6g/DjOf8gP8GyhW3ZnuuhpPxPwo9v/QOKD7RGX0kPpeIG//mP
5AX3HyZtH4Usv2O5ruRl/EH4UdY/GNu4AFUcZZke/rb/F8KPkL+UOcrzfbIfpGlR6KDNcuRvj3gs
8wk21sS5vFd3rIzme9U/2aLCQIL75ABuLLnDs4KEeJXnKm62MJklTF2sMoOabv/09v037Zz4teP5
58txLcf0lbBNzxH8u//c8eS8KbjeSvuCocsLWMk1h8yi5XCbe7P65jdRs7e9EuvB2NxPPiFhf/39
fz2Z//j2itqEjYn0vPeG7E8NF8f+qn2O7gsm7a+1Nw7P9hydnF5XlwnXfDg5PTdl01+1PabHv/7e
79XUPwcq28X2/s25VLhWbNsxXfP3SIwumZIYU7q6sL+xv7FHRSi4cJtDyA2yLrU+ENxyYcqOgh1X
VZa9Ac1BfpeVlwwCL7s4fMdxYhIQMen19Dcv7tdS8J8vjgKR680zBduY366Tqc3BsRqdgvGqO1RN
7Ve7aJsDGZziUGrYlINOsP6oODBsIviMtDwWA3ijfLSeC+wnZx5aLazZw1+/rvdn5W9vGncDJj2b
x6njbffrny8YqIPwQ+ZUXRJkose4jWaqxcYMqsj/aeZ5/BHB0FFCeAiyFWOmLkb7pmhL+6buaDXy
k86UdZIa4E8BBHtZkBMYZkQn6cbZvUnCrj8Gah66Z1mzayZNDdV8nIrL5MxvDjusx6H+Smy2e/Jz
VDfr0gYJ8OoXp/c/Gpmlnoy8eeAmyyFYVQGdsHgkyeCA7paQdX95xLf3U1eqe4xqfCSIkuQ5ydyv
hmN9NjeI0F+/W+LXacn2KSIQ9hwH4ZbruP9lOJeJJBqQGqhLWtebKFWrwLGRamH1ZlkGp2i3zoQz
EI0G0aXqXustM+D/94UIwckjuNO5oX6bbLDTNotkWdTF9lAIDGZyW5pwulaUjazOnxdEsjZP2Au8
gjN40TNxfPOHv34zfm3w/vleMCpQtu2agNTs3xq8tG86w2FYehmj5KdhMZOAXj1v0ibff0AXTL3Q
/N3x9l9PW7hedAzb5yB4JPx2tZosJdzeKtRFmuQVdDXmSm0917H3UEelcUAMuF5KO4NthpwjX91b
E3Vp1wr5qevsv7l1rO2W/fXWccDHucKixeWD8H4rQ71IClIbhbzUeX9lqC+v0u9v2e3tTSRNT6a3
vNpY9wOMaimBZRPRWGN1K+Z6PZMikQYyafB79slmpLXtm8lbwEaBE8HbYJ/rBcgTLqAIMAcuv04v
hxxdkS2ITON2G/5mDvhbTf3PT1PxHAPXi5LK+n3sHGEJjFB1qAtDPRDgaxPdk48nN1w8Yv3MxAzu
e9fG0Ma+tQt1LjR+2GhxXiS+sSfNzH2iN9w1A5s2b3XlNnrJkTslIwpAeRlxld8VGg0IIpfAKUUZ
mqBUQmOJsZjjv9n1DrsIm/jJY4be62+OX/e/+ahYIvvK3y5X1/ztdskL35nLvOG6ye0W4BVyUdPk
5U7VUF/a8csQz3X417fH+4Dj98vDcUBcCYKhpPX7/TE3aLQ6t5WX9L3IhRv0wOr0QTRtjqCRSb5f
eskxKaR3ef/Bg6jkvOVtVf7NQ1n8+uzhQa8U6FWMklQo7n+9U/E21AXuUgNuT04sgDCxEqODcAF5
IQZM56NFovqh8TxyiWIDrpdGcBcj/Dt5lh6OTPOYSnbxM1vf7m8e2vavJ+r22pjPbxlWDre0klsN
9+fnT8Mq0HKES1Cejx/EQNbHCBGS6lhChoj9JRgHoAC8tlvTtfRFkEDYkKR6vz1X4olkdwsiwI5y
3rhMdopQek5PrEzlQfjtJY+wbnSbF4iMUfc0A/bxqcoQhdHizxZfmC222llLdJnFYF+Rg8ckP8FZ
8FJYeFDzSHJU0aMZe7sm9nxAvgwuuoakc8yzkKtNE3AXU7082fzv+Yx/tC5DyqM8WNbUgmFWhwJd
/knFjflAVyVYxf71dcZHuJ20/7rSbEpfl2c4N65v0pBS/f36HpKIAT+jlOomjkWx17bz0VyT9VCn
aEWIAbiXGwq9QFWBA6tHtMJrZ8WJLZoKjV7rXSj2rhtrTVSuqYf/FxnAclNK3H+YtnYF85ibtJ+y
A2XXS6nK85rlE9eOArPSzJhRM0fe+C48POYqxyLHt6yIlg/EjA1z2yVWns6OkzMRPstKoIxHiw8b
Qx/acIzQPqk166qwVQty2NmxVsQEqM1b9P7zOWM9ozdBt9nhLNs3LjvgaO32ciUw1ihGGtRG1sjD
UZ15KaylaT5FA/1sNa0HdqnlBboDRhPL6Q+UB1xCE+CddpYIHximAwN/dHppHKFI+7u0+lw0+Xhe
k+qp9uwnzjVEkZRFXTG+IJsKkazpZ3gipDUlRI76rTGzvyE8NbdBq5ilemATWiNo6+tgbNckdMxm
OlP/H9ss0Rgj2bQ2NtkRuSxQ3kDFIlEFPQT285RPz5pvSPuO9u1akHUEwiEwS4gcqN33WWt9IcNk
u4AHPIbjjOKmM56L4gU9zxdpn4pVpKEY+iJguzVfQWnUe0Zdn7EXxmdG6t+GHvF7o2l2VwMDAkTl
+qjdogpm1zR2fTnKG3KztjSzJlVne7xLB+mw3suO61yPlwp9OEpb9xkmHfZvZ0Pi9T228Mi5WVjv
ZMArrlAwTpZtJmezdH5Uswe5EqFnWLgaW0KdohWGFRS4zNsexhHPpTmkJ1no5AV2z73yqlMZpeMT
W5NAT5JCvh+enHzMMRtXDnnyEeFcWQFqs04+qLx1HxMR4ZiNKTzKsjviI+yZAbK9SKviJ7KL+MkY
o5+RaUXhZOdlOCaFf4TWRDFro4SvEOc3kORrzpp0qJK7PiI40lo978vUdBuk6bbNJvcCVrQ5UqgS
LRG5UyiKUQbxsnQfBhRAftccByPaSzSLT16ZHO06me8M7AUSDkq4NmYTOFzWZ4GPZ9+7hmB7zhx0
rUKzsNcT1xra4G6gnhF8NpJpxQ6/IAyZvJgCdrrNP6/wrjLDHl8Udgn+T7TRT5+k4Eu91m9MlFaE
bGv9QITYHSeZFWCPxLmGT29va3OBrw+KSevvBrfGx0h+zarpyc9TC5oIlYWkkz42icouE1l4xlAc
pnZpn7WMj7GaogdShoKMbSfHRylIlf2RIqVB4tx1B03+xt7Px/oMdeyiC/JnFfTGDfgXE2XRflNy
ho4Cze2k4+JbpBlWZY5/NyrVPvAPrNlWde45sqJvyo+WS1/WPw01TrfxAJEOBKmHUNYhI6UDnxPb
XGFVeqPxlqKdYxVL8l88DO5bfyVxM8Hegvun8Si8WUx097rKg9UpAQSZFUr29qc/CeO2sPU3zfzs
XrnjrhzW77DPYfAOiw7tXNbHPO2+pOYZl5D7GUPrC/qOQNd2cu+wTd/FUayCxfPzW/Lg99OEwsHW
fMO5xr7RtxyBzK94KgwoNBWbJhOnf2iWqJ19lGt7/F/ZtW6NTx3t8NGe3HYPIpicL79+xd1B1ocm
MlCI5qHJcR2NXk6wQhrdWgmhiNZaPW+y4QNrTwz360tiLxL4E6gEYWCKb0cVRO34wpIkG0p99CtE
5PRGXYzqE0zCIBwgMOIERfI282cU4v6hijzr4PTjgImmy7jtkDy90ymM2hIfiACJezdmFQDPyC7K
j53K5qsh8uhTq9SP2ASy4YEEoY3mlYzVIB+LpvF25Tb3G/y8vtsQpQHmjI2La7INkEZ1Sl0kKV2x
7kTUfiYtDgIKa7BTNwzztRz9D8nSptxv41HOQt0bicP8vQSFM7OklWiEP8TX2RyprhU6RTeGOVf7
+csYw04U+NOEoqdmeX3WujXOYy8e2gjzWauGa4Qb7NZYb7vRmw7vzVlFZ3yw+p63rOtAEwovrYE2
VO5+staCevEZGUaN3gICks/p9JizqqyrORSlZ1+WfH2o+o63zKrGQ1mmXWhm4Gccz73EJXl+be6/
RFCOn8rVB1XbZ+TsTGDEKmuWn0clxkNDXPdscDjJNecJYekf6/IuWEbPVUUstgy6od1kt0NY1Uf8
soBDQCYiM8hnLhLrMTb0sndYFhDFhaSRcYMdug45E7BoP7jGXFylvi5jZ5x80nECxDDxchnWhm6x
YQbuIbFVDXYn0KLXxjI++lgGAaqRv4iED8wjnuFA5YC8ks41QqSLOXQED4EbA9mZnQMy3RxCJ34m
C43tl1YvX8Yi7cCBqeFo+e1Xo6XMjpEG7Ql1wOkd52VAdDOZM2vEcGxrLjw16bclQ83fu6l5YWqL
gHNmatSq6icknyTwDFte0TU+9k5b3nuMsQnIauZDOXjXcey7R+pwaLm+H4d+ZB+KpksuBWiGIBYd
on5I1S5LaSOhf5FLaJurhGeZMFauJFmOnjTDKcmd87TMdJcS+SEWYkTOwsRBg013Rq1h9fN8HbsM
NhgWHz7HgTy7GcurVsxvROt119Yzbux5bi6AdFARreN0wzlswkI4wG5z6cfHCTxbHxTCd+67GqfR
WGNsy1TSnxdHmBdrLO78oXtrLbm8pPFWgFnoXBfjdtYKEVQ23OkIZleEKiXsRv8ug0V7yNamPs4V
XluPPXpgMUvl4W9lh36uAKUhdKFOzjFC1iX8lrKeQk9bHYQEVl2ZJG4DeSDqrYKBw65tDTt8/45Z
mwzHxmHflNtfC0xE14w4FDY/vUJgntlX8s3THU9e66qKG1n2at9Xi31OEgRSyLzz25kn+FE6oHHm
zoO0WQBuZhoF3cT/ASDuZ1KPE7I+xXrGeUPDSrurTCSXGWp73/wOfTqlJSmTgAz3B7Sb9sHvsKkn
ln9oOtmFUbdeTTneVWzGg1j1Xy3DP2NNNRau71I0P5QtXtjOc3exwdhF2J/EnPLsUEzqpyRUY/ll
qOGaQPTimK7BTgoHQe88HyIPR1FbJS+Oc9mGYXMCbNit54Uu5edcwVwerfI7Ua2fbZ2fXdM5OCkU
rgZUKEWcfVinFA3Jqp9nbtlQuxUrs+aFuLscYQ3iwaXEot7O/bnw4+jQEfPdEUSN2FjcgjeNsBXr
W8OC1YHBohoEnogP48SipJvlp83Ctwg+tqkHCTHnqAiT+ezZmBAKG8dkPNbfzHL5NuB4GBbxSmAn
lCg2ScXziCURjHqm9qpRp7L7ZAyptS9z34dVqAFV2W9WgaZbkyAXZqJFYVvku5kPo1ZkKELPb3d1
Y2Gjn+27ZUQKOrU9u8EixxfX6AYDlcHH0q5Qb2uFrbt6RD20T91lwAjfhyzEREDmX26Snkc84i7p
0jxEr3xtZ28OUFEBWJniLiBph+rXCWoQAkFhKnxcaX2HEbsnsvzgWshiu7l/HhosEEVrjefA99mg
m6wQWXJpeAtTgUR1LA7jOp+Es1D3jshdnZhIGZuY17TXp8XKechGyHNGOye5A7xEGcMMQluidiJD
jgjbFdeMMEKavrrH/wJ9BosfEE/cqPdtfmfI/OuQmy9lUnoHBW9y3w/GXtroGdzuOERwWkefA51O
LaBG9A4+aMmA9eZuaNMfdLwnBfEt7BRmy7FTn3gwPFCLvuFZrTmTeHKT2BlQd06BMtxHz4D2bGkk
S53dHqq1fSoq0tHBobRh7iUHKvTd3OfnsibVZ5g55ZA2IyX9sdi0GBIYCsfm5y6aQGYxSrJlSVkZ
G2JXxxYuJE6LssQ8iXLjAhRE70uZP9NVsDXXdeg2FRDTqDpWsQSAUTsnf2g25otEWK9jHxWpWx6j
/M1L0PjMNs8MiTIRacBxmd0PaQS5Mie6bo+UP4SeIgMnjq+mkO1BIiDfjd6IV7KMHktwcKk3QWvL
C84PzG7K8F/Z9KU75KoY1BkbEeuyczzjdYPayNF+lpOCFz5F+F7km2wwPMDP2rUl6sYOe2KwWY58
XATCATxb11SONY8f9BH4UYfvsnpY2WvvJt+wg5xwHANA0QqqJrdlHZQsaJEKfS8MEKM9ArpTbr3l
46Qxhow2PgzY7UYbiqXSV4Kld1Mvvo6WDbquL64xhSA+/fFUuT75yXbjctLOyedtmazvkMaO8EV9
jGxKP1oAqsF1bPEOkKUBZdQXbUJaHAl6ADHkrOMhJ43pjowFunX3sRoTHTiQu3emKG5s56vdCXNn
K9wzy4ifz8LWmBHkSYgQuBSX95hL1+P9z++sMS6RXdOOK4ZVoSrVjUc3wVHxPX3BAaF3MC2/FSmu
RAOZTulZPF0GuCn2Hnkrdb5dZkRSKniTrUvHFT+hT+pIH5DQZxYyuXTswPPh6VoKGzCO+1kKGE3t
cYw7cdoc+a4zfuvsL4XVvxl+TnkCNYhHmDUvQxBrddEyxQ6fIpupV3FNuwHVOMKlwBjyG4Xxxi3j
T5XZ/BQxx/MwExQ++bTDtrfvMUiR3kfOU5mgDXAe2FY3iH5hezKePiFBjfeW6QPHb4JCV+OVEegE
P6QWIb3FGlo+UyK5tl1oe1XN0yfPQmHijRYiZ/G+YArx1QsTT/OGnEVs9JYXBck4FCcRey4jLMjH
xJMbWMWifN+27nJwp9Q6znX7A52BuHUcdAMcwzcipdAOfPdgjh0kGbNGXK3m7I6/J7t7/79irjKk
7OWDXJL1/K9fR3SNPnxdBKdOndJRmd5OWNwX7z99/4GmpDF5m3niNlJn+4FoOnggY38ciza5a6TM
TarZcYHBgeB++7Xu/deWPnkD1ZKc6rmDEg7bJDaBa7htEt+9/0BA6R//50hy55AEbeBe76OcnC+o
Z8fT4MwMnQo9+eckNq7sfPipO7XXvMH1Y+Ot8gV7gja1cJUUzUtxIHQNpbZRIA1LRyyj2eLtKnf0
9gOwjL1Vmi90xTjKxDodfOiWucNHKOIwLZs3XWUQfvOMHNFofPSmk1/R/7i1whkD6QoZJDVMYmLf
1jy/Tce94Z80Vvow2Aj3GW3fdvgeYOjhkGd5yMGJG9F1jDcYJtdVJXqXx8zHbB4zuT08Z1l8PxSJ
eVS4b/lr7xnKAANe6eZ84Re7HVtatD4ZaYPduHzQBAkuqXYC2pOfw0q6kqPQ9qttxpigtTHaJChh
F5HTwqJt13Rud9ZqTZ48MV413LyHAegpauJbAAnHOWUiKhFkXreTcloWyZM7pqytMnmBQWAzENHm
2c7pBusVLSBDD+8yN5gWPN2aaK8reLfpetfEBUkkbjcfIaE2BPWmxpM9iJOyJgtGPMRIbc42+dPr
2yLr5Jntxa1r9ckVwZBx6hrir+Yl8u8dCEloDR/N3PVPeD8UxhvhPgvMU0EUC7AKSU5Gi13eaxtQ
QxEXE6HDS3nK88XnxO7no1th8loabtGkjW/MVGTEf2R7wwBRq3uCX0edQKezxvrBZFSGfIbYhtKH
Qge13bWmz/B14oD1hn3VVfXstO29nWb5tYalplvXuQUli2He4iVXseUdeW5OR6d9qEztEjDniUc7
gdtOjv0UpTFy1/LOa0TyvW4OvTczdHMI7GhaG0Wr1Y8hd8vX2iiKU1n06+6dUP+uga7dj5nbc7xP
83rL9ypyUR+6medAjJvsucjOBWCFC+q7167t9D34Nug/aHEYBfJ0tez5xR/dT6tlkYjTifLCPz1B
TmsB3SW+sJ4kGWFpfuw83MosPJzLXFUHl+Y2V358Oy0P1ipd7kYA4qwkN+kryt5Ug+xnIziBb+yW
p4byvico61LH9WcLiMk7OfoEOcO4oml79pf84Bt1e8AsoPd9X5TXumR+Eo80PrMff+6a6JvhWSlQ
UO9pAQh0RXDxURS2uIgZXbHDjO6mgUhqLkn9JKQ8024D7IU2s39vPq26jcHpOrdMiuKHQYPjLauI
g1rGsDqZH9425mjeFioTt9osarJUlX/QGoAGUAN+8f3PYIYZb73nilR2SF76MdnU+RuY7pCyA2Zg
RQlAjiuVCSyax9FX/ZlHYbGr56JugwHZFWD9WYalI9EAlaoayVxkEyCHielIhdLWg/hsdDcqY4yx
1sipq3oJW9qf0zQ5H/xI+qe2K5fArbudw1gU7Xzr7zzMXXteJXstazLPTUb7jH11T46nu13HTzje
v5jzl2yC7yALEDaKVGJtmqBlsVZxG8wGNEsCLWRF6cmBZdKHhl23kyl3I6+WQ84qgziLqOzQrE2Z
k8NVSN5SWfNQXQJLbf4e0E9taqMAAzc0dPfQJBw8xQvc2DZPXsnHFeFqGAsOGQesleOfPPRwN8oa
nLMZf2rGYbl5/4H76GlV2asyPE5Sb245dhm1rB4z+mFiZv/+f/W8zfCbzMIxx9wATE5cX0ya/sCX
BNpgTyKFWCNzRHXMSDNZsSCOhbGnGrtB15ZexnFbytH3Tz3YBixjI0gGewLb6cRQwPDNY0ZomJ94
8uoAu7mYHM1mbMwHPxHnEuLsrveR+hOR0LDWcZ6XyXnVMVkzwG+381V8mNrZPo6ieYT8Me5njutw
tmds7TEzqXGXRDA5OgkypB5QPcWkHAdaTnT/Q0b8p6bGk70Ok+FH2ar57Cp9MdaJXRWleuCU9jnP
mUa3cf3T7nLjwumPG5gXIwe1nHLvmDa0fIsjp2M1dMWN1/gfm9VNH9GB78iZ/jGo1rmpF17xbBtZ
OPacjrRkOxP32i3R8sOuQRS8z4yMKqvKakIqInmii40LN921nJzAz6LlJmlnRVtV3DJoykOzLykO
GUUgiPY/ydGwLlNhPM+duU1Adq4Rb1x5hvtejGVmnvx7E449tKTuZaSXPGcpg3XSvXfuyMWdLXBf
BhUOM4r/VZv5YSjAUGyq+2XKW0QtjMEWayHeUewIRF4fpDgb0wxYSyfH2FFPDSutPVCXNiT+CLMz
2UV96odDZsJWUk5yLA32GHajAkAmZ3PBZiVckIIg/r+mm//EKLrbXnXluZhhc8zgBJKGxNOeAIqk
bJzQml8ZzRl0a4z0HMpQ5otuTL/jre2byZCoLFxGuO028sHiHibNNxeX3F0yQ19d1GnNzQdB6OwR
5YxmTezdpSUZBLWVgMwwhp0BJBFnBcASUwCnsLo4ZBiCOSQtgVmY9WV0IO4NXkJVh32napwfLaFP
B9fPHyV9No0PgkWj/uzwYDjEeFs9oU6RHX0tfXMChueTclJCFi7zFUMS59J+bWZoVy5BvfTV/GUs
U4DgBXZTP455FB1E810zDD85eL8JoiFJyHmK1QijyYreOsfAQSgLuL3wFCj8Xog6UZALKa5VwSqt
demD0sS9weWjDhwQHxNRPpsWtPzYib5OJXSfbPQqfPxMCSaNriHn2D92FXuavnRPhQmysJKfojj+
6ndy2jdyafaV48XBsqQiqP2UU4FuNYHHVeQRy1Sib3oDDBcukSJc6du1ltYdKS+f+kSy8ci7p6wb
XtcZHIj/c0qpFlrWThZuvgvadJeT4uBlDEXwEa/mFzIBGOGn6JiLPOYY8pbD6o9paNQOhklM9jTw
OHBf/WYbcbCRDiaV77MOfK6BZRUuz97JzCMbYZ54xYw4SyxXwYjigIzsI+aEIph08cl2uiZIqax2
pU3RDGZvIxY5bYBf7nE11MtiQgx1sPiBJKrCxVE1SQ2yw6ytJ0AUisNCbpe38dPOFhO6ZFtA71H2
keE0Iw9xaVUkjyxfOeOX9g2JGLeHp9/MSFvB3BMw12cJqTtQQ3LBEGiiH/ddCvAVGhGosUM7rR+N
sn70UbwDn+1Pup/Mm7Yh86TZwshGEue2QpLhF3DHNGVHylSbRdzcIQET2fNMC3+Z6kCinQsWSu8b
CdEbzgfaYZQ1WcCxakM9axUAoI4rqF2/unHff8zSxL53kvF+wPbyaOnohE8KaNLeY7HaRZ0DzJIz
ITKa7GgZ7JMnkyK+VMt4majtLDeugUfAp3aaqyYmybc/Vp73zSlqYMaLe2rz3r1vIGX4zOkP2Bay
g1nQWMDZC4D2F/fpOl7KQc7PJSvDXVH1H7BFRZdEVd5VDQn1ldpw59FxHZR/bFwKpQaXGiMnSR9s
0R2V2EzXtIX1Dp69Xap0x96A628QH4tomkNNMlyVE9YKy/DZXtMfg4GEnqa5ui3r+c4evOm4WLIN
zaZ8rdZxsxhpTQqF9w3JlrWLG2l+AgIZ7ftU7qyK3IAmTbegqJaF+/xQUXDdAL+5KOV/rrdlR2TF
L3Ku0XV3YsdyLT5Rlb4SKF+H9YhbxitLVkbrqo995hKugb2Z1ax4MOPGPIKvngMqwP6UNsZBjGGR
5Omh2qDaHhSBsmp8jMfg/sDkYVngU9zokd0HGzZ07Q6vqjXzI3lPqN8d7wpm5ZSjJjl3XkNICCy+
Iqnl0RLFFEqbJzQ7JLxYSeNSTTTxqeLLsQhD9a42mNC0cfBkN2D8beV39tH9nvXgo8dZfJReke0X
By+IqTv0h1WfYeJf7krCpWB3RHw8TC9Tu2HDNSsQIeURX098B8YSTE4Ht4fTbVAUP6DiqLZUa0Hm
aHuKXuCjqf80dLZ5E8WwJ2KQ2viMo71uy9vKnuIj8RQ3aHXwQRtkvtXVwFqSfbhISmvnxzx0o2Rx
D+Tefo3wr+4TxBGFNTfoDCD5cXJu2SciYKCbE8dwXkeu9gju3QwPWlBDMxHEuqZPUWskNzIE12wW
7DOzuU0+NQPcG5NSpGZzszfRpYbjSrxP644LjxqCJ+2KjB/L7Ib9uCKP8lenufhJdslhGVVj96Vz
yw1Uz25QmZMHKyr7uaTAVJtJfocAaJ4GUgRUAS93BrQS9Ho5ElJWXLsc9qc3KxjrxOWeDSM3nuHk
ezk+kdRlY6jQjjiu2+2rHy5JkvHcQMXoQashUVG7ykD/6djWqakPFZ/SvUGyqJAdD2/UMxB5oaIN
bsr2bGLYOvnhwmat1yRIJA6MijrpKQt1mu1Mo0dfIdCatbTX2iGyhTioc0Y0nmvQFsUWK3EDndKe
2TgNgptgUC9pPmNXhVaX+zceA+MHRFQfTFRpuzq17ooJfpzXU8FlFlxGDDSh88WaSxEynymviv26
MWdf6bI9nq6+ecA+9bP1cHxn3gakJF4uBW3dYcXjsaFRUvsTECN5N5JYqmhL722NA80Q+mp1XQcX
PkZCOzTX0eluxzbqD7JeLgoP6V27CvrPVbhMDgz2hmjJIbWQG+OMc0tRohMeXngpo7H96AL12XtG
8bExh+aQRBPzclNfVp1YoOUqnvajvd6RhwoVN+tvlMu3bvQIosv3VjJoYOZW6XBGF3OKrf4k/Zaw
uNYQewYSHasHetesy/udq+Bk+DGyq001v0syNihLB4BRlHVIutoCJMKk6CQoJ/SG9opqoQ8rtT4Y
TgVXnC4MlFCDsMHtq72vVQnrSyzHcXEaYHwgf/qspwWV8Gjy8VO2d7Rp3bs1cLsZyMIBPtfzlIzE
Ow6tPFiQG8NlZpPTjOxMvHJ8ipEKPpe+dck73rdWZNFNZPr7Zh5CbYyfU94+8r5taGxrF2Sxf5lm
/6O9Zt8FkHbqwoFHb/bnH95/7Z0f8q/feP81g1g4nghyxqGTA4BvWEbrvr5554Zlrv0fCLH3X3z/
oXVhr2oNv4g0xA6aQ3SOWlLSMyvrbgzAjcX/Zu88luRGsiz6RSiDdmAbWmREpCZZG1gKElrDob5+
joPVxWqaTY/1fhYFQ0Qys0JA+Hvv3nO5Y/D415NC05sTyWP8ZNld/mWLyxX+HREQuRDU3wNXi1WQ
NhPTe347L+ZzUHKb/IkxW/7P0fJyll1iPPMj3gNuIMDMfm3qfsqw5P79pMDVu43d5ENLCPCoeXun
GRZZM0z1Diq6s9fImFl+9usf6HXgUrZW3rpVCJnl1RoLtXjZXTaRerMConpfxwnLehDjS4L4khg+
cPpnirK/8NUYqz7VKS5BRyHX/BTtnuvSClWPlqcGzyp3bWg/2XmScwXFBBemaUl0iM8keBviTiut
KT70iixMsN2bOzufy6+nIXA3iFQgSIvn1rbonowsjjWYOT+9nP9v4Xn+zxYezj33PyZ135rvEC3+
6d/561f+8u8YhvuHjbgThScZ3aalXBl/JXQbpv2H4yJbFGi60XP/07/j/sEo1nV8i3xuVO4+r+Ff
/h3jD8wlkAow9duYAHX/v/Lv+K7SjP9DPak7SnUqsBfppoWO/XfPStrKOR2kH98XAY5WMM1FDTLZ
zbAWYonDNA+wpJSvEXxf5vges68mffHG+BMfNQVzbHMFNPKCrJV/bfD8APlLrLsRc8AmY5ZHucAl
RW0aSykPS3yiy8m8nAAjUQA7Y0SVFEoTjBAbll4JHdTEBCLfbP2+qY+uAe6WwmgAmOm6e3eckdiE
EZM1ZlBo+vL0IK3+HFj2R5JpwX2N92vXWf6rigRezc6avG5x7/qbJqRHKOsaGYuXHyFgXo3Rw+ja
YnGUacOawnqPMSbjNNXOaL9IbIQRTzXk4XidHQcLnlYXXEfYW8hLrjm+VoNKMCjdm9UX1d7JnGva
6+lZi8B49W37GYzBhx5ZgNcyD91KVaaqaBpOtjdCueu5YjSB3BXG4JwrtfF7ZKVW9jbkYXOug5A6
yQbMy6zH0xKqDiCNltq0RC/8fLjsQWV/HtMu5SvjOyhCVzt0YlxB5gvJOgczPcM0WhUAPYvByH++
By5HLnF29qojG25eL2+OkVbDrK2iYB66eBuW2TPAewL7dBhxk0lVVHrmisWHULkgDrkK5i22mw2E
AYqyhsARjVmzHpqQD9qIdluvYxk1epcJNnNWGcJOjTv3GAZeuy9okrPm6MqK+GPXXI2DaM7BbJkb
kSIWz0PESXko9rrojaPl//Oj/+2b+PXtlHFqbzFy/7CYFujVFBwMH5Oo4Y3VtlF8/mWDoqnZeqVD
+G/JUFMO7SmE7L2XtdOcXHUyLHu/NqMWtSczo99iTw5Lea0+LZvlDf32EKp0fWrmAKQhjo5VpFVQ
hNHE1aefu5CA7wdmuwQomt8Wte+s1L/L3q+HiwJ4Fo198PJsvXzxpcL9Lnu/NsvBsDycp7HeGCzP
IF9zRi4no5gLH0Wlgm8uTy5HB7yzr8gzrW2LQ/HnobB8fsvm13M0FfUjtvhhmotTqM7hbGagB0XP
K04LD3T5STYPAZoGCH7L0mG5NS2b5X69nOcow2DOtyq/wmERuzV7u+KCkKAoNETPbfzX4yyl6dA9
2LQMCH+m+kEpLccZA/hbCA391PWlvYk1b6RB1M0nyzPw86vN8nDZmH7C9BaGNH2KbyzsDgaMKlZY
6YG+FmEdI2g63yQOjgFO2p1U+kEGVmBisD92Z0jnX7wS7GIJ003EcBs9y3qevDlHb2KyfF5elL3t
4jiDJMzJtjxhqI982Vh/7y0P/ZYMCFiLe0PwJUzqF0z6GfschiA3CLDihXFMVb/YzaE/aroWbjWr
nHnfbHTVo/brId7N9vg1zpF4x9jfT/bMqi9IjXUIT/lE6nuvcjUkAKOaq3bkECfchedG2M8eBT6N
Ij7IWn3bUQ4ZfHTpoI/qMrb8oI+TvP6KeL8+TkPtGldjSJ5xtM2c0Tos7Zkw3prqECb9VvbtNZnH
967R7LWl0SvV+7s4pD+v7nQsjoPPmCyO41xXBkDcDtgbox9Pjw9hKl91uz6A9rAIG/Df8spwIC7m
D7CdfFrChB3S0IizXQG0BQRidwjnct7IgaKynbJLRZLSnnnUt5FoC2NMv4UkaR1BfqOXzj3i8aoZ
tIU6FMbxZjUpmTJS/xZMRrAtIU9g0ZJXopXCXZl4KUtHJgKQ86E88e5Q+1VgYyYXWKrZQ5ss7rJq
hjFa9vEd5SCSEI6mML9ICNg6GUmYW7TNCG/xOHXmxajHJy9CqD44ATUuweRABaW5nST3NwcZU+0M
oJ4Heaq8kqDkMWrPfjq9EmMPcz0BM+xFxWdq2RYpMPJD00P7NFdUADQHiNEhYn5d9w+Bp0UM5/uX
eK7TfZVMNy3xumM44bCCqmSsKtis2Auim2UxDRUMHY/0IKi3rVUIYHgN95P6PyBJ2aloMpg2QSWY
nrTGpywt6n7tjDSfWpkqqxVhyHAKTcwmtzIku9Kx6SlYNA7HJoa1Os7JuneoM6WF4idLCH5lcEF/
0basnWURz+3l6ffJmHUwWhOB3dMta9zhGS43fSYLmGdpiS0SOWunQzKcXL2nk2XKg5kEdCAr/ujU
ZvcdbLIVX/wI0zDVruNE0WiFn9GUwWDMtGwDx1uS4Zq/jFU3blORGDujtP8sgbvtyGZBU8FUJXLR
3E9ZdYaaoe9mCj5Na7QrIj2kgQMpmhKNywoV1Pg0JE27c2w5QVnx18KTxsWrnIocBFRVBuuk98wl
l3VmwLuKLdTiZjSQKOZZX2hBRPJc+jrBsoV5LKN+o+vxZxpGZHhCD1hFAugHihNjgsracz8/0NOk
A15E39q8rzb6PAhMwjUzgwLGrpX5WzN1tQsv5lMwTkBzRyfXgHBhz59GYd0LRuC0gy9pxmcK/v3P
zm+/eQzXg9G/DGVOncx5S7O8AaOMkgEm9sHMxIHFJWFJKWcnAXpi5QTyjpgU52UWgbabiH8kH147
ukX1kk7JUTraSTYqeNpmaJHhQjVhxmwGYOy4IKPX0vU/MjPhdqKHqNt0R7sSSSPzMtlThXFOGjnS
lUHPtg78Hfie8t6fTW3bMzhlZTB8hCorJ82C5DBnaCO6IwyzLwOV86bS7G+jC8NC+CYOp5cuzmDt
a/aPtBHOQ9E8N1MEtikct/Tv0mMD0ABOWWGeihJjrp0Eh9bCGhMo+0PlHRoNiruZ+k+80PsY2cK6
1Yb6kpD/FU/hkeyO78lkfZ2rEKVcrd9ZeuCRtwFNL7RofUdE4BmsLXus+VhGpEYQgE6cfTAQ5pPF
Z92qf1SAMpE96NGuzFxokIZWrEibZElr1kwxBY2p4JZofr0b9foSB1CmMcq76zE17jo5Xq2ppSda
pA8EWT82OpodBCvPNrNSEKzE2zXnCMkWnS+BI6Qcj0PKjDA1WlQ7EG7XjQeQkkt/uAoUy6sGw8Nc
t/0ypDPmn1tcIvggPQ65gT0ZB7dFX5ZKDZit9eY4f1JsBucmoN3oRKhrdM56sOWoAgH3DnipV7od
dgykdkuKnUwzilmNjHtAHLL4GoUxK3EkRpsssvhX/pfIA0Ys45b6gXjsKhrkQVZkCoyp2GBZxAik
1Z/F7ONbgQOz1pJb5RBfxtj5flZURm0dicS5wG5H+1VxO9JiQfgBRrYBKSrj49A/9WMMIRTVPfhH
8zwZZNbEgST5qQzXlYT1Vcu1EcTaxixMPlj8VYNrkAWqx9B5UUNNGeHM6VjCkadREA0k5KwctR5Z
Hi97YcpPlocDMqJ20liSqSJ+2bA2hfT990NuicVuaIvX0a5YfucFXc28cFa6ItMumUvLZlCtlt8e
lowVj+F4gg+Fx4m7CcSn6cmyGqSBCRHizcCgWEhBDnkd10ziWEoA+MM725N20iI/2+Mqe2Fc82KV
+kTMENPzOmXlVRuQw5DsfISGpch8bGawKD83ychYfOWxDKJrHcArow0viNHZmG1MQkdEmhUDq+6U
qY3h9EBxoviuUR2VYurf0lCb0BfnR3y+/X55uiHPMRSExRIJjfGJnrEbztOJGmMC5+V0G3SX6vDC
fARK4XPKSNP1Cluq9mPlHHv9JI2h+cemU6tyM8zBPFr+xVXlz7Kp1Ho4rwowra7vICh2KY6Ue66z
Yalvl8c+kqZdmoub5xBpk6dUNMyb2QXNj+NOrcqXh7Ta8lOws9XKfki7mEaf2uXahXFFZ2Eoh32G
COiKnBwgum08IY18DUjhPnAXIZxj1MNL2NeXGS3hsx0G68Ty7plGcXCXhnZLRPwpya/f1wMElwld
786rQDIHXTJeiXsdr0HUfZ8zN9tljpiAXqNNNRrqozmSPtj1nqCIKND/jFGjMCf6iEPi0BkgVes8
ZmruqEOEEWO9n5hZkpgyHQLw5jDs3bdF7lGTuZzBGLgWSj/W55a5SsHnsm4b2h0D1LeRkksgdH0E
a5hXT1pdrnOt+WJ0SfiM1BSFQQVblmpcW9kkyLz02KZPrhnjX+l/TLCqLp0BhwisHxlVql7UAZVs
bafnlBZAwSNF0Wd+xvpTL+W+SZwzR57HdZVLphtDDmGmj5ggdp0QtW80Xkx/ehiz9lK55ZUvwj+U
mWLdGt+ttiH7rD4mxUwmUFShgYXKQ1I2k/oa09MubwWtNZ9hQF3F0y0BLrUjEnbdp0QateU4kjFh
6Ygt60tP1AHgIWdCb6ExNanNei0FgS76nKMoy5sj6v1NAGvhCuKI/JpyJLwmJhEjAhl6aV0iLfWh
+e5MNA1Qs+8JqK7n7tKR134YJ/u+jT3UuNmQrxKNSmaJbXMs4MaE0oNm41hmfU83Gws/V4Uj7XX9
eRKIw52MfF+yhz9rzDjgTNLyADVwp/WRvYVWHUPcJKaT2Lf7wRdfhWffR3I0jtM8rhg9OESZRsi+
0vGt8cM/tWKy7rupxi5gM54WhXah0x3sfWl/xh3Z2KWNBmGixnqwdBXl5YyIoYMZhm597Y0iO6M4
Yj3ngXHp6JULdLmDNVjE2XClIgmtWksysW75OnRFfIN7dudM0r4mpnZWjvcDTt2PzrLc7eRnCN+9
BFqBRyZKIbPxIa1RofTcpAc2VM3TnRjNE6pLJlPobddzYxjHJvs6eQnlScn3mjlIyiNpY5UZAnMT
MWbakDZhrbykhY2eVP0ePKK/ymteDTSqFaTudt/OCAb1FHXQ1EC8T2mjmjQdDrJOvpQuhewM0oBg
B0SXD3aoP9Z0aQ78WayXiMa4y8Mu1RqxL8oUyHGNHTId05vJhD8C43jnKUnVhJZYGO1Dqo/DXVOI
4W7Zo0QhvlVLIMO5TbHPqKgJIU0q6h7Uz8PkM/1BNxfBPpmyxx6V5c90OwbK+kYrcQ9zMwJsNiG4
LWOp7NrRSiUy7JIJOvzQE0FEFqTp+ic7r92nNJXRoxGOqy94otC9lx+Zl+n7VNU4GowS6d/QF+gX
3ehfIqYTj3rxTXacX0T57Oo+16+9WwKHLrx0XTTvsG/RapE8zgxVF9HazOfj0OaoEnq4USMimVub
hZiTqigFePA+6GG2Jma8OUbKQ1fN4UnLapKpG/5ElpSfg3FHGqtL2CgY2LzB1pCFTXklDQ2UHLPy
SLFXmem+icyw7nyiAZjXNghjDCS0OZQtdDKtPDil9ikrJMbSFoS+Fu5r2pT9wbGTJ0mi7NWIHMW0
NZ6XC207t48hXI+jhp3yaiQ55T24nFGABeyKBgp8Pp1sPeNAkNG86TwDoscQXqRjMthq8/vI0q/c
jb61gdFg7h4fQDcZlxgVc9QRFCMrPOQOwX7byaYL0SArXCF3r3ZC+C9caLKjMZlHSuCPykGjNIUq
It4VGG4yIoeP2OTqbSIq9IKDeTLJmiASCBFVrnuCbzY2OGK+pkQOscTsLnFrIr5NfWOfpJhy6RoT
SJ9rxk5zMZn5wNE2CHRu4zzIR9VNHQ8Kvf/RucOenJst51R7wO5P2EsZq2O43IfFuz3oDE7r/hCS
W3gajXeWGMMBh3J5AKGxypOoOM6uF28KSYRggSB81CApFHV58DPxPWHZ/mKzupc1VWSkae7FcE5R
lUMVKKY3vJDOOiDuc+X2EzDOFg1JR/DIS3rJfQe5lZtd+7R0Hlhe92tIGglwRGIoNH0s157p/2ix
1q4Kt+tY6kbxWriOWCN08FZByQJbMg6pYWpgydbWXjRgAB5Nb9flrr0dY8SGrckCdnZZzYMsqk41
bond0JjXZSmmA/NDzAuqTpbta5d57iZqSlA+jvUCIfBkkzK1caAf02pAuVTLMN1wK7vrwzi8c4aR
jAkyQgMW611H39oJvHLDyOZCHInKoNQ2KVFXexzsH2Mz+Zt8wuzdma+Za3ZnS7PPfoLVJMrwGOUz
8VEiq3A1JcGz1CW2r+HNHuYI+VrN9WkiVU5P4/zWz9XGCH374mPenlDis+aMmo1upPNJ+OdCL5uL
0V6rnqSBwQ36neP101NoiX3aJsOBVhQYCJ88NDLvY5W5FF0zQFkMSmeEsJSvNXG/jUEcnKzyH40O
OA4b1PDmNNVjnFb51gHwhEI4wB4xBs+4YRFkGxqKbTuJLr4QNBwAJUtSgLe6IDoAz7VYx7FP1Wo+
UUn96Gd9vBMtCdBUjC3aMuIJOpO2iWkd8aBsEcHFG1yTqPo8HApWR6NDmlAaK3CcZyk1XHHY1eHU
FC+Nro83aZEZZr9hU5RfbJlwZ5szONUeibBpFpEF5XdXrYvoRBWOcy4AzFi63T/UjT6RBAKDKjFs
lWjYaBvMJrQ/W+Ox4EYXEgd7F/bRlwna8GmoHZJ+yBFYiaCszzkjyba3tVjdZ/RLL1Puh2htt5GJ
PbKUiHVCRydZUzFecmNAymLT6VIHrNWYKJjHbeFW48X2W22fFtVXvcZRWQ5JdBa8+lFD8y3d3Nz0
tM3AHQRvxBdULxMnYtx7XGQVawVm/n6utPApCYrD0DocYwXzDwN8E3JFr9w7RPbFPiiRIR/sTUZp
u80ZJ4PI1ROU4A15ni3aiHTokVb6RX+OmjRXt3ltE3SWeVmILi2d21UB1Y2rJYt5zyIOKE96uuuO
8WzBCNy4YzusPYY1lA+1PMXJY+kW6N74nxLS05qHKGaFmtbl1QuvY9Y45yYlXprEDgWrzh4MLcbl
MPAFCL9zNkOoIjQkKF+mbcSNT5o8xgQGkaqQXWhM7Af8qoe+NtuzhSZsZ7fEBfbRmDAKEsaxc8sP
02FRZPQe8VKEvVxdn5ZEVhsIdSa6VUPIJ4LEhKxqj9ax2ROQUHrUa2VDAFg593g3SIeJCq3YLx+0
QRgvbpjpqtWQV/CAnEXFOpjyrOdOBONoZye1d+jc/C6IRfNg6CRNVFDmYxSzsIM0m1D0wiuf9SyZ
QYaTAMQwf9VPZncpczJI4FlwlQ1pXYBhIccE3wTaRPIUhjb9akMU3zv5bN0Fee7v6yl/7wisXumT
D06s1zP6kQWTE6u4i10WFwHtVVhkTULCdbn7yZMcmVgeU1FhldAZOqHr4J4cnr0uyC5ubm99Dft6
pyPn4J3tUWBSGDrhY0Bv81LofFLD11gxL7y0q1ZugOzL9jr3lAnMPF2JlSJJxHnZeA3SeV9rsEtZ
dn5zqird2QPqdC9kCVnnDLHjQYgLOIPiwtv2ZKzd7AQzlyP9Y6AedSL5RrJPc6ao72ngcy0YAJTm
iHOu0F3Ka2KZj1U4Nuck7qAoU7NuRToiT52Gx0JtMHRts0I++j2VajEmza22XyvhyzNigHpD8WCS
KEJq/FyXRL1nSX2elQ8Da/2AGdO4J0FvfIIuw7E+zckmVhGzho1hmCxakgXbShwRSnvrWCcr12Fg
2aPK3Mcea1efa9e6lkFCzNx8G1vO37Ic320UBAeTL/VKWuJayyciSkKpEr3Bn2aJ/MBCaD8kHIY+
t+SnPgBCnxEqHpbGlZr3OOvCuasRv9v9zOI8O9oK0+qTorNrKgg/RStvNAjr8xDGE/1tO4UbyrIR
tcg6m3x58ZoNmUfcDChNV5BfUPc5zbHKuQijaurI96VioeNEpAUHkdU3KoToDu1HDY65QwmKUSar
rOfBMc9VU3vIKcKY0I+AtM26Y3hS++ktnfobwc79KaMd2KakK9hAu495XtCn6acVkfPAB5ivtsZk
rxhg+iS9S5rMOSMeogCQi5KjsnXcsuf64XNe9+6POGm+6wjbYTx47wjUTkPb59eyI0dpSFpJtiO8
AKeZ8XOVEeBTRLkRzWkE+pmGF3NEyZRxq8cwJ3YD5m/6QiAJY63aY+YzNpEZytccgf2iQrMg/K5m
QJL7KcdIpWdDdHay7lH3JGlUZcdrHQmhrjz5vLj5aeCS+sC9JAsQQMexAVRYiiPRx2VbV0d3cqwj
NTcHB/mH2uTIfe7Q2zXw23FfyzWqR++hG2lPDQ6JX5qmodduHVY9ko5SbbTfLXTf56JGIaI75UEF
UVs6N5lWtl8Kt/ymTyW5ItPwJiE8YytOtsv7kF5NJNYsSDMpOIDjkMRZQ75EwCq3GJk1xm63OXh1
Rzvc9Vo9cwmEfBL5TG4Fg6dT2dnPFaIwG/eG7XDfGRo7x9Auf4pZlmnfb3O/X8+FgXyOauw6dHNp
9uaql1SpaazEWCsJwDqVkY2roo/WDJ8KvPky40qQ4HztFR2p0PN1JpQGYXmMsHTN0Co80jzUT5NP
kjs+WbzKQ8Ty3bbHU9L5eEQJuEfeFD6E0seQQojuZpnbI76mdUav8GA00QYMD9IEPX/LLY94HKIr
/eaWNEgVQkbHp0F1ysgiFqsgRDPausZwCjFwbmorMFaJiidcNlGWXIMONiRcJuPUTja03ZGDGzRM
eUbfRKXsmA+cLBC53frVgVBAzRKjDaSWKc9JZoRrhv75Rvc92hiuUVXniTNEkK5zzCw50oSey/Wi
QlrUVP7MndecfTxYof9iJBqKQUzLK7J7/lJioW6EpARHgOgS3smyQRfdKJAlA++/n9MsYAnpVL78
NocOMKQdUqoRNKPDaXnny15ZFeM/Hi4/ENWUbBqLSRLlIatgld247Hl/7y0PI/WBlab5PHf1Napz
a51XI76ksM+2k0M8+6A2Po7uVWbhRu6VqG3ZONy9jjNR7B5AFXw31Ht4o9ityIT9uVkeziaLUQBk
xKvlICu8dDq34ayzDuDDUK9tVj1N+vlKhpEuIoWUqzNddYbGTCtY8CZWQ90Hpa6t9K/GZBG6oJqm
ms4mXfqlrEFawF8OnBeAPw2T5Z86sGUvNUcW8kXm7NouuS1PMUgcj5F4/U2j11U9eIc+s/BGKfGd
mrKHrnfKywl5uFbhRXfr996jaQbLHGG3ApL92vRWeSdNo0EFm6IagS1LXaU6wgwHDULXk/Sg9S5t
RDqZJMreI/80ftIg/18g9n8JxBzXhNL5vzOe778X1A5Z/1bEb/8mE/v5i3/JxIT9h+ubrg2O2bB0
z/F/ycQ8/Q/HIKScH9O0AbQJ/u5fmGcTmZjvejrSLQOtmAOP+C+ZmOX/IbiQuMLwDAvRl/ffYZ5N
/d8Rko7tCZuRrWCJagtEbfy9fwMVZrnVznmlT4cxq5iOIssI8uTJZnAMroO2pevvICjcikwnLUh3
iQwzbVzvoPZazgCC5UT2WDFIaMmBmTucM/7cwY8hZBzzYShXYtQ5arN+vCtF+zBgO9rmWldtxmhU
Y3GW+WCRXHgXLHZZCPOfFeLNsQhiHhjb+MaXIiDTPIhn7rA2XA03S2l7Whqc+Aip8LXOnOC+fE+a
PmZCWKpoVUy6g09CI+mBWzsjtZpAbfBPdVoB+5HeHlyvgoCEX4guYzGmbnLSz0B2DG5yli1+j+iR
RQhLAp82Y5fQLTHFNxi5CDJZ8UGD+EHw3b610B5EU816q/Lv7NKgLDZHbYV5Fi0NgXNCrQPyPtPR
qBFX3Y4xEIciqFdhzLQqS4AGB9Ig6AQ6DxJ5RPfCbN4Z0/3AtltvSkt7cXGmbeeE0lJOMSVE5h1z
GsR00c2LCLIAwLuXHGO7vaTWZRg7+HHE0hdRDw+jwGwVECu/oXfmHUd8YGuWxPVxNrFiNSDSrlM0
kVPt+6fS7S9xaHdnw31voza9s3r7YmmWQMSS5euRZde2YWm/bzK6LrpbU6mOIt1ZrUpuCfq1mJAP
TES1Qy7qkQ7otreCFKPtrST+Ypv09KJx6tZIDShRK7gO5Qz8fhbwpObq3DcDKHtGuFG/Sj06p2jn
PwKDjICRCnycXdqZguLCNsnxdiex0XT6R13bXeYs045ZGd6cshRM/CLziilpNZb2N2Hk3Y2b+t1Y
+dVZI0fDZ1Bx4CqP4QkLkQV++pmsQoz5YwJNf/DP0+zgvkIrSKSJoLAKXqhL4HeWQmwBIeWgYKzV
jnxsnTklM1QTZgWFTo2KxrUZiHnmeJBZSfEjBnxP0WeTlZgOWNvnOcgvQ6AWLrTvdYoVKx1nc8XN
gxVEaD12HmkHmjgmVKP4deRd0YbtCmNOtdPdzCAczsZ/33GcBBkfnNCo8l07vJd9OGP1M+Vxrno0
4734s4ui9KCPFX7iysUrXXfheu70ryOjs3UPIndtMxfRRf05FAG/MrZPPm5nqBTBn7k23OV68URc
NUdcEV9s3DTIGwRulxS8FVFAG6O3viLoeWpn1ENmOKHhaZtjExCERKxUuy8n91K+xTPpAz2hFKvJ
fCJdIz+ExfDga0xTjBqCAs6mdsrDfRYHz+GgffdiIs3TkfByy5mO0ALx0qRPkxvV27zT23VlAMvC
8T63giTfGXMo1HedFMqdZ4TNHbxohCQN6omi5boFq+TMi7Ue+JTf44QlSREbuPZCuc1M8V6Lcl/C
rbtZvv/cGM1di65lg5o2Iewh785d+oI14G4IoCBgY111LiH26Z/G2H+mAwiFeZTdZnJRhMTYaYaq
I4+X+S5kuoT8t3lOvga14axDaB3EHkEd3kmayQg8lHvRPgdej8G1QyE6phSgU22/WwhzT0Yd7Yqx
r/cDjYY1Ie7ZzjH958LVlZIudujHMp3XaVmjrFnJFEtgXIMSlErrQNLKjo7NQ2OF/bUCbwyskouR
YYv9MMeHlnFCOO1H2oHFS2a2/rHM633ln1NZ76OGmZLO9QGuLAY/89CY8yZm0bTNvfqr4w3IOzOr
3hN6sKp160uZkeHcTTLeyX6KDgN4t5VjOAxaxvS1j/sAR6GC1hZYmvuWxHGQc2PntK+zzYVu6J47
xyWPc/BU+COXizmPzn2Nk9+18huJhA+iNwk0G8BXhPghy2R6qTIUwrHovMevM2zhVRrIeTt7x6nv
kJIqX7GeksicxuvJ0tO1p5+sJNPvCmzGtnXCLJxcyZIJsGaE5SV1Y5dx0ketLtc+iW3+lKfkCIsP
zXcUviXAQEDHFR4PHtvODlaEMxZrFpSay+xAOJ92bjzqjmA8FcCEaigrXRcHf13G78QBFcgiii8d
KkIcPpjXNihSICQZzaYLXO8YHITU36H81dsO8JY2A4Cq6BuEJUgIvOxHjWbdyklmrjDdxgqtH7Vb
vKYOFwzmWlBvmniNISPZEQ5Ft9SBFEjI8yWY00eznDgUOhOIS2M9WWbM7JOKfapredAKzmMWIvte
d214sLCyWpJ7kQ7vnGmtT1YOx4B+TwWsoywVfbG7dn1A65TBOQIXspA5iCp3D3LkWx2RBzSSCLxD
AJUQAdcfO33AoG0aKMvoDQ6Z96SXhJrnwpx3TqepwTD4WTQBO4sIIsABNoHZaEtFtY7RJqxCt9yT
3Fmu3SB8IDP1WJhQzKKKIfF8ZJRmQDuADxsF8Z89w4oLfcNtIlPeiiMLUJMUDDVNDcJWrrlfHLQ2
nVUbz8JFRHnuq7xTfxg+vB6UfePtUaK9hZN48Scylq262YZOPp504GdpPX2kGg7fzgop+OZhD65+
04XpBy2FI31aF1g4bh3vw4nwx8nmtfW0PbKCe8MevoT9PG2SukW+d8dFIVBamXPnJreAF9iBEFvb
8qLZSojtWpc6hMwXZ9xkRY8XiWsB2Z4RhrJu2nYBMF5WG/usCo5xf3SamlhZDeW6N7XvWHtystS0
FE272Xh3RlWzHKG8l2YS3uWddSv7/jVVLLZ49C5hx8HFhPYCvD/cJ2NB1nJiHsOy/NJIOjQNV7e1
KMU+NtoX36dhCyb5kxE6GeeadauK/mWmbEbzhC7VpzM8jMI8hx0Y0BDsKyAchvEV3zum5QRMbZVl
j0UcvRR1/UmVgkijwLFJrm3InA9QwrPtOwR8k3QdEBziRiiMLYJYV+AYkTuuKtZWlYXwNCe9dCVd
tP5B0p90xgChpw/WgTt7uC2V2n3ZDJ0DEyzD55WmHTfcAb6zDOrsCMp0PDWqpP21WZ5zVdW7PMcB
oOzgfcoFnF5F9vdmkY40OqesFu6mv0U98eJxWB5zcmZgOJluqJo7UNX33MOvklUUrfCewhionvJU
2us+bjSFxuxOrSonl02qDEbL3vIDpxowb6s3oi1a5GCxXighUKTkK1NXHFvbaPfL85764bK3bJZ/
0cr6w1GYil9PLXu++hs//+ayu/xjoyJh+1xNaXVM6vc5AXVd9k9hrPtHV5goULUUNFPhUMIjiDkt
/0DMk07bMzgKx0Z5voiUvEWE/vN/of4/gUzkeuSetSa2pTg1ysnQ5CoPcNldnvy1+e255S/+9lwQ
t7gNrObw2/O/HnpBDIA0YYRdllzIo0jDQqckTItgaRF4Ve4gMEGoJ23q+qya/O0i0/r1tSbKdpXp
Jd64ZWCYjWjHWe1TueOvf83RMG6L5TkdQ/ehhT3y65eXvd/+YKMk8a6SxIOwQ5L092ZRlZlKWrY8
FyPl3ZBUO62Wl7D8KWIneR3LH/y5GwbuFzQi8GKVYF+qHteyly6q/azL1c1EfvZKBu4zCEN7DYE4
cQtBerMSg7v4m0OjJQhWJAoovnxtISwVRO/L/vLZJy5XcwY/0AaLkVfQqa9vUWIte7/UWUN3YUCo
H80FcI7HHqH/srvosjIv3BOVmPK2ui/LabRshEj4Fip1RjGJnTYeo8KVUfkObVxOHQuyFZplmlnL
w2WPsQeYmj6poXCoXb8nxczUoS0SgHmwqvKb5nsIc2OoEpBYDlPaNvc8jfizwu9tnIqGS4kJTLLF
MUt7f3zE3WpPTfo/7J3JcuNIuqVfpezuEQbAMbbZ7QUJzhIpUbM2MEVIAcc8j09/P1CRFVFZmdVl
XZu0to4FTSFSHECHw/3/z/nO2QnNjVn5zzj4k72t9CEAnEFfx01ZrQvsz2AU9z16mvssF+YaV9Ft
JqDJ4iGPNjIfuVy2KL6YL9nMWSH2n2leeejAkQwTu6LEjLQo8X9v68n6pmsAK7sWLVNM002bbLE3
I9QGbQJ2OoQFXVdutNNIk8UmqOycuoWabtXxoW8RmGqdnx51PecKaSGiQnMBMUWg0PLtcTGYQXFS
UfQQXakf2qGDzzc3qYqECm9Q1asogWZRBrjBrT77zhl+j9q72JH26lKBDuW2VdVknbbIouFySyQ5
N01Ny9O3rGA3KiP9Z8df4l+rFjLowqMuWBGiXqNFKiFHAwxsIKZgHGBFwfBL51kZiRJTVodGAsAv
P/785e8ec7kXvOWPP7k8DkrBS4UZf0nJ8fpyH31xnOCXH6eOQm6Oy8bPUQROM6sHsjGSzvm/nzds
S5ZuEnOdb9F6og/TaAhOpbWDa0YfFiem27peaXEGKp17M6iwBy9PVPe/QX+qGAFhXE3DzhrQq/L8
l/t8Spdep8T94vK7ct7iq6N1uNzZzn/98yl+/peABYq5IxQVVJdcymJfklsb1Cu4XNSqkxSwx+XH
nzcJSqcN0QK7KEFmiySPKOfL+HcoTY4JBVS2oNrn737ecfnpcmNV5GAtKqK5NhCfmSs4dy43QTy+
6XWkMpH89ivYpsZSY51H0AnH63JcosIms4RMoCJU+Q4Ny7hKFM1Z2/M3dfkekIlwx+X7ClI48wRM
8b3r83VJFeYTcKxhWalwly43I/aBvS5lsOyqyYEbaoOcSflolRno+z4qdGS3I7wD5J+sy384oUA8
/Pjp5++IA3GWcNzcxMuRtF4K3dl8+SUkd/7IMc462wqjlT/d5mkY7pQJTQXacgjI158e4lkBfPmp
S9Nxkyj9NphdXYZVkJ/b6Vs2rrjkOTUWbHKQ2H46sC4T4sWldXkzVQ9hOM9UCfGZVx/o/QD6E8eL
X4xeVL1zutdxtoX07bgpClXfXAxaKH2qteE4tz+dflUUB6hE5s8+zDJUKFhutIqGIASgbgIhsmd1
rZFUkHDjj0uD43JDH8RIt+18RVBRc9aHIBrzjasm+4t563JTEzaKVInDfXF1Xf7uckdrRjPH7XL9
iC632CRHT5Kau/jlUfOT/3zFy2td/vxPf+fUkmvKz2e4/HT5u5+/+/nfn0/z8+39/F1UcrL6ATWz
2iY4/OczXx5spz2rkM/3/vNvZOIQz6uhbp8vkpebz4cohCAyR84KoELQKBhbugtdYMFbRuU3C4Yh
VIWrlksvW3xOZax9KAhNV+bbn869fBoeeqDqiAAiazv1wfJi2oY4F3pGJbQ5+IEhcxm5l3Hy82aw
nWPlh/oaOHABouk2EvjNLw2P0OHy34Om9aYsRaSeQRVYNPN1uEBVxf7/7x5Cteruet0ijwjHaRCK
dGspNqJurCKe4xSwImlkkoK7IMqs2Yu0DHfSqCJo+b0f7S52dsJPb7A6uMQrz/5QDZ/c5Tm4imOW
6yez2VQgV4tEwglvEAahp/lMZvr/jYX/Q2OBuPY53fDPGwt3kCnk35ZvdCDD7B9aCz/+9LfWgvPF
5KkAnGLnoelAOtIPA7ojvgjTxkYubGL5dOeXzoIwvxCFhSdNR4pL2dUm3Ou3zoL+haIsNQuc69qn
o/23CM0fCY2f2Z/BR/7j/3/L2vQG1lNT//d/6eJ30Vus/220Japh86SWoPvxu/iedo4DriIa3VXe
BBvN7+yrsGzvU4MKpD08VX1Xn7saSnw1dJ0nSX68isZDN6UUaUzL2SBvcHPmSRY+dnnr24rvubRD
N7mi7UUeDJ4hfZ+sruNYFdW2U91v0ZyfokwxVTxUi7jZIkmHvkY2YA25Fxxx2kZ3bgwMvcrEw+ij
Tk8HvGra1PoeSRwrE33bplGD3DMDx1kmlQNxtipy5AvdhMAtDRbsRqOtnidA2gd3bWcB8hoT9xJK
5Zgl3krjjS44X4Bjsbfc5X64x9Q4eJXaU0CpAneTFeEqHoE++k1A0aO3jrVBlkxdJHe2hhiMsBpr
W8bTNlS63CtDrTioQ0eFoqf2j3B7o8vhwZWORIsWVVeKuWkHJzwUg24t6ZXXL4oYhgUyrg2J4e5a
SUKDzjUNUJ/xMi8A36t4zJhgWH93BGGg22hNkhgoKWqgDlZGWD/D7iRWQZHIJLNtBP5qIcJSbNzS
3emMqkOb29o+AcRT1SFL3rokAibY2aFm3rslLP88LKneVAYEHZleBYRltuCe9lgJ0CutAEqNb1NH
IoR4MFmDIo9E+gcS7yzUKMMmZsgF+0fn2gYj39khsSzp2W8wQMVKbZz6kaSm2p2XTBIXth/Y6sFs
lQP2sGQvMXcco85F4e8WD50l0Ti1xC9OILwwfebjQkqCHjqfvIyKGdenoyWwD1Rz2uKU024qpvJK
rexHAMM4Is0YU7yv2mfKO7g0FNpiJWGAFnJyBMton/DUyiXJ0UtIb+ajD3YGMJ3Y6RXM6DEU6xL+
k1MWclWmpGP7ln8QVhkuBz0kTEta05yzUSyojt5WtsAUVofII+brSt3fF4pL8JXLZkdJJEKALrK8
qeipfsZ5v1Ri8sCC6l3j4y500IM3RCgQXyReCuIB3sYlzv7E77JbLAUpEKW6w7HeWU8yNOFqjuY2
K9TMy+3kZFsJ8HJkr4x7C01FOV6n2Blv6u7eCtTiIIf07GT6KmybO8PVp/1IbjglHwnUwLpya1/g
W+7NbQl47NZHCFfoqDe0LNii4K+uwmEgN7oBNAgedF7PtquGPNElAhKEsGZbHxplui3zLt5Obow2
6z1ScEeTllEzgNI7a2jo9oXjbR7474RipB4ZZyrfa0bGYNBma1nCBYxSaxbpiUWE4WJBfu7gKUXW
bxUNNrLuwzt6JeH8vgyr8hTjhIoQzPBFYVsjUTZyrjBU9ViJiQJihe2y9I8fCL1CM+q6V6y3T+q8
fXdEexr0ITllGxjRtnXIrSE6QARSlmGgqisj0nE2EanmKjR8XFn0azpTex9E8SbuIrmqBzTbPRAO
tynXrsjkfaU/ZpW1TB0A0JmqhccgIFE9crE0a4o9b3LumYLsm75vv8tasBbMfPQxOaUuAqmtKzUD
p9gVYApbtoxSNaxNVMKUcOIcj7RVHllF2gCuoMMljgJ/McSg0Tb4Ag2nPadFicIFLobn9IgS0EqK
lRKVYkZDhRwf/VWjg4yaMibrQ7bvtRWvgyTQN0qQxNtI1NkC0cOH3ZLyOPSx5jUqtqQ+ctIbb+xi
54DO8yGJfH0diphicMEqKbNQWuVjjscmUG4micNhGmS3ksL5TlLSYyUk2XhYYBfQbo1N/oQcg2al
M6NXS9/nfQ8nDi3dlzE9l9kHpOL2oWrh/A8YCKgrblUjalezsVtDpj44/bIJom5XaYRlKL4+70jV
wes6IscoU3vSmZPFxg+/yMJNXQLWQBI9rZu6fIpMLV6GXWV5Ko9Bt/LM9gKnCAUgYJXDQ2aruTfO
fdfa9K/kXAro1ezbBPWupfjtYfX9lmpButTjZtdW6GjtUZJQlyQrodk1TgdtQ29eLFoBDDTE++hr
DWKmYFyzXeSklOpjMQ4UtsQsxJ6QjM07lTVvfTu4clc6sX1lGMpwQ24GragJO5OFw85GmpRNTBxE
KVCnD/qUaX5Ag2Wk46pWnowweBhpSK/Mgryl0aXBNvZf4XQP9GCcYYMuLIW3Vb6A9PvqyMS/rSo2
wkZ3rscWH5F569CHuglCjepFAwPEsCITeggfojbCWwBjTHEjp2ZFP99rJ2WVxXSU/QEfNlEBay0O
5s29tiRiwt0nGikIWEbr1ZSgPVTVa6czp1kYChqlyNStk0VfpwnjWK+ZRHWBAGGm2+QqJX0bA2JQ
m9kxhY23BAg7LajP0LmixciiGNshMdUmlLaRRe5Urny81ltSecHli+pJNJbc6g3WCy2Dahn12dso
G5pV1GKmKTbn1p/p0UljlDDACONggrXn7llxY1kRfkyIbelAj14GE3Ue430EdHw9RVIgcDKZfJrv
Y+po91m9VfP0WbP74gwA9Skvp28YL+GrNowZ5KFYDxB4grdLFIFTYuP6irLX2urFseJyWyZBD++w
7zwf2e3Srm1r49pTeqfpzS72lXoRMn+vS9OnLMIHEJWj3UKAWUXw7J7nvMMBaiWtvXilIwZZG9ng
E6kQNE9xZ9w54XBbZ5p87nS6pGapo6VszXvHVx6YlvAjyObJ1vDlG129tOK4PoLOgN/DCmYZNLm6
jfFmenHTJnc0J3PPSarGK1XmPLUUBDSQv/TM9vhVH5vmqNHs8dzoygp0460jg9Lr7d6nQ0I8JXaE
g8RMjt+1sd9M6Tz7ALkl1vmdOhsvEUkit4cJfCWrybjv7IqgKZXzRQs69kNlcDbhxC4qSftzGhON
DhwgC+KR4n1rDmcj7bprpK6Zp09KsbUCGBS+/ChR1i9Mq4ruYlIVNzBrNZTJwjxFPceDwAkLE4Iu
t6KUuyLuje/IGJgak6teHz8ksm1b2vAbBzZJpqqtgWMEGxKXRviOsEmqUaP4DkSRmBjcZ9k5Tivs
JbLYuxRg7i99KYhR3bchtwhcLM+hA4euBCi3g2+zQk5wx6Gi+lmHxa6lxru2/Cm9EpCTD04ZvYWB
bRGh6LR8KaaXVxo4vSGU97AD53VWlyLcSei72DIzl25aPnDtXVtVgNqkJK2lVc1zW9Q3er/z88p5
dXwwFbU2uXeoMwTaUQigIctV5upmLqIZSyP0P3Qu/ksDKbhXgGDwlHngxPDxVzHI2QW0STqNmfge
1RjWZWNY2zRTbxyEqFP9ZPRm9S5a98XXi/BZReuy7MaCC1xkQCMhq0CgnbGC/HGgBOZRwNIRx5jh
qk6jHK7JJF/8m0yE177dDx8B4kppyOllrMWdYptfazfLzxkBYyNtNuYjZhBHJJvEKK+s3glPGsNy
MbR9s7H6Z7MnagfebUCf3i0o4GrVhz9vdu0aD4PTGYdJpspKVb4LlCIHSIpwndVo1tMONOGpz640
OwYsrJBtkOh9s8wmP7yxDC8NQuXRaQ3Eyz0aQMzAp9zHIKP18XvhxDFpdNq4BdL+VJJKVxYKBctx
cl/irrr2S95+RN7v1qQxP4TGo+8gjrVV/XuPbABhhtN4tJBbWFHkErNNeBfZsIgtvcXw0gFoKuAg
6nr4eOkGsPVAd5QjgDHnv7n8IWT7FgYNRm0qZPRMB/+u6AFCTjkSbfZYUYJdVZVEkODnMbrh3YEW
sor0HD1r2dDlc9ASqwrGjbmS0gYBad3zDfMzNdbilmaT6uXJBFw83Dk2I06PrGOudd2GBdg1ghUy
kwtcsOB/oGXNN70bDnvSMV403K8LI0QwSxw2/XuoacuxWuFXRNAZWO4y6fR0OQW0x7MxmDzVxlrC
OW9j45/VxXFRCHqR0ZNGXvi6RYiq1NQyNVDHYDHQzIZ6MbdW2kNgt5TXpFGz45yTdqBXYMtLxn3P
2nKFjX1eNltfm3JQVinmOmrKU7jo/Oa+HNDD1k7Inm4K1vCwEHSMduc1o7wtTdtam4j9dyxPptI+
g7Nd2fLrJe2zeZdYPtk/RKfUJGStCXt69Rphl0MS7LCvGFdDt4fPi5ezsdwd4Bp5rSmE32UxBA3T
iU6OjbE8ktEqSCMba7/tXuMReAScWyIoMcJz3CegQa0lphoWyDKOzhpt1sIsP1xyGu+UCPJyT+0P
z4QlqUVHYDWm7kXplRR6eaau48B5znQoBPlF0WdiwuWUxIMr9xF0iaYXzd0UuS4of+clGvLtWHWS
MK/kuU3sF9wdm6bQruxefpUm0YA4JJ6U6hpw7KJsXDaiJf42PeKi1fnTqW3GF4wBa+REC7VPYLfi
W/ACywcpwMwmVRIMEA6wMTnEWUQR9JiExJ2RHjSHgRqmOm56dsWV7EghQq+1bRV9U48wOn2uWZjt
aDO37AEpDFOvayHxJpIEYcD7J8Ma7D3RgKCBjb1oy7cOaPuyDc2zUtOPhvWiAtQBsR3Kx7gH2DyI
G87dm6yNn3xRWHu3SffaoB4Ni8oiC/vLE1Eg1LZlEW9Ln85VXXDhKIRGRDiaDnt6gnSgw8DkPJaY
HFdlhwGSpFLMjPPwg87TswuifICk4+C7rr7zQUTkc516TMU2KRNrX/Vusolj5dT1w7IxM2OHgKVc
2XM5PdD5THWHAUJL9M4LXaf21LG9Y+K5DVvBGidlEZn6euh1FduRlegnH4kXnDcK5wHo/fFUDJG2
QxwCGWYmzFGh93cKQUYtm97KtdslrSKFTWB1dIbRWYcxaNQxHS6MZWOPR7Vl1+Pcs7My94YoTTow
k7l3ZSs2Js9XFAYitMDE0KspiFPmOc1t+ztjSl8ACJ/0NmyWbd+PXq6wjmItc6+VtJkyFzs0+OcG
bnEA77wnczYIyGSW5kbVzYd+8JHydMo5A8+gtWc0tPEqbvp40dkpYqHkqE7NBHmziJZcXh9Va0Q/
YcnrwE7eUwctqNNlxlqBw6+yVtbjBLRPIiPskpCx43bYGB0KB1X1H0g8kh7azY8+e6lRndzp+oc1
uY/pEAZrPXYWPaiuRUx/EBmFo28SeUrHnh4Qjm4QN3iWk9rz5aAdIrv5Csd3S1AaRBDd3tD6v4kC
7bUl1TZrzZ3Rqi8NNcB9DuvJHCfkaG0bbXM6UD7ZazKC0y20N5eKxMIsG8y/o7kKYvY21VhiK9A/
CqV0r4/t6LqvOpUygEhlC7S/pzIWOMHBqh3K1fXYLUq9WeewNRZyDAwvoKnXxqI/NZAGsD5F+hrT
62YI0+hKZ6m/JBw0IOgXC2BXUzs3VmbKlzFi1x1N7b0fCJNLiBtdo4AE36FbB18J7EUYOfhRBTCB
nkdFZv6gFk20Av+MXcycvHoAwgX4ZlgSJGmvFCOQJ7uGWO2IPva6FkqhH8+5jTk8KiUcsUSwAy4Z
1tsqwRU2JTdxVpKUmH+U7HUXgwxIZSVrSUmGU/Eg7WbTE/SBj/bRVVDhJDK5qd2kXtXhKz6wfKGa
pAKmU4wJz36QDRNaTilk0o+c17jxCwhk6UfRMBx0UR4Mgt+WZtVfyzlWNPUxDetIersxWRhF9qZC
oyrx65dqhHSJhmzsz2QKA04bGKq3MRu2HQJwbB01bdWJ+YptHL7nldKQSGSbXBdy1ixiwmWqLULj
3YnkO3VDSNl3Q5C2q1gIvqDqObbiF9qFH3WzMyq+OQ3Pk2G3G9M3b2XAB6665A3T93U30ADJEErB
ffdiqezsxicCK3t3cDUPOazqpDH3aEPQB8lsZbBSxqFudcuuUXcG2porNlUHNVJuClhSVHtOQRXd
h10BIw2bJDP8OmJ9w+LozDkCee2WzKsPS08JpNMs5FHDMbc4OJQo4DicKTDtQ135GvrCWqAJWxdA
CXFfqSwBGDXkdvjqqtbKdM2kpiyAqN1UjYXvbmDG7QzJqvVpcqtvU298oAB5SA287yCjIqd/JE0U
G/DwLfRj2InVeK2E4qsylHdw6QihDN87VTvbU48pB2VanOHM1HDF5dSPzBj2WZu8DQopY24/vMOx
XPjAp2k+M0+U4ZE0GS5Drdi5IVkjZqA9CMvcjUW8C4iCcGscJ0Xzkpfmfc8uoM+jdcJknuTxFifx
EuEQ6Bdlk6a2J+2cqqu5pWWjCL5QVCNxoRERpYp3R7rgIbRp0djQkdpmDmoABh/59dlmF6KSxL5o
HKWEjQfO2ym+Uga+kWSGv+fEnStVdS0qAFaqGueo4jHlJ8Z4nTfl10ZHiIrUNu8xnyEHe0RFkLOR
IhsvZl3WqDMMNPkYjV2m+IzwZN7dOOl2NDaD5ryTsvhidEQOEbkwo+WdlVVkpxIxtyJuEgCKSvmY
8dlzVHEuY4oEEzpRQKAbEC7YZIPY10GTrY2AVKVGUMfV58jGGm6lZUNpH4xEkhNVQ1loWVtLU7nL
JLsgPzIeY/EQxw7GfeofOX8+UYNuMsgIQTV8LwxE0kXsPoAwHEn2m14k6G1eSkxkJKkIvam2uL38
Xmfi2JioY0qq2q3TohEhv13ITL0u84+ROhiItFUopCDTBpqb1Z7LKTV2arqQ1Dhoy8bjyujnb6Q9
1+5AaIDT+bvGldc+viN25bB+JmLdSbU8pQRxcrKpHJNw9iIy9WqmBj8p6zdVp4qdJuGQTf7wFbXS
K37FRRXiDZdhumQXTkwMom9nBMRN8fSQ0JqQW6RMHVJOP2OvGHhYw5AqVpSljIKzTmn1pa5GLdpH
rnhOTaGkkngkQ5iFi9rPxyuF00oH2YFRCtJOgly5tgtjh48FUmvasvDEbKZk0Zslg343qCU5TDQM
FYb+whxiFY072nw9NK2rId6IARelrszhoCkFfnufhg5roDZctJ35EGgc5f4INvgtS76VficeHEmH
oKrbhY45/VCPGsGVtonaIQ8yUCGox8jCWWstEHgapqwxNOqSwljJjJVW1kViXevheYoIUCXpF0xi
SfGTKEx26gF+Lh/5XWUWSMaq9miepvabWgiD1Mvc4So3smyUhA8oI/mHXXc/kpe4UJTzVGBAJyzC
YU/hypWMcHSgIKax0yPPIEE3LOJhw3XR2OpDC0CgiWvPNRGwCj97HKnCVQEwFDcxYc+HT3ED38ns
jVPHpOVqQOtDy71RS+Nek6jIdRAX11ZFeAZuTbFsOvNc1FG1GyXRfm3cfa1kcN9YqEGNOmDeCair
5nq1Uuv6zkkah9nAtT17Zowu2EzumjELlg4VoEVUcIUoKNTTaObsdFy09bWhshYR0r0xILqZGqu1
MSgZKb56VblTtwoafRuTccz7cr5nkZsuweBsrYkE1q60trIkICyMnqpRKW4Mwps1grIT8kJXLTlf
K3VOG+ryZeiqjyxwq6Vd2GA4qYmwAkm+EXqFVkJ/CGK73MUumzDTTcVJDabX2kwtxrXIj52s1mlS
PqQ+gdsC1ubSHBM2eX3hKan/VrQTzg1Nl4tOuB1VqWSjJzxt3LHfLrtHqv0Y/duPqB73g0jf+6bz
aj1Hrq9YL4aVnSacRVZebEqMdYuom56zOkag52Z3g82bUm8dG3gsIjJWvD3r4Vfd7u+cjBKGq/Xq
qjApKAQozBUi9tbsKkocydgbLc9oieypQAyz5IIPqYbryMjIyxzqrWZDFYkVoFoN1JuRcI7qzqek
E0J0R4jHBk7Frpj2/q3i23c1cAuWBZT+J3dFGRMnDPxTm3PcrfWevSYeVzzrFOtFex4rMluwtIQL
guTeJA/G+/M9Hd/Nsbq2VbBJWkHbD1XJWcdo7UYsvo1NOkbHIq1eq75hxCYvJstdaxiucEuBU6Hu
ruAcMYE8MSt3N8SYY8afVixnrpv0yRroHOJWYs2lluDMOrYpKbsUyl0CpH97qw/9E93FFXpNr9Lt
PU7f7xOHpDOND2dIQJcUPAtZLyljLxRvwq9BG6bvyKiHwL3FOzIstdnl4/ZXOrnTRgWoFIPYbWV6
zVTHSzeIV7YVXJdh/Vrb8aqC5cIqz1iHrXNsB/tasSIvqPChLUiNve/a5rkw/f38XJUZX2e5cWDF
umnEc+mS2NrPLSew1lxbQ6PfoCMl2/5U2tmzqwPeUq2z20Ke8jc4fZ513b7im0Rk5OnwhIG3eDWG
ISixQSlWY6ZtdKbIxcDKpMrNVcIkVTXz/kQF+JJPbHWK8VoUTJVhqt0543Qf1tnzQKGjQYc/2N1V
SgaK6POHxLjnqHmcpbtQrVYt/ZBqcE9m357m74vool2URide8ojkkGDVW7+pX/uCqtYUdd3Catlr
Dz3MFXKDFX/r9/0WXxk570nFpYVkooVBbR2BNYCfsby1kvYJIgmHu+YKoJ91y0GDbCIfnW4AZ69w
2q9pZ79EpqixY5Qgg28zzTqWoyQzZ1xbMtlkLIsXfWk+hq2+RomIEDi7LqtWEJur3A9ZBSgOxUtE
pUqxcTHksiJiIYkeB2V4p6tItkINoA2Uq2hj/PcZoi2ChYemOhgJfYMap7yc2V5FZ5xKPVhHrXzP
ExqusgQQOYSP1J6JjdKqbmHrDYxP4OXW0TdeKWwdkrHTPdS74BSjreoGm6zXtzm75HTyYKFQh7oJ
rGHVMEYUbbwODW0TRnLXRvJej1h4K2I9oXWP62Lrg1GFH4O3jq5LgeC5GOgqkXTi+HNGeXvnUwSe
/Q5Mu5vBwJLIpHil5+EqDbO7eeA3SvSWJ1Q9uKbl3ZE08WUnSq8S9jPuxkOluEcyx3GeOA802p/7
OPcicziww2a6KtUnrXdgTo7fM0Ee85DWtyOn/EKzsIzlXa8sey07sPS4KjtjR8LOJq3JajH8e53q
Q8H6JU/1I8CkYxYVb7SvX+rB2ZIITm9cTzd2/y0jsT2j7Wkok1excFGYUZ1G+UqY4XubGg+j7jzU
kro7xYj3rLHuR8xhigLOrikf6WO+AuU1W/9VNeGsTfV3crEfsixex2Z8S89518NniUcaregr3Cw6
qR1RZeW9JVuPJtU6dJOvukof2BJ3WQCNxGy/UYbZTpiu2vitUtRzldQvKWe9khVXrYye9aJ/6RsF
WhRGri62t3Ga3ky0YEFEUN7Uq3UZcwGauSSpu4c7Suo4+jwreNCFdpPznQjHIZccf1MvAX4QgJI+
qHTSLK6fpZbeRMM9/aUPf3SOZaAf6yR+TUiyDuxom8jgKpzAPAIyFQqUE2EcKlF8hF28rOLuYCrt
s+CkshD7W6OWkie9aGL1NqnDlyzF8F0ROR+xwW2ZTDjBnkzFvDLDEGJwuChs+MZhcZTkz4qOZora
9CeCcE69Xu2bSRyVVKP8zPXSCfa1H18B17ynuHRXcU1ZTHREci3B+TWtmpyhzexpaupixB/lp/oN
NoWdfyYrSlk0ywA13dJqm4OVz7uvqlqBQJ/skznCrOpMxC9uNsrlPFjI6LzxgxvNr9aywNkWUr9i
nkGyZtcEp/kZRStEbD5pb6gnijWknWwRnIjt27pNdq8Zzqoj69POTUFGM8p1tQB/OyK9uxNRvzNH
gTiBCn+gP5tjJjbpQAnIHu9sa67G9BhIzOo0dcZ1NOo3rlJ+FYPcBjh2ZTpd+XRR62k6pnH9mrbh
OU/vXSnxs9j20+i8+u64G8zhW64UdFI0/djU8dlfOrOsTyvf+nbdVTUknvpZGuOL3WqrNHYfpcMp
lxlktNbNtxFflUEVnLbIpsDktIQ83FCnyndDo8OvD7axbYNKbOhsoIsBmnToXWpxKc3oOL+O5ESQ
PGskZowVfCE2Zsj27MEiQ1UhXBxsFBFtChxH447AhcDrbO2B7ta1mxG0Fth79jjb0EgejY7Tvp8C
nn06qJQfSMLeZlrF8KPwZBo3rHk/Ru73NWfluuN60E5Wmd7nSbUJxO0whU+ole8IM8FozVJdbSmX
y2VezBaIYq0okgK1CeFEM77Prwtd8FYV7kGW8lpqMFkrHanO/IKpod3ZqQmuSrpXQwCKR4LOrxkp
MnzQU33ddPmjvcTVdW1q0EwAH7EPQV4Ijow0DfrP84OGtHxqybNkxH/otSTQKbXuc724beUaKKGA
k5pndw6SEgMqYZy6X8niwzEqzLM6TVzJXW9iAwctjoQRY6hpI06PYmo3kQnUUwEQST68ZVAUUSqK
3Cx2iDjWKTDXsXKNeBnrF3bWfui3ld2RKovbVjV2fl+fRoXk40DsAtlsoknsjOeupYg93ndT6A3h
uHWc9mSEL8FcyuzzD7yNX6m2QtmmByrVhRXgOnUfaNFsAz/58A3n2pcErI1WuXPU+m3yrTPG+1Xf
yp2TUcGBsM4LYB+sAUZOTJG48jaU8JbtaL+iEFU9kw55kuR7Le45lFiMyPcztKWd2YC1aKsuoyZF
uoBsgA5UtiSIl7Vtqr/MU2ZQD89WWmZLuj/WUqlPltOIpRup5R4MqaszPaKauDYxd2J/7/aZ8v+Y
/POHjtV7a97I9A2b8bb9ID/6oyZd5u86yPneiwDyPv+/e9BvAss/fqK/fVxe+VNQ+i1vs2Z+BxSP
fpdLBLLhH+Skl7d0eb//6hmSNz5W+/7x3/8FUwJyKp5MG7vz/A9GBOdR8ONuxXW/qJojVJ1898s/
6/KCvxyiPzsI//rzfR7Nf/2Yf/gEb+8skLwQVVj4rfkVumGiwfr3DsLvnuKXg2B/0U2DRCfNVS//
iGb69SAA6vhiabZuu6rxeRT+agfBtsTnF/Nt+F+IdP8+pv55JPz5QXAIoXJMVLv6Hx8E1UR0bDvC
+mSj/IWGgEYNHILKv3Mi/OnH15FUu6ap6YLR9OuX7+hfAKUIlMnImOd/f7mPr880uv/w4xvWF2G4
miFc5/NT/u4UcI0vmssREPrnK/2Vvn1K6//p4L+c4KpjW+off3zNZPDrtuFa4nPG/Qt9fkT9xu9x
RX9yGfjT0W/oX5jfBPJ/rAS/jn5b+2Kh5FdZRn3OfJgGOM/+Sh/f0N3/9ONjjTAdYRhUJv549Ntc
JefzH5bzX/MCILhE89X9R1MgRwFlNEGEFkXh+R/f9a9jwZnnCMGVUv1xmfzLTQUCm8x/fBQ0wh2F
YyD0++Ox4H4RAseLbXOofhylv9YZQeSjwfT9H40Fw/5igMewOaCfR4Hv+texoOkgzEyOExfMf39G
+Demjb8vsGci9ftlaR1+1H+0Av+zB/y2qPzn+38sKHfveJaMn/C0ywPnlfbna/9cef/vf5gvL5Pe
L3f+Ngn++uc/PuA/v/QfvqnffrkNP6q36pscLx/3f1i72t60YSD8V9B+wQg0Ex82aVq1llbANHVF
+3gkLrES4soOW9mv32MSd72AhpSzxCcET06Pz/fm3PnQibmkHQL0zxVtaMd6waCX4PyfJB/fMTnf
rPwFYFf2cKfo0xLjWv3H8OY1TEjBrpQDl1Q7cgHJLyPqDNB0KfIXqvSTsb1pfm1iIcY2lbGUmyCl
l7qN1uXIda2yRmd7lg/BRcFuS8GvFe4hJasCkhcbN51FIDvkcCPzNEKvw3634UMUZ2gXDE8920/5
atf+p91fwbrOuXq3WYKUmRtl7JaLDGP4HmGhFPkWjGsdcI7q3Ya2UuB5TgVTQAz+GkcwIfMKbapG
8x2Jls8I+jevc009KzJFQ2tgZ7hm4KUWrhYY0Imih5Tj+1PblI6TCPvlHpLts/IQRDzqRQqWwxfD
qcAIKu1OaJ4h05VjL0jXzHogfYzhXhZkDxXVeZDQ05GgeTnCEi7IOcqKvVNNw3S6y7CkKrLQWaG3
xCt4qC0heZVDwxc40zDN7uoCcmxcDIzP8zOzTckYA2ViSO7QhG770L6gIRbc1E3PhiRjXNojR16q
jaVe9IThmWkU6F/E/VaCqkuE8Gmpfo9ucfOuKzR368D3VV8p2x7/TlmnDgHruDUxZC8S+EK96Iy5
MRzP+rpfDMl/GlsGpE7uNILxXmLOxvmBDskkHUd7wDWV/b0/SZMIIcmq0JzxKbQl8DTc8axKvJNk
eFaTtHUc6WKurNr2D0muYizltwtDv9+c1wxJx74XJlejuTvxbR/SNMJCXp4sIpS/fcCpIvrBJRHi
wQewr5xTLKToil5SlXlQLzyr7MpIUtwfDRVhr3ibMpli2nv4YvjmeVR2B88WgI7IcMURDOGjRmbT
y4InV5MY+rcm+J0a/cAs+ukqVVKi12hsGJ0VPk1iJCNr7TJTY3od4zw9DswXy37AMXu95ciz5KLP
PFdpeq3Ln9afwnnrub/x4pr/RVYpsp/+AgAA//8=</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withinLinearReversed" id="26">
  <a:schemeClr val="accent6"/>
</cs:colorStyle>
</file>

<file path=xl/charts/colors4.xml><?xml version="1.0" encoding="utf-8"?>
<cs:colorStyle xmlns:cs="http://schemas.microsoft.com/office/drawing/2012/chartStyle" xmlns:a="http://schemas.openxmlformats.org/drawingml/2006/main" meth="withinLinearReversed" id="26">
  <a:schemeClr val="accent6"/>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colors6.xml><?xml version="1.0" encoding="utf-8"?>
<cs:colorStyle xmlns:cs="http://schemas.microsoft.com/office/drawing/2012/chartStyle" xmlns:a="http://schemas.openxmlformats.org/drawingml/2006/main" meth="withinLinear" id="19">
  <a:schemeClr val="accent6"/>
</cs:colorStyle>
</file>

<file path=xl/charts/colors7.xml><?xml version="1.0" encoding="utf-8"?>
<cs:colorStyle xmlns:cs="http://schemas.microsoft.com/office/drawing/2012/chartStyle" xmlns:a="http://schemas.openxmlformats.org/drawingml/2006/main" meth="withinLinear" id="19">
  <a:schemeClr val="accent6"/>
</cs:colorStyle>
</file>

<file path=xl/charts/colors8.xml><?xml version="1.0" encoding="utf-8"?>
<cs:colorStyle xmlns:cs="http://schemas.microsoft.com/office/drawing/2012/chartStyle" xmlns:a="http://schemas.openxmlformats.org/drawingml/2006/main" meth="withinLinear" id="19">
  <a:schemeClr val="accent6"/>
</cs:colorStyle>
</file>

<file path=xl/charts/colors9.xml><?xml version="1.0" encoding="utf-8"?>
<cs:colorStyle xmlns:cs="http://schemas.microsoft.com/office/drawing/2012/chartStyle" xmlns:a="http://schemas.openxmlformats.org/drawingml/2006/main" meth="withinLinear" id="19">
  <a:schemeClr val="accent6"/>
</cs:colorStyle>
</file>

<file path=xl/charts/colors10.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14/relationships/chartEx" Target="../charts/chartEx1.xml"/><Relationship Id="rId3" Type="http://schemas.openxmlformats.org/officeDocument/2006/relationships/chart" Target="../charts/chart3.xml"/><Relationship Id="rId7" Type="http://schemas.openxmlformats.org/officeDocument/2006/relationships/image" Target="../media/image1.emf"/><Relationship Id="rId12" Type="http://schemas.openxmlformats.org/officeDocument/2006/relationships/chart" Target="../charts/chart9.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2.emf"/><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22860</xdr:colOff>
      <xdr:row>0</xdr:row>
      <xdr:rowOff>0</xdr:rowOff>
    </xdr:from>
    <xdr:to>
      <xdr:col>1</xdr:col>
      <xdr:colOff>0</xdr:colOff>
      <xdr:row>28</xdr:row>
      <xdr:rowOff>0</xdr:rowOff>
    </xdr:to>
    <xdr:sp macro="" textlink="">
      <xdr:nvSpPr>
        <xdr:cNvPr id="20" name="Rectangle 19">
          <a:extLst>
            <a:ext uri="{FF2B5EF4-FFF2-40B4-BE49-F238E27FC236}">
              <a16:creationId xmlns:a16="http://schemas.microsoft.com/office/drawing/2014/main" id="{00000000-0008-0000-0000-000014000000}"/>
            </a:ext>
          </a:extLst>
        </xdr:cNvPr>
        <xdr:cNvSpPr/>
      </xdr:nvSpPr>
      <xdr:spPr>
        <a:xfrm>
          <a:off x="22860" y="0"/>
          <a:ext cx="586740" cy="512064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25</xdr:col>
      <xdr:colOff>0</xdr:colOff>
      <xdr:row>28</xdr:row>
      <xdr:rowOff>22860</xdr:rowOff>
    </xdr:to>
    <xdr:sp macro="" textlink="">
      <xdr:nvSpPr>
        <xdr:cNvPr id="25" name="Rectangle 24">
          <a:extLst>
            <a:ext uri="{FF2B5EF4-FFF2-40B4-BE49-F238E27FC236}">
              <a16:creationId xmlns:a16="http://schemas.microsoft.com/office/drawing/2014/main" id="{00000000-0008-0000-0000-000019000000}"/>
            </a:ext>
          </a:extLst>
        </xdr:cNvPr>
        <xdr:cNvSpPr/>
      </xdr:nvSpPr>
      <xdr:spPr>
        <a:xfrm>
          <a:off x="0" y="0"/>
          <a:ext cx="15240000" cy="51435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23</xdr:col>
      <xdr:colOff>0</xdr:colOff>
      <xdr:row>27</xdr:row>
      <xdr:rowOff>144780</xdr:rowOff>
    </xdr:to>
    <xdr:sp macro="" textlink="">
      <xdr:nvSpPr>
        <xdr:cNvPr id="27" name="Rectangle: Rounded Corners 26">
          <a:extLst>
            <a:ext uri="{FF2B5EF4-FFF2-40B4-BE49-F238E27FC236}">
              <a16:creationId xmlns:a16="http://schemas.microsoft.com/office/drawing/2014/main" id="{00000000-0008-0000-0000-00001B000000}"/>
            </a:ext>
          </a:extLst>
        </xdr:cNvPr>
        <xdr:cNvSpPr/>
      </xdr:nvSpPr>
      <xdr:spPr>
        <a:xfrm>
          <a:off x="0" y="0"/>
          <a:ext cx="14124609" cy="5213737"/>
        </a:xfrm>
        <a:prstGeom prst="roundRect">
          <a:avLst/>
        </a:prstGeom>
        <a:solidFill>
          <a:schemeClr val="accent6">
            <a:lumMod val="7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68580</xdr:colOff>
      <xdr:row>0</xdr:row>
      <xdr:rowOff>0</xdr:rowOff>
    </xdr:from>
    <xdr:to>
      <xdr:col>22</xdr:col>
      <xdr:colOff>745067</xdr:colOff>
      <xdr:row>27</xdr:row>
      <xdr:rowOff>144780</xdr:rowOff>
    </xdr:to>
    <xdr:sp macro="" textlink="">
      <xdr:nvSpPr>
        <xdr:cNvPr id="28" name="Rectangle: Rounded Corners 27">
          <a:extLst>
            <a:ext uri="{FF2B5EF4-FFF2-40B4-BE49-F238E27FC236}">
              <a16:creationId xmlns:a16="http://schemas.microsoft.com/office/drawing/2014/main" id="{00000000-0008-0000-0000-00001C000000}"/>
            </a:ext>
          </a:extLst>
        </xdr:cNvPr>
        <xdr:cNvSpPr/>
      </xdr:nvSpPr>
      <xdr:spPr>
        <a:xfrm>
          <a:off x="678180" y="0"/>
          <a:ext cx="14663420" cy="5173980"/>
        </a:xfrm>
        <a:custGeom>
          <a:avLst/>
          <a:gdLst>
            <a:gd name="connsiteX0" fmla="*/ 0 w 14663420"/>
            <a:gd name="connsiteY0" fmla="*/ 862347 h 5173980"/>
            <a:gd name="connsiteX1" fmla="*/ 862347 w 14663420"/>
            <a:gd name="connsiteY1" fmla="*/ 0 h 5173980"/>
            <a:gd name="connsiteX2" fmla="*/ 1191696 w 14663420"/>
            <a:gd name="connsiteY2" fmla="*/ 0 h 5173980"/>
            <a:gd name="connsiteX3" fmla="*/ 1650433 w 14663420"/>
            <a:gd name="connsiteY3" fmla="*/ 0 h 5173980"/>
            <a:gd name="connsiteX4" fmla="*/ 2109170 w 14663420"/>
            <a:gd name="connsiteY4" fmla="*/ 0 h 5173980"/>
            <a:gd name="connsiteX5" fmla="*/ 2567906 w 14663420"/>
            <a:gd name="connsiteY5" fmla="*/ 0 h 5173980"/>
            <a:gd name="connsiteX6" fmla="*/ 2767868 w 14663420"/>
            <a:gd name="connsiteY6" fmla="*/ 0 h 5173980"/>
            <a:gd name="connsiteX7" fmla="*/ 3226605 w 14663420"/>
            <a:gd name="connsiteY7" fmla="*/ 0 h 5173980"/>
            <a:gd name="connsiteX8" fmla="*/ 3555955 w 14663420"/>
            <a:gd name="connsiteY8" fmla="*/ 0 h 5173980"/>
            <a:gd name="connsiteX9" fmla="*/ 4144078 w 14663420"/>
            <a:gd name="connsiteY9" fmla="*/ 0 h 5173980"/>
            <a:gd name="connsiteX10" fmla="*/ 4344041 w 14663420"/>
            <a:gd name="connsiteY10" fmla="*/ 0 h 5173980"/>
            <a:gd name="connsiteX11" fmla="*/ 5061552 w 14663420"/>
            <a:gd name="connsiteY11" fmla="*/ 0 h 5173980"/>
            <a:gd name="connsiteX12" fmla="*/ 5649676 w 14663420"/>
            <a:gd name="connsiteY12" fmla="*/ 0 h 5173980"/>
            <a:gd name="connsiteX13" fmla="*/ 5849638 w 14663420"/>
            <a:gd name="connsiteY13" fmla="*/ 0 h 5173980"/>
            <a:gd name="connsiteX14" fmla="*/ 6308374 w 14663420"/>
            <a:gd name="connsiteY14" fmla="*/ 0 h 5173980"/>
            <a:gd name="connsiteX15" fmla="*/ 6637724 w 14663420"/>
            <a:gd name="connsiteY15" fmla="*/ 0 h 5173980"/>
            <a:gd name="connsiteX16" fmla="*/ 7225848 w 14663420"/>
            <a:gd name="connsiteY16" fmla="*/ 0 h 5173980"/>
            <a:gd name="connsiteX17" fmla="*/ 7425810 w 14663420"/>
            <a:gd name="connsiteY17" fmla="*/ 0 h 5173980"/>
            <a:gd name="connsiteX18" fmla="*/ 8272708 w 14663420"/>
            <a:gd name="connsiteY18" fmla="*/ 0 h 5173980"/>
            <a:gd name="connsiteX19" fmla="*/ 8990219 w 14663420"/>
            <a:gd name="connsiteY19" fmla="*/ 0 h 5173980"/>
            <a:gd name="connsiteX20" fmla="*/ 9578343 w 14663420"/>
            <a:gd name="connsiteY20" fmla="*/ 0 h 5173980"/>
            <a:gd name="connsiteX21" fmla="*/ 10037080 w 14663420"/>
            <a:gd name="connsiteY21" fmla="*/ 0 h 5173980"/>
            <a:gd name="connsiteX22" fmla="*/ 10366429 w 14663420"/>
            <a:gd name="connsiteY22" fmla="*/ 0 h 5173980"/>
            <a:gd name="connsiteX23" fmla="*/ 10954553 w 14663420"/>
            <a:gd name="connsiteY23" fmla="*/ 0 h 5173980"/>
            <a:gd name="connsiteX24" fmla="*/ 11801452 w 14663420"/>
            <a:gd name="connsiteY24" fmla="*/ 0 h 5173980"/>
            <a:gd name="connsiteX25" fmla="*/ 12260188 w 14663420"/>
            <a:gd name="connsiteY25" fmla="*/ 0 h 5173980"/>
            <a:gd name="connsiteX26" fmla="*/ 12718925 w 14663420"/>
            <a:gd name="connsiteY26" fmla="*/ 0 h 5173980"/>
            <a:gd name="connsiteX27" fmla="*/ 13801073 w 14663420"/>
            <a:gd name="connsiteY27" fmla="*/ 0 h 5173980"/>
            <a:gd name="connsiteX28" fmla="*/ 14663420 w 14663420"/>
            <a:gd name="connsiteY28" fmla="*/ 862347 h 5173980"/>
            <a:gd name="connsiteX29" fmla="*/ 14663420 w 14663420"/>
            <a:gd name="connsiteY29" fmla="*/ 1368242 h 5173980"/>
            <a:gd name="connsiteX30" fmla="*/ 14663420 w 14663420"/>
            <a:gd name="connsiteY30" fmla="*/ 2012109 h 5173980"/>
            <a:gd name="connsiteX31" fmla="*/ 14663420 w 14663420"/>
            <a:gd name="connsiteY31" fmla="*/ 2586990 h 5173980"/>
            <a:gd name="connsiteX32" fmla="*/ 14663420 w 14663420"/>
            <a:gd name="connsiteY32" fmla="*/ 3092885 h 5173980"/>
            <a:gd name="connsiteX33" fmla="*/ 14663420 w 14663420"/>
            <a:gd name="connsiteY33" fmla="*/ 3667766 h 5173980"/>
            <a:gd name="connsiteX34" fmla="*/ 14663420 w 14663420"/>
            <a:gd name="connsiteY34" fmla="*/ 4311633 h 5173980"/>
            <a:gd name="connsiteX35" fmla="*/ 13801073 w 14663420"/>
            <a:gd name="connsiteY35" fmla="*/ 5173980 h 5173980"/>
            <a:gd name="connsiteX36" fmla="*/ 13342336 w 14663420"/>
            <a:gd name="connsiteY36" fmla="*/ 5173980 h 5173980"/>
            <a:gd name="connsiteX37" fmla="*/ 13142374 w 14663420"/>
            <a:gd name="connsiteY37" fmla="*/ 5173980 h 5173980"/>
            <a:gd name="connsiteX38" fmla="*/ 12554250 w 14663420"/>
            <a:gd name="connsiteY38" fmla="*/ 5173980 h 5173980"/>
            <a:gd name="connsiteX39" fmla="*/ 12354288 w 14663420"/>
            <a:gd name="connsiteY39" fmla="*/ 5173980 h 5173980"/>
            <a:gd name="connsiteX40" fmla="*/ 12024939 w 14663420"/>
            <a:gd name="connsiteY40" fmla="*/ 5173980 h 5173980"/>
            <a:gd name="connsiteX41" fmla="*/ 11824977 w 14663420"/>
            <a:gd name="connsiteY41" fmla="*/ 5173980 h 5173980"/>
            <a:gd name="connsiteX42" fmla="*/ 11107465 w 14663420"/>
            <a:gd name="connsiteY42" fmla="*/ 5173980 h 5173980"/>
            <a:gd name="connsiteX43" fmla="*/ 10260567 w 14663420"/>
            <a:gd name="connsiteY43" fmla="*/ 5173980 h 5173980"/>
            <a:gd name="connsiteX44" fmla="*/ 9801830 w 14663420"/>
            <a:gd name="connsiteY44" fmla="*/ 5173980 h 5173980"/>
            <a:gd name="connsiteX45" fmla="*/ 9343094 w 14663420"/>
            <a:gd name="connsiteY45" fmla="*/ 5173980 h 5173980"/>
            <a:gd name="connsiteX46" fmla="*/ 9143132 w 14663420"/>
            <a:gd name="connsiteY46" fmla="*/ 5173980 h 5173980"/>
            <a:gd name="connsiteX47" fmla="*/ 8296233 w 14663420"/>
            <a:gd name="connsiteY47" fmla="*/ 5173980 h 5173980"/>
            <a:gd name="connsiteX48" fmla="*/ 7837497 w 14663420"/>
            <a:gd name="connsiteY48" fmla="*/ 5173980 h 5173980"/>
            <a:gd name="connsiteX49" fmla="*/ 7249373 w 14663420"/>
            <a:gd name="connsiteY49" fmla="*/ 5173980 h 5173980"/>
            <a:gd name="connsiteX50" fmla="*/ 6790636 w 14663420"/>
            <a:gd name="connsiteY50" fmla="*/ 5173980 h 5173980"/>
            <a:gd name="connsiteX51" fmla="*/ 5943738 w 14663420"/>
            <a:gd name="connsiteY51" fmla="*/ 5173980 h 5173980"/>
            <a:gd name="connsiteX52" fmla="*/ 5096839 w 14663420"/>
            <a:gd name="connsiteY52" fmla="*/ 5173980 h 5173980"/>
            <a:gd name="connsiteX53" fmla="*/ 4379328 w 14663420"/>
            <a:gd name="connsiteY53" fmla="*/ 5173980 h 5173980"/>
            <a:gd name="connsiteX54" fmla="*/ 3920591 w 14663420"/>
            <a:gd name="connsiteY54" fmla="*/ 5173980 h 5173980"/>
            <a:gd name="connsiteX55" fmla="*/ 3591242 w 14663420"/>
            <a:gd name="connsiteY55" fmla="*/ 5173980 h 5173980"/>
            <a:gd name="connsiteX56" fmla="*/ 3261893 w 14663420"/>
            <a:gd name="connsiteY56" fmla="*/ 5173980 h 5173980"/>
            <a:gd name="connsiteX57" fmla="*/ 3061930 w 14663420"/>
            <a:gd name="connsiteY57" fmla="*/ 5173980 h 5173980"/>
            <a:gd name="connsiteX58" fmla="*/ 2603194 w 14663420"/>
            <a:gd name="connsiteY58" fmla="*/ 5173980 h 5173980"/>
            <a:gd name="connsiteX59" fmla="*/ 2144457 w 14663420"/>
            <a:gd name="connsiteY59" fmla="*/ 5173980 h 5173980"/>
            <a:gd name="connsiteX60" fmla="*/ 1685720 w 14663420"/>
            <a:gd name="connsiteY60" fmla="*/ 5173980 h 5173980"/>
            <a:gd name="connsiteX61" fmla="*/ 862347 w 14663420"/>
            <a:gd name="connsiteY61" fmla="*/ 5173980 h 5173980"/>
            <a:gd name="connsiteX62" fmla="*/ 0 w 14663420"/>
            <a:gd name="connsiteY62" fmla="*/ 4311633 h 5173980"/>
            <a:gd name="connsiteX63" fmla="*/ 0 w 14663420"/>
            <a:gd name="connsiteY63" fmla="*/ 3702259 h 5173980"/>
            <a:gd name="connsiteX64" fmla="*/ 0 w 14663420"/>
            <a:gd name="connsiteY64" fmla="*/ 3127378 h 5173980"/>
            <a:gd name="connsiteX65" fmla="*/ 0 w 14663420"/>
            <a:gd name="connsiteY65" fmla="*/ 2552497 h 5173980"/>
            <a:gd name="connsiteX66" fmla="*/ 0 w 14663420"/>
            <a:gd name="connsiteY66" fmla="*/ 2046602 h 5173980"/>
            <a:gd name="connsiteX67" fmla="*/ 0 w 14663420"/>
            <a:gd name="connsiteY67" fmla="*/ 1540707 h 5173980"/>
            <a:gd name="connsiteX68" fmla="*/ 0 w 14663420"/>
            <a:gd name="connsiteY68" fmla="*/ 862347 h 51739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Lst>
          <a:rect l="l" t="t" r="r" b="b"/>
          <a:pathLst>
            <a:path w="14663420" h="5173980" fill="none" extrusionOk="0">
              <a:moveTo>
                <a:pt x="0" y="862347"/>
              </a:moveTo>
              <a:cubicBezTo>
                <a:pt x="-12574" y="378078"/>
                <a:pt x="333564" y="25534"/>
                <a:pt x="862347" y="0"/>
              </a:cubicBezTo>
              <a:cubicBezTo>
                <a:pt x="973143" y="-9897"/>
                <a:pt x="1080003" y="16331"/>
                <a:pt x="1191696" y="0"/>
              </a:cubicBezTo>
              <a:cubicBezTo>
                <a:pt x="1303389" y="-16331"/>
                <a:pt x="1431850" y="51182"/>
                <a:pt x="1650433" y="0"/>
              </a:cubicBezTo>
              <a:cubicBezTo>
                <a:pt x="1869016" y="-51182"/>
                <a:pt x="1934080" y="24879"/>
                <a:pt x="2109170" y="0"/>
              </a:cubicBezTo>
              <a:cubicBezTo>
                <a:pt x="2284260" y="-24879"/>
                <a:pt x="2372226" y="2163"/>
                <a:pt x="2567906" y="0"/>
              </a:cubicBezTo>
              <a:cubicBezTo>
                <a:pt x="2763586" y="-2163"/>
                <a:pt x="2680443" y="17608"/>
                <a:pt x="2767868" y="0"/>
              </a:cubicBezTo>
              <a:cubicBezTo>
                <a:pt x="2855293" y="-17608"/>
                <a:pt x="3077451" y="22909"/>
                <a:pt x="3226605" y="0"/>
              </a:cubicBezTo>
              <a:cubicBezTo>
                <a:pt x="3375759" y="-22909"/>
                <a:pt x="3410258" y="176"/>
                <a:pt x="3555955" y="0"/>
              </a:cubicBezTo>
              <a:cubicBezTo>
                <a:pt x="3701652" y="-176"/>
                <a:pt x="3924621" y="25867"/>
                <a:pt x="4144078" y="0"/>
              </a:cubicBezTo>
              <a:cubicBezTo>
                <a:pt x="4363535" y="-25867"/>
                <a:pt x="4267158" y="3126"/>
                <a:pt x="4344041" y="0"/>
              </a:cubicBezTo>
              <a:cubicBezTo>
                <a:pt x="4420924" y="-3126"/>
                <a:pt x="4780922" y="57850"/>
                <a:pt x="5061552" y="0"/>
              </a:cubicBezTo>
              <a:cubicBezTo>
                <a:pt x="5342182" y="-57850"/>
                <a:pt x="5496488" y="53990"/>
                <a:pt x="5649676" y="0"/>
              </a:cubicBezTo>
              <a:cubicBezTo>
                <a:pt x="5802864" y="-53990"/>
                <a:pt x="5791977" y="2222"/>
                <a:pt x="5849638" y="0"/>
              </a:cubicBezTo>
              <a:cubicBezTo>
                <a:pt x="5907299" y="-2222"/>
                <a:pt x="6082967" y="37440"/>
                <a:pt x="6308374" y="0"/>
              </a:cubicBezTo>
              <a:cubicBezTo>
                <a:pt x="6533781" y="-37440"/>
                <a:pt x="6569898" y="18875"/>
                <a:pt x="6637724" y="0"/>
              </a:cubicBezTo>
              <a:cubicBezTo>
                <a:pt x="6705550" y="-18875"/>
                <a:pt x="7030287" y="46188"/>
                <a:pt x="7225848" y="0"/>
              </a:cubicBezTo>
              <a:cubicBezTo>
                <a:pt x="7421409" y="-46188"/>
                <a:pt x="7335619" y="192"/>
                <a:pt x="7425810" y="0"/>
              </a:cubicBezTo>
              <a:cubicBezTo>
                <a:pt x="7516001" y="-192"/>
                <a:pt x="8000571" y="88965"/>
                <a:pt x="8272708" y="0"/>
              </a:cubicBezTo>
              <a:cubicBezTo>
                <a:pt x="8544845" y="-88965"/>
                <a:pt x="8820184" y="41050"/>
                <a:pt x="8990219" y="0"/>
              </a:cubicBezTo>
              <a:cubicBezTo>
                <a:pt x="9160254" y="-41050"/>
                <a:pt x="9409875" y="33515"/>
                <a:pt x="9578343" y="0"/>
              </a:cubicBezTo>
              <a:cubicBezTo>
                <a:pt x="9746811" y="-33515"/>
                <a:pt x="9908304" y="31303"/>
                <a:pt x="10037080" y="0"/>
              </a:cubicBezTo>
              <a:cubicBezTo>
                <a:pt x="10165856" y="-31303"/>
                <a:pt x="10253261" y="6388"/>
                <a:pt x="10366429" y="0"/>
              </a:cubicBezTo>
              <a:cubicBezTo>
                <a:pt x="10479597" y="-6388"/>
                <a:pt x="10778277" y="36505"/>
                <a:pt x="10954553" y="0"/>
              </a:cubicBezTo>
              <a:cubicBezTo>
                <a:pt x="11130829" y="-36505"/>
                <a:pt x="11436908" y="89449"/>
                <a:pt x="11801452" y="0"/>
              </a:cubicBezTo>
              <a:cubicBezTo>
                <a:pt x="12165996" y="-89449"/>
                <a:pt x="12064765" y="10447"/>
                <a:pt x="12260188" y="0"/>
              </a:cubicBezTo>
              <a:cubicBezTo>
                <a:pt x="12455611" y="-10447"/>
                <a:pt x="12511790" y="42915"/>
                <a:pt x="12718925" y="0"/>
              </a:cubicBezTo>
              <a:cubicBezTo>
                <a:pt x="12926060" y="-42915"/>
                <a:pt x="13276492" y="76930"/>
                <a:pt x="13801073" y="0"/>
              </a:cubicBezTo>
              <a:cubicBezTo>
                <a:pt x="14394706" y="50924"/>
                <a:pt x="14640891" y="346914"/>
                <a:pt x="14663420" y="862347"/>
              </a:cubicBezTo>
              <a:cubicBezTo>
                <a:pt x="14665019" y="1086346"/>
                <a:pt x="14645363" y="1143014"/>
                <a:pt x="14663420" y="1368242"/>
              </a:cubicBezTo>
              <a:cubicBezTo>
                <a:pt x="14681477" y="1593470"/>
                <a:pt x="14646922" y="1869039"/>
                <a:pt x="14663420" y="2012109"/>
              </a:cubicBezTo>
              <a:cubicBezTo>
                <a:pt x="14679918" y="2155179"/>
                <a:pt x="14625398" y="2412600"/>
                <a:pt x="14663420" y="2586990"/>
              </a:cubicBezTo>
              <a:cubicBezTo>
                <a:pt x="14701442" y="2761380"/>
                <a:pt x="14644390" y="2979483"/>
                <a:pt x="14663420" y="3092885"/>
              </a:cubicBezTo>
              <a:cubicBezTo>
                <a:pt x="14682450" y="3206287"/>
                <a:pt x="14609531" y="3438578"/>
                <a:pt x="14663420" y="3667766"/>
              </a:cubicBezTo>
              <a:cubicBezTo>
                <a:pt x="14717309" y="3896954"/>
                <a:pt x="14603839" y="4176262"/>
                <a:pt x="14663420" y="4311633"/>
              </a:cubicBezTo>
              <a:cubicBezTo>
                <a:pt x="14556041" y="4711998"/>
                <a:pt x="14288225" y="5226606"/>
                <a:pt x="13801073" y="5173980"/>
              </a:cubicBezTo>
              <a:cubicBezTo>
                <a:pt x="13653226" y="5179823"/>
                <a:pt x="13437865" y="5161379"/>
                <a:pt x="13342336" y="5173980"/>
              </a:cubicBezTo>
              <a:cubicBezTo>
                <a:pt x="13246807" y="5186581"/>
                <a:pt x="13211638" y="5162180"/>
                <a:pt x="13142374" y="5173980"/>
              </a:cubicBezTo>
              <a:cubicBezTo>
                <a:pt x="13073110" y="5185780"/>
                <a:pt x="12709048" y="5124366"/>
                <a:pt x="12554250" y="5173980"/>
              </a:cubicBezTo>
              <a:cubicBezTo>
                <a:pt x="12399452" y="5223594"/>
                <a:pt x="12424648" y="5156845"/>
                <a:pt x="12354288" y="5173980"/>
              </a:cubicBezTo>
              <a:cubicBezTo>
                <a:pt x="12283928" y="5191115"/>
                <a:pt x="12187012" y="5150441"/>
                <a:pt x="12024939" y="5173980"/>
              </a:cubicBezTo>
              <a:cubicBezTo>
                <a:pt x="11862866" y="5197519"/>
                <a:pt x="11918821" y="5173063"/>
                <a:pt x="11824977" y="5173980"/>
              </a:cubicBezTo>
              <a:cubicBezTo>
                <a:pt x="11731133" y="5174897"/>
                <a:pt x="11321661" y="5170455"/>
                <a:pt x="11107465" y="5173980"/>
              </a:cubicBezTo>
              <a:cubicBezTo>
                <a:pt x="10893269" y="5177505"/>
                <a:pt x="10488846" y="5110654"/>
                <a:pt x="10260567" y="5173980"/>
              </a:cubicBezTo>
              <a:cubicBezTo>
                <a:pt x="10032288" y="5237306"/>
                <a:pt x="10028515" y="5149196"/>
                <a:pt x="9801830" y="5173980"/>
              </a:cubicBezTo>
              <a:cubicBezTo>
                <a:pt x="9575145" y="5198764"/>
                <a:pt x="9567775" y="5159063"/>
                <a:pt x="9343094" y="5173980"/>
              </a:cubicBezTo>
              <a:cubicBezTo>
                <a:pt x="9118413" y="5188897"/>
                <a:pt x="9241406" y="5170199"/>
                <a:pt x="9143132" y="5173980"/>
              </a:cubicBezTo>
              <a:cubicBezTo>
                <a:pt x="9044858" y="5177761"/>
                <a:pt x="8615921" y="5165735"/>
                <a:pt x="8296233" y="5173980"/>
              </a:cubicBezTo>
              <a:cubicBezTo>
                <a:pt x="7976545" y="5182225"/>
                <a:pt x="8030960" y="5164894"/>
                <a:pt x="7837497" y="5173980"/>
              </a:cubicBezTo>
              <a:cubicBezTo>
                <a:pt x="7644034" y="5183066"/>
                <a:pt x="7389578" y="5155309"/>
                <a:pt x="7249373" y="5173980"/>
              </a:cubicBezTo>
              <a:cubicBezTo>
                <a:pt x="7109168" y="5192651"/>
                <a:pt x="6977590" y="5123050"/>
                <a:pt x="6790636" y="5173980"/>
              </a:cubicBezTo>
              <a:cubicBezTo>
                <a:pt x="6603682" y="5224910"/>
                <a:pt x="6148364" y="5162486"/>
                <a:pt x="5943738" y="5173980"/>
              </a:cubicBezTo>
              <a:cubicBezTo>
                <a:pt x="5739112" y="5185474"/>
                <a:pt x="5464680" y="5120295"/>
                <a:pt x="5096839" y="5173980"/>
              </a:cubicBezTo>
              <a:cubicBezTo>
                <a:pt x="4728998" y="5227665"/>
                <a:pt x="4715308" y="5099765"/>
                <a:pt x="4379328" y="5173980"/>
              </a:cubicBezTo>
              <a:cubicBezTo>
                <a:pt x="4043348" y="5248195"/>
                <a:pt x="4082730" y="5146768"/>
                <a:pt x="3920591" y="5173980"/>
              </a:cubicBezTo>
              <a:cubicBezTo>
                <a:pt x="3758452" y="5201192"/>
                <a:pt x="3672058" y="5153036"/>
                <a:pt x="3591242" y="5173980"/>
              </a:cubicBezTo>
              <a:cubicBezTo>
                <a:pt x="3510426" y="5194924"/>
                <a:pt x="3412376" y="5157441"/>
                <a:pt x="3261893" y="5173980"/>
              </a:cubicBezTo>
              <a:cubicBezTo>
                <a:pt x="3111410" y="5190519"/>
                <a:pt x="3148650" y="5156907"/>
                <a:pt x="3061930" y="5173980"/>
              </a:cubicBezTo>
              <a:cubicBezTo>
                <a:pt x="2975210" y="5191053"/>
                <a:pt x="2823225" y="5144044"/>
                <a:pt x="2603194" y="5173980"/>
              </a:cubicBezTo>
              <a:cubicBezTo>
                <a:pt x="2383163" y="5203916"/>
                <a:pt x="2330353" y="5144525"/>
                <a:pt x="2144457" y="5173980"/>
              </a:cubicBezTo>
              <a:cubicBezTo>
                <a:pt x="1958561" y="5203435"/>
                <a:pt x="1882938" y="5148559"/>
                <a:pt x="1685720" y="5173980"/>
              </a:cubicBezTo>
              <a:cubicBezTo>
                <a:pt x="1488502" y="5199401"/>
                <a:pt x="1086227" y="5141181"/>
                <a:pt x="862347" y="5173980"/>
              </a:cubicBezTo>
              <a:cubicBezTo>
                <a:pt x="506875" y="5169271"/>
                <a:pt x="-32070" y="4866952"/>
                <a:pt x="0" y="4311633"/>
              </a:cubicBezTo>
              <a:cubicBezTo>
                <a:pt x="-69248" y="4167428"/>
                <a:pt x="25906" y="3993323"/>
                <a:pt x="0" y="3702259"/>
              </a:cubicBezTo>
              <a:cubicBezTo>
                <a:pt x="-25906" y="3411195"/>
                <a:pt x="68272" y="3328790"/>
                <a:pt x="0" y="3127378"/>
              </a:cubicBezTo>
              <a:cubicBezTo>
                <a:pt x="-68272" y="2925966"/>
                <a:pt x="14734" y="2830345"/>
                <a:pt x="0" y="2552497"/>
              </a:cubicBezTo>
              <a:cubicBezTo>
                <a:pt x="-14734" y="2274649"/>
                <a:pt x="45056" y="2268445"/>
                <a:pt x="0" y="2046602"/>
              </a:cubicBezTo>
              <a:cubicBezTo>
                <a:pt x="-45056" y="1824760"/>
                <a:pt x="5145" y="1792241"/>
                <a:pt x="0" y="1540707"/>
              </a:cubicBezTo>
              <a:cubicBezTo>
                <a:pt x="-5145" y="1289173"/>
                <a:pt x="75046" y="1013254"/>
                <a:pt x="0" y="862347"/>
              </a:cubicBezTo>
              <a:close/>
            </a:path>
            <a:path w="14663420" h="5173980" stroke="0" extrusionOk="0">
              <a:moveTo>
                <a:pt x="0" y="862347"/>
              </a:moveTo>
              <a:cubicBezTo>
                <a:pt x="42526" y="470126"/>
                <a:pt x="314950" y="-36317"/>
                <a:pt x="862347" y="0"/>
              </a:cubicBezTo>
              <a:cubicBezTo>
                <a:pt x="1020774" y="-30761"/>
                <a:pt x="1292293" y="35162"/>
                <a:pt x="1450471" y="0"/>
              </a:cubicBezTo>
              <a:cubicBezTo>
                <a:pt x="1608649" y="-35162"/>
                <a:pt x="2011013" y="51710"/>
                <a:pt x="2297369" y="0"/>
              </a:cubicBezTo>
              <a:cubicBezTo>
                <a:pt x="2583725" y="-51710"/>
                <a:pt x="2866812" y="15945"/>
                <a:pt x="3014881" y="0"/>
              </a:cubicBezTo>
              <a:cubicBezTo>
                <a:pt x="3162950" y="-15945"/>
                <a:pt x="3170002" y="15215"/>
                <a:pt x="3214843" y="0"/>
              </a:cubicBezTo>
              <a:cubicBezTo>
                <a:pt x="3259684" y="-15215"/>
                <a:pt x="3324930" y="2633"/>
                <a:pt x="3414805" y="0"/>
              </a:cubicBezTo>
              <a:cubicBezTo>
                <a:pt x="3504680" y="-2633"/>
                <a:pt x="3753470" y="52055"/>
                <a:pt x="4002929" y="0"/>
              </a:cubicBezTo>
              <a:cubicBezTo>
                <a:pt x="4252388" y="-52055"/>
                <a:pt x="4429398" y="23942"/>
                <a:pt x="4720440" y="0"/>
              </a:cubicBezTo>
              <a:cubicBezTo>
                <a:pt x="5011482" y="-23942"/>
                <a:pt x="5118399" y="27489"/>
                <a:pt x="5437951" y="0"/>
              </a:cubicBezTo>
              <a:cubicBezTo>
                <a:pt x="5757503" y="-27489"/>
                <a:pt x="5858973" y="55707"/>
                <a:pt x="6026075" y="0"/>
              </a:cubicBezTo>
              <a:cubicBezTo>
                <a:pt x="6193177" y="-55707"/>
                <a:pt x="6278219" y="37159"/>
                <a:pt x="6355424" y="0"/>
              </a:cubicBezTo>
              <a:cubicBezTo>
                <a:pt x="6432629" y="-37159"/>
                <a:pt x="6900495" y="27122"/>
                <a:pt x="7202323" y="0"/>
              </a:cubicBezTo>
              <a:cubicBezTo>
                <a:pt x="7504151" y="-27122"/>
                <a:pt x="7358941" y="7395"/>
                <a:pt x="7402285" y="0"/>
              </a:cubicBezTo>
              <a:cubicBezTo>
                <a:pt x="7445629" y="-7395"/>
                <a:pt x="7714698" y="70071"/>
                <a:pt x="7990409" y="0"/>
              </a:cubicBezTo>
              <a:cubicBezTo>
                <a:pt x="8266120" y="-70071"/>
                <a:pt x="8480558" y="78148"/>
                <a:pt x="8837307" y="0"/>
              </a:cubicBezTo>
              <a:cubicBezTo>
                <a:pt x="9194056" y="-78148"/>
                <a:pt x="8965352" y="8816"/>
                <a:pt x="9037269" y="0"/>
              </a:cubicBezTo>
              <a:cubicBezTo>
                <a:pt x="9109186" y="-8816"/>
                <a:pt x="9383564" y="51453"/>
                <a:pt x="9496006" y="0"/>
              </a:cubicBezTo>
              <a:cubicBezTo>
                <a:pt x="9608448" y="-51453"/>
                <a:pt x="9599387" y="22375"/>
                <a:pt x="9695968" y="0"/>
              </a:cubicBezTo>
              <a:cubicBezTo>
                <a:pt x="9792549" y="-22375"/>
                <a:pt x="9874960" y="2132"/>
                <a:pt x="10025318" y="0"/>
              </a:cubicBezTo>
              <a:cubicBezTo>
                <a:pt x="10175676" y="-2132"/>
                <a:pt x="10250424" y="39371"/>
                <a:pt x="10354667" y="0"/>
              </a:cubicBezTo>
              <a:cubicBezTo>
                <a:pt x="10458910" y="-39371"/>
                <a:pt x="10659426" y="2274"/>
                <a:pt x="10813404" y="0"/>
              </a:cubicBezTo>
              <a:cubicBezTo>
                <a:pt x="10967382" y="-2274"/>
                <a:pt x="11131111" y="10469"/>
                <a:pt x="11272140" y="0"/>
              </a:cubicBezTo>
              <a:cubicBezTo>
                <a:pt x="11413169" y="-10469"/>
                <a:pt x="11595338" y="23720"/>
                <a:pt x="11730877" y="0"/>
              </a:cubicBezTo>
              <a:cubicBezTo>
                <a:pt x="11866416" y="-23720"/>
                <a:pt x="12129559" y="2288"/>
                <a:pt x="12319001" y="0"/>
              </a:cubicBezTo>
              <a:cubicBezTo>
                <a:pt x="12508443" y="-2288"/>
                <a:pt x="12839935" y="73346"/>
                <a:pt x="13036512" y="0"/>
              </a:cubicBezTo>
              <a:cubicBezTo>
                <a:pt x="13233089" y="-73346"/>
                <a:pt x="13457686" y="12576"/>
                <a:pt x="13801073" y="0"/>
              </a:cubicBezTo>
              <a:cubicBezTo>
                <a:pt x="14206865" y="-45280"/>
                <a:pt x="14588507" y="402591"/>
                <a:pt x="14663420" y="862347"/>
              </a:cubicBezTo>
              <a:cubicBezTo>
                <a:pt x="14675347" y="1055450"/>
                <a:pt x="14630340" y="1221040"/>
                <a:pt x="14663420" y="1402735"/>
              </a:cubicBezTo>
              <a:cubicBezTo>
                <a:pt x="14696500" y="1584430"/>
                <a:pt x="14614420" y="1767109"/>
                <a:pt x="14663420" y="2012109"/>
              </a:cubicBezTo>
              <a:cubicBezTo>
                <a:pt x="14712420" y="2257109"/>
                <a:pt x="14641530" y="2485031"/>
                <a:pt x="14663420" y="2621483"/>
              </a:cubicBezTo>
              <a:cubicBezTo>
                <a:pt x="14685310" y="2757935"/>
                <a:pt x="14636909" y="3049511"/>
                <a:pt x="14663420" y="3196364"/>
              </a:cubicBezTo>
              <a:cubicBezTo>
                <a:pt x="14689931" y="3343217"/>
                <a:pt x="14639493" y="3436709"/>
                <a:pt x="14663420" y="3667766"/>
              </a:cubicBezTo>
              <a:cubicBezTo>
                <a:pt x="14687347" y="3898823"/>
                <a:pt x="14592871" y="4055429"/>
                <a:pt x="14663420" y="4311633"/>
              </a:cubicBezTo>
              <a:cubicBezTo>
                <a:pt x="14762824" y="4756564"/>
                <a:pt x="14355774" y="5110245"/>
                <a:pt x="13801073" y="5173980"/>
              </a:cubicBezTo>
              <a:cubicBezTo>
                <a:pt x="13676571" y="5205359"/>
                <a:pt x="13611707" y="5136654"/>
                <a:pt x="13471724" y="5173980"/>
              </a:cubicBezTo>
              <a:cubicBezTo>
                <a:pt x="13331741" y="5211306"/>
                <a:pt x="13321308" y="5156587"/>
                <a:pt x="13271761" y="5173980"/>
              </a:cubicBezTo>
              <a:cubicBezTo>
                <a:pt x="13222214" y="5191373"/>
                <a:pt x="12685957" y="5114098"/>
                <a:pt x="12424863" y="5173980"/>
              </a:cubicBezTo>
              <a:cubicBezTo>
                <a:pt x="12163769" y="5233862"/>
                <a:pt x="12188036" y="5173962"/>
                <a:pt x="12095514" y="5173980"/>
              </a:cubicBezTo>
              <a:cubicBezTo>
                <a:pt x="12002992" y="5173998"/>
                <a:pt x="11610540" y="5117737"/>
                <a:pt x="11248615" y="5173980"/>
              </a:cubicBezTo>
              <a:cubicBezTo>
                <a:pt x="10886690" y="5230223"/>
                <a:pt x="10932043" y="5124086"/>
                <a:pt x="10789879" y="5173980"/>
              </a:cubicBezTo>
              <a:cubicBezTo>
                <a:pt x="10647715" y="5223874"/>
                <a:pt x="10506108" y="5142661"/>
                <a:pt x="10331142" y="5173980"/>
              </a:cubicBezTo>
              <a:cubicBezTo>
                <a:pt x="10156176" y="5205299"/>
                <a:pt x="9806674" y="5131920"/>
                <a:pt x="9613631" y="5173980"/>
              </a:cubicBezTo>
              <a:cubicBezTo>
                <a:pt x="9420588" y="5216040"/>
                <a:pt x="9512133" y="5159153"/>
                <a:pt x="9413669" y="5173980"/>
              </a:cubicBezTo>
              <a:cubicBezTo>
                <a:pt x="9315205" y="5188807"/>
                <a:pt x="9180755" y="5140634"/>
                <a:pt x="8954932" y="5173980"/>
              </a:cubicBezTo>
              <a:cubicBezTo>
                <a:pt x="8729109" y="5207326"/>
                <a:pt x="8698738" y="5163307"/>
                <a:pt x="8496195" y="5173980"/>
              </a:cubicBezTo>
              <a:cubicBezTo>
                <a:pt x="8293652" y="5184653"/>
                <a:pt x="8236278" y="5151484"/>
                <a:pt x="8166846" y="5173980"/>
              </a:cubicBezTo>
              <a:cubicBezTo>
                <a:pt x="8097414" y="5196476"/>
                <a:pt x="7703448" y="5124184"/>
                <a:pt x="7449335" y="5173980"/>
              </a:cubicBezTo>
              <a:cubicBezTo>
                <a:pt x="7195222" y="5223776"/>
                <a:pt x="7174449" y="5144293"/>
                <a:pt x="6990598" y="5173980"/>
              </a:cubicBezTo>
              <a:cubicBezTo>
                <a:pt x="6806747" y="5203667"/>
                <a:pt x="6474659" y="5096081"/>
                <a:pt x="6273087" y="5173980"/>
              </a:cubicBezTo>
              <a:cubicBezTo>
                <a:pt x="6071515" y="5251879"/>
                <a:pt x="6159082" y="5171824"/>
                <a:pt x="6073125" y="5173980"/>
              </a:cubicBezTo>
              <a:cubicBezTo>
                <a:pt x="5987168" y="5176136"/>
                <a:pt x="5773748" y="5147683"/>
                <a:pt x="5614388" y="5173980"/>
              </a:cubicBezTo>
              <a:cubicBezTo>
                <a:pt x="5455028" y="5200277"/>
                <a:pt x="5166562" y="5118457"/>
                <a:pt x="4896877" y="5173980"/>
              </a:cubicBezTo>
              <a:cubicBezTo>
                <a:pt x="4627192" y="5229503"/>
                <a:pt x="4756607" y="5164461"/>
                <a:pt x="4696915" y="5173980"/>
              </a:cubicBezTo>
              <a:cubicBezTo>
                <a:pt x="4637223" y="5183499"/>
                <a:pt x="4396419" y="5118052"/>
                <a:pt x="4108791" y="5173980"/>
              </a:cubicBezTo>
              <a:cubicBezTo>
                <a:pt x="3821163" y="5229908"/>
                <a:pt x="3988693" y="5156480"/>
                <a:pt x="3908829" y="5173980"/>
              </a:cubicBezTo>
              <a:cubicBezTo>
                <a:pt x="3828965" y="5191480"/>
                <a:pt x="3525305" y="5130570"/>
                <a:pt x="3191318" y="5173980"/>
              </a:cubicBezTo>
              <a:cubicBezTo>
                <a:pt x="2857331" y="5217390"/>
                <a:pt x="2877649" y="5156978"/>
                <a:pt x="2732581" y="5173980"/>
              </a:cubicBezTo>
              <a:cubicBezTo>
                <a:pt x="2587513" y="5190982"/>
                <a:pt x="2212809" y="5078576"/>
                <a:pt x="1885683" y="5173980"/>
              </a:cubicBezTo>
              <a:cubicBezTo>
                <a:pt x="1558557" y="5269384"/>
                <a:pt x="1550009" y="5171242"/>
                <a:pt x="1426946" y="5173980"/>
              </a:cubicBezTo>
              <a:cubicBezTo>
                <a:pt x="1303883" y="5176718"/>
                <a:pt x="1114813" y="5156698"/>
                <a:pt x="862347" y="5173980"/>
              </a:cubicBezTo>
              <a:cubicBezTo>
                <a:pt x="344216" y="5169687"/>
                <a:pt x="-34055" y="4921476"/>
                <a:pt x="0" y="4311633"/>
              </a:cubicBezTo>
              <a:cubicBezTo>
                <a:pt x="-34526" y="4192457"/>
                <a:pt x="23072" y="3945282"/>
                <a:pt x="0" y="3840231"/>
              </a:cubicBezTo>
              <a:cubicBezTo>
                <a:pt x="-23072" y="3735180"/>
                <a:pt x="73530" y="3338025"/>
                <a:pt x="0" y="3196364"/>
              </a:cubicBezTo>
              <a:cubicBezTo>
                <a:pt x="-73530" y="3054703"/>
                <a:pt x="12020" y="2852243"/>
                <a:pt x="0" y="2724961"/>
              </a:cubicBezTo>
              <a:cubicBezTo>
                <a:pt x="-12020" y="2597679"/>
                <a:pt x="24377" y="2397323"/>
                <a:pt x="0" y="2253559"/>
              </a:cubicBezTo>
              <a:cubicBezTo>
                <a:pt x="-24377" y="2109795"/>
                <a:pt x="2961" y="1998346"/>
                <a:pt x="0" y="1782157"/>
              </a:cubicBezTo>
              <a:cubicBezTo>
                <a:pt x="-2961" y="1565968"/>
                <a:pt x="46185" y="1162938"/>
                <a:pt x="0" y="862347"/>
              </a:cubicBezTo>
              <a:close/>
            </a:path>
          </a:pathLst>
        </a:custGeom>
        <a:solidFill>
          <a:schemeClr val="accent6">
            <a:lumMod val="40000"/>
            <a:lumOff val="60000"/>
          </a:schemeClr>
        </a:solidFill>
        <a:ln>
          <a:noFill/>
          <a:extLst>
            <a:ext uri="{C807C97D-BFC1-408E-A445-0C87EB9F89A2}">
              <ask:lineSketchStyleProps xmlns:ask="http://schemas.microsoft.com/office/drawing/2018/sketchyshapes" sd="1126221530">
                <a:prstGeom prst="roundRect">
                  <a:avLst/>
                </a:prstGeom>
                <ask:type>
                  <ask:lineSketchScribble/>
                </ask:type>
              </ask:lineSketchStyleProps>
            </a:ext>
          </a:extLst>
        </a:ln>
        <a:effectLst>
          <a:softEdge rad="6350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0</xdr:colOff>
      <xdr:row>0</xdr:row>
      <xdr:rowOff>30480</xdr:rowOff>
    </xdr:from>
    <xdr:to>
      <xdr:col>22</xdr:col>
      <xdr:colOff>0</xdr:colOff>
      <xdr:row>4</xdr:row>
      <xdr:rowOff>0</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609600" y="30480"/>
          <a:ext cx="12801600" cy="701040"/>
        </a:xfrm>
        <a:prstGeom prst="rect">
          <a:avLst/>
        </a:prstGeom>
        <a:solidFill>
          <a:schemeClr val="tx1">
            <a:lumMod val="50000"/>
            <a:lumOff val="50000"/>
          </a:schemeClr>
        </a:solidFill>
        <a:ln w="9525" cmpd="sng">
          <a:noFill/>
        </a:ln>
        <a:effectLst>
          <a:softEdge rad="6350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600" b="1">
              <a:solidFill>
                <a:schemeClr val="bg1"/>
              </a:solidFill>
              <a:latin typeface="Californian FB" panose="0207040306080B030204" pitchFamily="18" charset="0"/>
            </a:rPr>
            <a:t>Best Place to Live</a:t>
          </a:r>
        </a:p>
      </xdr:txBody>
    </xdr:sp>
    <xdr:clientData/>
  </xdr:twoCellAnchor>
  <xdr:twoCellAnchor editAs="oneCell">
    <xdr:from>
      <xdr:col>2</xdr:col>
      <xdr:colOff>45420</xdr:colOff>
      <xdr:row>3</xdr:row>
      <xdr:rowOff>104589</xdr:rowOff>
    </xdr:from>
    <xdr:to>
      <xdr:col>19</xdr:col>
      <xdr:colOff>104587</xdr:colOff>
      <xdr:row>8</xdr:row>
      <xdr:rowOff>149411</xdr:rowOff>
    </xdr:to>
    <mc:AlternateContent xmlns:mc="http://schemas.openxmlformats.org/markup-compatibility/2006" xmlns:a14="http://schemas.microsoft.com/office/drawing/2010/main">
      <mc:Choice Requires="a14">
        <xdr:graphicFrame macro="">
          <xdr:nvGraphicFramePr>
            <xdr:cNvPr id="7" name="City">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264620" y="627103"/>
              <a:ext cx="11598024" cy="9156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28</xdr:col>
      <xdr:colOff>7620</xdr:colOff>
      <xdr:row>98</xdr:row>
      <xdr:rowOff>160020</xdr:rowOff>
    </xdr:from>
    <xdr:to>
      <xdr:col>29</xdr:col>
      <xdr:colOff>0</xdr:colOff>
      <xdr:row>100</xdr:row>
      <xdr:rowOff>0</xdr:rowOff>
    </xdr:to>
    <xdr:graphicFrame macro="">
      <xdr:nvGraphicFramePr>
        <xdr:cNvPr id="9" name="Overal_Temperature">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100</xdr:row>
      <xdr:rowOff>0</xdr:rowOff>
    </xdr:from>
    <xdr:to>
      <xdr:col>28</xdr:col>
      <xdr:colOff>4640580</xdr:colOff>
      <xdr:row>101</xdr:row>
      <xdr:rowOff>0</xdr:rowOff>
    </xdr:to>
    <xdr:graphicFrame macro="">
      <xdr:nvGraphicFramePr>
        <xdr:cNvPr id="12" name="Overal_Restaurants">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0</xdr:colOff>
      <xdr:row>101</xdr:row>
      <xdr:rowOff>0</xdr:rowOff>
    </xdr:from>
    <xdr:to>
      <xdr:col>29</xdr:col>
      <xdr:colOff>0</xdr:colOff>
      <xdr:row>102</xdr:row>
      <xdr:rowOff>0</xdr:rowOff>
    </xdr:to>
    <xdr:graphicFrame macro="">
      <xdr:nvGraphicFramePr>
        <xdr:cNvPr id="13" name="Overall_Hospitals">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0</xdr:colOff>
      <xdr:row>100</xdr:row>
      <xdr:rowOff>0</xdr:rowOff>
    </xdr:from>
    <xdr:to>
      <xdr:col>30</xdr:col>
      <xdr:colOff>0</xdr:colOff>
      <xdr:row>101</xdr:row>
      <xdr:rowOff>0</xdr:rowOff>
    </xdr:to>
    <xdr:graphicFrame macro="">
      <xdr:nvGraphicFramePr>
        <xdr:cNvPr id="14" name="Cusine_Type">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0</xdr:colOff>
      <xdr:row>101</xdr:row>
      <xdr:rowOff>0</xdr:rowOff>
    </xdr:from>
    <xdr:to>
      <xdr:col>30</xdr:col>
      <xdr:colOff>0</xdr:colOff>
      <xdr:row>102</xdr:row>
      <xdr:rowOff>0</xdr:rowOff>
    </xdr:to>
    <xdr:graphicFrame macro="">
      <xdr:nvGraphicFramePr>
        <xdr:cNvPr id="16" name="Hospital_Type">
          <a:extLst>
            <a:ext uri="{FF2B5EF4-FFF2-40B4-BE49-F238E27FC236}">
              <a16:creationId xmlns:a16="http://schemas.microsoft.com/office/drawing/2014/main" id="{00000000-0008-0000-0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29</xdr:col>
      <xdr:colOff>0</xdr:colOff>
      <xdr:row>99</xdr:row>
      <xdr:rowOff>0</xdr:rowOff>
    </xdr:from>
    <xdr:to>
      <xdr:col>30</xdr:col>
      <xdr:colOff>0</xdr:colOff>
      <xdr:row>100</xdr:row>
      <xdr:rowOff>7620</xdr:rowOff>
    </xdr:to>
    <xdr:graphicFrame macro="">
      <xdr:nvGraphicFramePr>
        <xdr:cNvPr id="3" name="Month_Temp">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6</xdr:col>
          <xdr:colOff>0</xdr:colOff>
          <xdr:row>9</xdr:row>
          <xdr:rowOff>91440</xdr:rowOff>
        </xdr:from>
        <xdr:to>
          <xdr:col>16</xdr:col>
          <xdr:colOff>0</xdr:colOff>
          <xdr:row>27</xdr:row>
          <xdr:rowOff>0</xdr:rowOff>
        </xdr:to>
        <xdr:pic>
          <xdr:nvPicPr>
            <xdr:cNvPr id="19" name="Picture 18">
              <a:extLst>
                <a:ext uri="{FF2B5EF4-FFF2-40B4-BE49-F238E27FC236}">
                  <a16:creationId xmlns:a16="http://schemas.microsoft.com/office/drawing/2014/main" id="{00000000-0008-0000-0000-000013000000}"/>
                </a:ext>
              </a:extLst>
            </xdr:cNvPr>
            <xdr:cNvPicPr>
              <a:picLocks noChangeAspect="1" noChangeArrowheads="1"/>
              <a:extLst>
                <a:ext uri="{84589F7E-364E-4C9E-8A38-B11213B215E9}">
                  <a14:cameraTool cellRange="Drill_Chart" spid="_x0000_s1069"/>
                </a:ext>
              </a:extLst>
            </xdr:cNvPicPr>
          </xdr:nvPicPr>
          <xdr:blipFill>
            <a:blip xmlns:r="http://schemas.openxmlformats.org/officeDocument/2006/relationships" r:embed="rId7"/>
            <a:stretch>
              <a:fillRect/>
            </a:stretch>
          </xdr:blipFill>
          <xdr:spPr bwMode="auto">
            <a:xfrm>
              <a:off x="3657600" y="1737360"/>
              <a:ext cx="6096000" cy="32004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16</xdr:col>
      <xdr:colOff>70528</xdr:colOff>
      <xdr:row>16</xdr:row>
      <xdr:rowOff>126801</xdr:rowOff>
    </xdr:from>
    <xdr:to>
      <xdr:col>19</xdr:col>
      <xdr:colOff>130486</xdr:colOff>
      <xdr:row>26</xdr:row>
      <xdr:rowOff>0</xdr:rowOff>
    </xdr:to>
    <mc:AlternateContent xmlns:mc="http://schemas.openxmlformats.org/markup-compatibility/2006" xmlns:a14="http://schemas.microsoft.com/office/drawing/2010/main">
      <mc:Choice Requires="a14">
        <xdr:graphicFrame macro="">
          <xdr:nvGraphicFramePr>
            <xdr:cNvPr id="2" name="Factors">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Factors"/>
            </a:graphicData>
          </a:graphic>
        </xdr:graphicFrame>
      </mc:Choice>
      <mc:Fallback xmlns="">
        <xdr:sp macro="" textlink="">
          <xdr:nvSpPr>
            <xdr:cNvPr id="0" name=""/>
            <xdr:cNvSpPr>
              <a:spLocks noTextEdit="1"/>
            </xdr:cNvSpPr>
          </xdr:nvSpPr>
          <xdr:spPr>
            <a:xfrm>
              <a:off x="11009461" y="3107068"/>
              <a:ext cx="1888758" cy="17358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27</xdr:col>
      <xdr:colOff>0</xdr:colOff>
      <xdr:row>102</xdr:row>
      <xdr:rowOff>0</xdr:rowOff>
    </xdr:from>
    <xdr:to>
      <xdr:col>29</xdr:col>
      <xdr:colOff>0</xdr:colOff>
      <xdr:row>103</xdr:row>
      <xdr:rowOff>0</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93A19AE3-68D4-4558-85BB-04C99383B0D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7495520" y="26631900"/>
              <a:ext cx="5105400" cy="273558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27</xdr:col>
      <xdr:colOff>0</xdr:colOff>
      <xdr:row>103</xdr:row>
      <xdr:rowOff>0</xdr:rowOff>
    </xdr:from>
    <xdr:to>
      <xdr:col>29</xdr:col>
      <xdr:colOff>0</xdr:colOff>
      <xdr:row>104</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29</xdr:col>
      <xdr:colOff>0</xdr:colOff>
      <xdr:row>103</xdr:row>
      <xdr:rowOff>0</xdr:rowOff>
    </xdr:from>
    <xdr:to>
      <xdr:col>30</xdr:col>
      <xdr:colOff>0</xdr:colOff>
      <xdr:row>104</xdr:row>
      <xdr:rowOff>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269160</xdr:colOff>
      <xdr:row>9</xdr:row>
      <xdr:rowOff>157355</xdr:rowOff>
    </xdr:from>
    <xdr:to>
      <xdr:col>22</xdr:col>
      <xdr:colOff>567267</xdr:colOff>
      <xdr:row>14</xdr:row>
      <xdr:rowOff>101600</xdr:rowOff>
    </xdr:to>
    <xdr:sp macro="[0]!City_Drill" textlink="">
      <xdr:nvSpPr>
        <xdr:cNvPr id="23" name="Ribbon: Tilted Up 22">
          <a:extLst>
            <a:ext uri="{FF2B5EF4-FFF2-40B4-BE49-F238E27FC236}">
              <a16:creationId xmlns:a16="http://schemas.microsoft.com/office/drawing/2014/main" id="{00000000-0008-0000-0000-000017000000}"/>
            </a:ext>
          </a:extLst>
        </xdr:cNvPr>
        <xdr:cNvSpPr/>
      </xdr:nvSpPr>
      <xdr:spPr>
        <a:xfrm>
          <a:off x="13036893" y="1833755"/>
          <a:ext cx="2126907" cy="875578"/>
        </a:xfrm>
        <a:prstGeom prst="ribbon2">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chemeClr val="bg1"/>
              </a:solidFill>
              <a:latin typeface="Bahnschrift" panose="020B0502040204020203" pitchFamily="34" charset="0"/>
            </a:rPr>
            <a:t>Drill </a:t>
          </a:r>
        </a:p>
        <a:p>
          <a:pPr algn="ctr"/>
          <a:r>
            <a:rPr lang="en-IN" sz="1400" b="1">
              <a:solidFill>
                <a:schemeClr val="bg1"/>
              </a:solidFill>
              <a:latin typeface="Bahnschrift" panose="020B0502040204020203" pitchFamily="34" charset="0"/>
            </a:rPr>
            <a:t>into</a:t>
          </a:r>
          <a:r>
            <a:rPr lang="en-IN" sz="1400" b="1" baseline="0">
              <a:solidFill>
                <a:schemeClr val="bg1"/>
              </a:solidFill>
              <a:latin typeface="Bahnschrift" panose="020B0502040204020203" pitchFamily="34" charset="0"/>
            </a:rPr>
            <a:t> a city</a:t>
          </a:r>
        </a:p>
      </xdr:txBody>
    </xdr:sp>
    <xdr:clientData/>
  </xdr:twoCellAnchor>
  <xdr:twoCellAnchor>
    <xdr:from>
      <xdr:col>19</xdr:col>
      <xdr:colOff>538680</xdr:colOff>
      <xdr:row>17</xdr:row>
      <xdr:rowOff>97217</xdr:rowOff>
    </xdr:from>
    <xdr:to>
      <xdr:col>22</xdr:col>
      <xdr:colOff>194733</xdr:colOff>
      <xdr:row>24</xdr:row>
      <xdr:rowOff>160865</xdr:rowOff>
    </xdr:to>
    <xdr:sp macro="[0]!Clear_Chart" textlink="">
      <xdr:nvSpPr>
        <xdr:cNvPr id="24" name="Cloud 23">
          <a:extLst>
            <a:ext uri="{FF2B5EF4-FFF2-40B4-BE49-F238E27FC236}">
              <a16:creationId xmlns:a16="http://schemas.microsoft.com/office/drawing/2014/main" id="{00000000-0008-0000-0000-000018000000}"/>
            </a:ext>
          </a:extLst>
        </xdr:cNvPr>
        <xdr:cNvSpPr/>
      </xdr:nvSpPr>
      <xdr:spPr>
        <a:xfrm>
          <a:off x="13306413" y="3263750"/>
          <a:ext cx="1484853" cy="1367515"/>
        </a:xfrm>
        <a:prstGeom prst="cloud">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a:solidFill>
                <a:schemeClr val="bg1"/>
              </a:solidFill>
              <a:latin typeface="Bahnschrift" panose="020B0502040204020203" pitchFamily="34" charset="0"/>
            </a:rPr>
            <a:t>Reset</a:t>
          </a:r>
          <a:r>
            <a:rPr lang="en-IN" sz="1200" baseline="0">
              <a:solidFill>
                <a:schemeClr val="bg1"/>
              </a:solidFill>
              <a:latin typeface="Bahnschrift" panose="020B0502040204020203" pitchFamily="34" charset="0"/>
            </a:rPr>
            <a:t> Charts</a:t>
          </a:r>
          <a:endParaRPr lang="en-IN" sz="1200">
            <a:solidFill>
              <a:schemeClr val="bg1"/>
            </a:solidFill>
            <a:latin typeface="Bahnschrift" panose="020B0502040204020203" pitchFamily="34" charset="0"/>
          </a:endParaRPr>
        </a:p>
      </xdr:txBody>
    </xdr:sp>
    <xdr:clientData/>
  </xdr:twoCellAnchor>
  <xdr:twoCellAnchor editAs="oneCell">
    <xdr:from>
      <xdr:col>2</xdr:col>
      <xdr:colOff>93134</xdr:colOff>
      <xdr:row>11</xdr:row>
      <xdr:rowOff>135466</xdr:rowOff>
    </xdr:from>
    <xdr:to>
      <xdr:col>5</xdr:col>
      <xdr:colOff>465668</xdr:colOff>
      <xdr:row>22</xdr:row>
      <xdr:rowOff>160866</xdr:rowOff>
    </xdr:to>
    <xdr:pic>
      <xdr:nvPicPr>
        <xdr:cNvPr id="21" name="Picture 20">
          <a:extLst>
            <a:ext uri="{FF2B5EF4-FFF2-40B4-BE49-F238E27FC236}">
              <a16:creationId xmlns:a16="http://schemas.microsoft.com/office/drawing/2014/main" id="{7D0E8C1C-6AE4-FB90-2719-9B9C44238E8A}"/>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312334" y="2184399"/>
          <a:ext cx="2201334" cy="20743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28</xdr:col>
      <xdr:colOff>5105399</xdr:colOff>
      <xdr:row>102</xdr:row>
      <xdr:rowOff>0</xdr:rowOff>
    </xdr:from>
    <xdr:to>
      <xdr:col>29</xdr:col>
      <xdr:colOff>4656666</xdr:colOff>
      <xdr:row>103</xdr:row>
      <xdr:rowOff>8466</xdr:rowOff>
    </xdr:to>
    <xdr:graphicFrame macro="">
      <xdr:nvGraphicFramePr>
        <xdr:cNvPr id="26" name="Chart 25">
          <a:extLst>
            <a:ext uri="{FF2B5EF4-FFF2-40B4-BE49-F238E27FC236}">
              <a16:creationId xmlns:a16="http://schemas.microsoft.com/office/drawing/2014/main" id="{197C08AC-4200-4233-9DBE-0DDE7DED7B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19</xdr:col>
      <xdr:colOff>443696</xdr:colOff>
      <xdr:row>8</xdr:row>
      <xdr:rowOff>96454</xdr:rowOff>
    </xdr:from>
    <xdr:to>
      <xdr:col>22</xdr:col>
      <xdr:colOff>569088</xdr:colOff>
      <xdr:row>9</xdr:row>
      <xdr:rowOff>154329</xdr:rowOff>
    </xdr:to>
    <xdr:sp macro="" textlink="">
      <xdr:nvSpPr>
        <xdr:cNvPr id="6" name="TextBox 5">
          <a:extLst>
            <a:ext uri="{FF2B5EF4-FFF2-40B4-BE49-F238E27FC236}">
              <a16:creationId xmlns:a16="http://schemas.microsoft.com/office/drawing/2014/main" id="{05AEDF64-BF2A-A350-5E42-196BAF210FB4}"/>
            </a:ext>
          </a:extLst>
        </xdr:cNvPr>
        <xdr:cNvSpPr txBox="1"/>
      </xdr:nvSpPr>
      <xdr:spPr>
        <a:xfrm>
          <a:off x="13175848" y="1562581"/>
          <a:ext cx="1948405" cy="24114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Change city to single select</a:t>
          </a:r>
        </a:p>
        <a:p>
          <a:endParaRPr lang="en-US" sz="1100"/>
        </a:p>
      </xdr:txBody>
    </xdr:sp>
    <xdr:clientData/>
  </xdr:twoCellAnchor>
  <xdr:twoCellAnchor>
    <xdr:from>
      <xdr:col>19</xdr:col>
      <xdr:colOff>485267</xdr:colOff>
      <xdr:row>16</xdr:row>
      <xdr:rowOff>48228</xdr:rowOff>
    </xdr:from>
    <xdr:to>
      <xdr:col>22</xdr:col>
      <xdr:colOff>610659</xdr:colOff>
      <xdr:row>17</xdr:row>
      <xdr:rowOff>106102</xdr:rowOff>
    </xdr:to>
    <xdr:sp macro="" textlink="">
      <xdr:nvSpPr>
        <xdr:cNvPr id="10" name="TextBox 9">
          <a:extLst>
            <a:ext uri="{FF2B5EF4-FFF2-40B4-BE49-F238E27FC236}">
              <a16:creationId xmlns:a16="http://schemas.microsoft.com/office/drawing/2014/main" id="{E64C6B69-053D-47DB-9B49-56A15D49B6D3}"/>
            </a:ext>
          </a:extLst>
        </xdr:cNvPr>
        <xdr:cNvSpPr txBox="1"/>
      </xdr:nvSpPr>
      <xdr:spPr>
        <a:xfrm>
          <a:off x="13217419" y="2980481"/>
          <a:ext cx="1948405" cy="24114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Change city to Multi select</a:t>
          </a:r>
        </a:p>
        <a:p>
          <a:endParaRPr lang="en-US" sz="1100"/>
        </a:p>
      </xdr:txBody>
    </xdr:sp>
    <xdr:clientData/>
  </xdr:twoCellAnchor>
  <xdr:twoCellAnchor editAs="oneCell">
    <xdr:from>
      <xdr:col>16</xdr:col>
      <xdr:colOff>46818</xdr:colOff>
      <xdr:row>9</xdr:row>
      <xdr:rowOff>106133</xdr:rowOff>
    </xdr:from>
    <xdr:to>
      <xdr:col>19</xdr:col>
      <xdr:colOff>135467</xdr:colOff>
      <xdr:row>15</xdr:row>
      <xdr:rowOff>66239</xdr:rowOff>
    </xdr:to>
    <mc:AlternateContent xmlns:mc="http://schemas.openxmlformats.org/markup-compatibility/2006">
      <mc:Choice xmlns:a14="http://schemas.microsoft.com/office/drawing/2010/main" Requires="a14">
        <xdr:graphicFrame macro="">
          <xdr:nvGraphicFramePr>
            <xdr:cNvPr id="5" name="Level of Detail">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Level of Detail"/>
            </a:graphicData>
          </a:graphic>
        </xdr:graphicFrame>
      </mc:Choice>
      <mc:Fallback>
        <xdr:sp macro="" textlink="">
          <xdr:nvSpPr>
            <xdr:cNvPr id="0" name=""/>
            <xdr:cNvSpPr>
              <a:spLocks noTextEdit="1"/>
            </xdr:cNvSpPr>
          </xdr:nvSpPr>
          <xdr:spPr>
            <a:xfrm>
              <a:off x="11049029" y="1790554"/>
              <a:ext cx="1933491" cy="10830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hul" refreshedDate="45057.212946643522" createdVersion="8" refreshedVersion="8" minRefreshableVersion="3" recordCount="2" xr:uid="{0CDB36D1-EFF8-4648-8F2F-55D6FA5C0C5D}">
  <cacheSource type="worksheet">
    <worksheetSource ref="AL94:AM96" sheet="Dashboard"/>
  </cacheSource>
  <cacheFields count="2">
    <cacheField name="Value" numFmtId="0">
      <sharedItems containsSemiMixedTypes="0" containsString="0" containsNumber="1" containsInteger="1" minValue="0" maxValue="2" count="3">
        <n v="0"/>
        <n v="1"/>
        <n v="2" u="1"/>
      </sharedItems>
    </cacheField>
    <cacheField name="Level of Detail" numFmtId="0">
      <sharedItems count="2">
        <s v="Overall"/>
        <s v="Drill down"/>
      </sharedItems>
    </cacheField>
  </cacheFields>
  <extLst>
    <ext xmlns:x14="http://schemas.microsoft.com/office/spreadsheetml/2009/9/main" uri="{725AE2AE-9491-48be-B2B4-4EB974FC3084}">
      <x14:pivotCacheDefinition pivotCacheId="149443447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hul" refreshedDate="45057.212947222222" createdVersion="8" refreshedVersion="8" minRefreshableVersion="3" recordCount="5" xr:uid="{52D4D589-C399-426B-A71A-D28BF79AF56A}">
  <cacheSource type="worksheet">
    <worksheetSource ref="AH90:AI95" sheet="Dashboard"/>
  </cacheSource>
  <cacheFields count="2">
    <cacheField name="Value" numFmtId="0">
      <sharedItems containsSemiMixedTypes="0" containsString="0" containsNumber="1" containsInteger="1" minValue="1" maxValue="5" count="5">
        <n v="1"/>
        <n v="2"/>
        <n v="3"/>
        <n v="4"/>
        <n v="5"/>
      </sharedItems>
    </cacheField>
    <cacheField name="Factors" numFmtId="0">
      <sharedItems count="10">
        <s v="Temperature"/>
        <s v="Restaurents"/>
        <s v="Hospitals"/>
        <s v="Recreation"/>
        <s v="Crimes"/>
        <s v="Overall Recreation" u="1"/>
        <s v="Overall Hospitals" u="1"/>
        <s v="Overall Restaurents" u="1"/>
        <s v="Overall Crimes" u="1"/>
        <s v="Overall Temperature" u="1"/>
      </sharedItems>
    </cacheField>
  </cacheFields>
  <extLst>
    <ext xmlns:x14="http://schemas.microsoft.com/office/spreadsheetml/2009/9/main" uri="{725AE2AE-9491-48be-B2B4-4EB974FC3084}">
      <x14:pivotCacheDefinition pivotCacheId="93435481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hul" refreshedDate="45057.212947916669" createdVersion="8" refreshedVersion="8" minRefreshableVersion="3" recordCount="10" xr:uid="{3B4C7255-B8CD-4BF7-8BB1-0064D1384B87}">
  <cacheSource type="worksheet">
    <worksheetSource name="Top10_Table"/>
  </cacheSource>
  <cacheFields count="71">
    <cacheField name="State" numFmtId="0">
      <sharedItems count="10">
        <s v="TX"/>
        <s v="CA"/>
        <s v="HI"/>
        <s v="WA"/>
        <s v="TN"/>
        <s v="CO"/>
        <s v="MA"/>
        <s v="FL"/>
        <s v="MN"/>
        <s v="OK"/>
      </sharedItems>
    </cacheField>
    <cacheField name="City" numFmtId="0">
      <sharedItems count="10">
        <s v="Austin"/>
        <s v="San Francisco"/>
        <s v="Honolulu"/>
        <s v="Seattle"/>
        <s v="Nashville"/>
        <s v="Denver"/>
        <s v="Boston"/>
        <s v="Miami Beach"/>
        <s v="Minneapolis"/>
        <s v="Oklahoma City"/>
      </sharedItems>
    </cacheField>
    <cacheField name="CONCAT" numFmtId="0">
      <sharedItems/>
    </cacheField>
    <cacheField name="Unemployment Rate" numFmtId="0">
      <sharedItems containsSemiMixedTypes="0" containsString="0" containsNumber="1" minValue="2" maxValue="3"/>
    </cacheField>
    <cacheField name="American" numFmtId="0">
      <sharedItems containsSemiMixedTypes="0" containsString="0" containsNumber="1" containsInteger="1" minValue="508" maxValue="3061"/>
    </cacheField>
    <cacheField name="Cafe" numFmtId="0">
      <sharedItems containsSemiMixedTypes="0" containsString="0" containsNumber="1" containsInteger="1" minValue="102" maxValue="829"/>
    </cacheField>
    <cacheField name="Deserts" numFmtId="0">
      <sharedItems containsSemiMixedTypes="0" containsString="0" containsNumber="1" containsInteger="1" minValue="55" maxValue="556"/>
    </cacheField>
    <cacheField name="Others" numFmtId="0">
      <sharedItems containsSemiMixedTypes="0" containsString="0" containsNumber="1" containsInteger="1" minValue="363" maxValue="2798"/>
    </cacheField>
    <cacheField name="Italian" numFmtId="0">
      <sharedItems containsSemiMixedTypes="0" containsString="0" containsNumber="1" containsInteger="1" minValue="131" maxValue="1709"/>
    </cacheField>
    <cacheField name="Mexican" numFmtId="0">
      <sharedItems containsSemiMixedTypes="0" containsString="0" containsNumber="1" containsInteger="1" minValue="62" maxValue="955"/>
    </cacheField>
    <cacheField name="Barbecue" numFmtId="0">
      <sharedItems containsSemiMixedTypes="0" containsString="0" containsNumber="1" containsInteger="1" minValue="23" maxValue="118"/>
    </cacheField>
    <cacheField name="Bar and Pub" numFmtId="0">
      <sharedItems containsSemiMixedTypes="0" containsString="0" containsNumber="1" containsInteger="1" minValue="54" maxValue="409"/>
    </cacheField>
    <cacheField name="Healthy" numFmtId="0">
      <sharedItems containsSemiMixedTypes="0" containsString="0" containsNumber="1" containsInteger="1" minValue="8" maxValue="159"/>
    </cacheField>
    <cacheField name="Asian" numFmtId="0">
      <sharedItems containsSemiMixedTypes="0" containsString="0" containsNumber="1" containsInteger="1" minValue="189" maxValue="1846"/>
    </cacheField>
    <cacheField name="Afghan" numFmtId="0">
      <sharedItems containsString="0" containsBlank="1" containsNumber="1" containsInteger="1" minValue="2" maxValue="52"/>
    </cacheField>
    <cacheField name="Indian" numFmtId="0">
      <sharedItems containsSemiMixedTypes="0" containsString="0" containsNumber="1" containsInteger="1" minValue="14" maxValue="191"/>
    </cacheField>
    <cacheField name="Restaurant count" numFmtId="0">
      <sharedItems containsSemiMixedTypes="0" containsString="0" containsNumber="1" containsInteger="1" minValue="1643" maxValue="11589"/>
    </cacheField>
    <cacheField name="Restaurant rank" numFmtId="0">
      <sharedItems containsSemiMixedTypes="0" containsString="0" containsNumber="1" containsInteger="1" minValue="4" maxValue="46"/>
    </cacheField>
    <cacheField name="Min Temperature" numFmtId="0">
      <sharedItems containsSemiMixedTypes="0" containsString="0" containsNumber="1" containsInteger="1" minValue="17" maxValue="74"/>
    </cacheField>
    <cacheField name="Max Temperature" numFmtId="0">
      <sharedItems containsSemiMixedTypes="0" containsString="0" containsNumber="1" containsInteger="1" minValue="64" maxValue="85"/>
    </cacheField>
    <cacheField name="Avg Temperature" numFmtId="1">
      <sharedItems containsSemiMixedTypes="0" containsString="0" containsNumber="1" minValue="47.5" maxValue="77.583333333333329"/>
    </cacheField>
    <cacheField name="Max Temperature Rank" numFmtId="1">
      <sharedItems containsSemiMixedTypes="0" containsString="0" containsNumber="1" containsInteger="1" minValue="8" maxValue="145"/>
    </cacheField>
    <cacheField name="Min Temp Rank" numFmtId="1">
      <sharedItems containsSemiMixedTypes="0" containsString="0" containsNumber="1" containsInteger="1" minValue="1" maxValue="143"/>
    </cacheField>
    <cacheField name="Avg Temp Rank" numFmtId="1">
      <sharedItems containsSemiMixedTypes="0" containsString="0" containsNumber="1" containsInteger="1" minValue="1" maxValue="132"/>
    </cacheField>
    <cacheField name="GENERAL ACUTE CARE" numFmtId="0">
      <sharedItems containsSemiMixedTypes="0" containsString="0" containsNumber="1" containsInteger="1" minValue="1" maxValue="14"/>
    </cacheField>
    <cacheField name="SPECIAL" numFmtId="0">
      <sharedItems containsSemiMixedTypes="0" containsString="0" containsNumber="1" containsInteger="1" minValue="0" maxValue="6"/>
    </cacheField>
    <cacheField name="CHILDREN" numFmtId="0">
      <sharedItems containsSemiMixedTypes="0" containsString="0" containsNumber="1" containsInteger="1" minValue="0" maxValue="2"/>
    </cacheField>
    <cacheField name="LONG TERM CARE" numFmtId="0">
      <sharedItems containsSemiMixedTypes="0" containsString="0" containsNumber="1" containsInteger="1" minValue="0" maxValue="2"/>
    </cacheField>
    <cacheField name="PSYCHIATRIC" numFmtId="0">
      <sharedItems containsSemiMixedTypes="0" containsString="0" containsNumber="1" containsInteger="1" minValue="0" maxValue="6"/>
    </cacheField>
    <cacheField name="REHABILITATION" numFmtId="0">
      <sharedItems containsSemiMixedTypes="0" containsString="0" containsNumber="1" containsInteger="1" minValue="0" maxValue="3"/>
    </cacheField>
    <cacheField name="CRITICAL ACCESS" numFmtId="0">
      <sharedItems containsSemiMixedTypes="0" containsString="0" containsNumber="1" containsInteger="1" minValue="0" maxValue="0"/>
    </cacheField>
    <cacheField name="MILITARY" numFmtId="0">
      <sharedItems containsSemiMixedTypes="0" containsString="0" containsNumber="1" containsInteger="1" minValue="0" maxValue="2"/>
    </cacheField>
    <cacheField name="WOMEN" numFmtId="0">
      <sharedItems containsSemiMixedTypes="0" containsString="0" containsNumber="1" containsInteger="1" minValue="0" maxValue="1"/>
    </cacheField>
    <cacheField name="CHRONIC DISEASE" numFmtId="0">
      <sharedItems containsSemiMixedTypes="0" containsString="0" containsNumber="1" containsInteger="1" minValue="0" maxValue="0"/>
    </cacheField>
    <cacheField name="Hospital Count" numFmtId="0">
      <sharedItems containsSemiMixedTypes="0" containsString="0" containsNumber="1" containsInteger="1" minValue="1" maxValue="27"/>
    </cacheField>
    <cacheField name="Hos Rank" numFmtId="0">
      <sharedItems containsSemiMixedTypes="0" containsString="0" containsNumber="1" containsInteger="1" minValue="8" maxValue="137"/>
    </cacheField>
    <cacheField name="2009" numFmtId="0">
      <sharedItems containsSemiMixedTypes="0" containsString="0" containsNumber="1" minValue="40.04" maxValue="111.04"/>
    </cacheField>
    <cacheField name="2010" numFmtId="0">
      <sharedItems containsSemiMixedTypes="0" containsString="0" containsNumber="1" minValue="36.369999999999997" maxValue="109.29"/>
    </cacheField>
    <cacheField name="2011" numFmtId="0">
      <sharedItems containsSemiMixedTypes="0" containsString="0" containsNumber="1" minValue="0" maxValue="117.91"/>
    </cacheField>
    <cacheField name="2012" numFmtId="0">
      <sharedItems containsSemiMixedTypes="0" containsString="0" containsNumber="1" minValue="0" maxValue="109.5"/>
    </cacheField>
    <cacheField name="2013" numFmtId="0">
      <sharedItems containsSemiMixedTypes="0" containsString="0" containsNumber="1" minValue="0" maxValue="116.76"/>
    </cacheField>
    <cacheField name="2014" numFmtId="0">
      <sharedItems containsSemiMixedTypes="0" containsString="0" containsNumber="1" minValue="0" maxValue="112.48"/>
    </cacheField>
    <cacheField name="2015" numFmtId="0">
      <sharedItems containsSemiMixedTypes="0" containsString="0" containsNumber="1" minValue="0" maxValue="108.09"/>
    </cacheField>
    <cacheField name="2017" numFmtId="0">
      <sharedItems containsSemiMixedTypes="0" containsString="0" containsNumber="1" minValue="0" maxValue="91.53"/>
    </cacheField>
    <cacheField name="2018" numFmtId="0">
      <sharedItems containsSemiMixedTypes="0" containsString="0" containsNumber="1" minValue="0" maxValue="84.25"/>
    </cacheField>
    <cacheField name="2019" numFmtId="0">
      <sharedItems containsSemiMixedTypes="0" containsString="0" containsNumber="1" minValue="0" maxValue="85.04"/>
    </cacheField>
    <cacheField name="Average crime rate" numFmtId="0">
      <sharedItems containsSemiMixedTypes="0" containsString="0" containsNumber="1" minValue="20.589999999999996" maxValue="104.58900000000001"/>
    </cacheField>
    <cacheField name="Crime rank" numFmtId="0">
      <sharedItems containsSemiMixedTypes="0" containsString="0" containsNumber="1" containsInteger="1" minValue="8" maxValue="147"/>
    </cacheField>
    <cacheField name="January  " numFmtId="0">
      <sharedItems containsSemiMixedTypes="0" containsString="0" containsNumber="1" containsInteger="1" minValue="17" maxValue="74"/>
    </cacheField>
    <cacheField name="February" numFmtId="0">
      <sharedItems containsSemiMixedTypes="0" containsString="0" containsNumber="1" containsInteger="1" minValue="19" maxValue="74"/>
    </cacheField>
    <cacheField name="March" numFmtId="0">
      <sharedItems containsSemiMixedTypes="0" containsString="0" containsNumber="1" containsInteger="1" minValue="35" maxValue="74"/>
    </cacheField>
    <cacheField name="April" numFmtId="0">
      <sharedItems containsSemiMixedTypes="0" containsString="0" containsNumber="1" containsInteger="1" minValue="47" maxValue="77"/>
    </cacheField>
    <cacheField name="May" numFmtId="0">
      <sharedItems containsSemiMixedTypes="0" containsString="0" containsNumber="1" containsInteger="1" minValue="55" maxValue="80"/>
    </cacheField>
    <cacheField name="June" numFmtId="0">
      <sharedItems containsSemiMixedTypes="0" containsString="0" containsNumber="1" containsInteger="1" minValue="61" maxValue="83"/>
    </cacheField>
    <cacheField name="July" numFmtId="0">
      <sharedItems containsSemiMixedTypes="0" containsString="0" containsNumber="1" containsInteger="1" minValue="62" maxValue="84"/>
    </cacheField>
    <cacheField name="August" numFmtId="0">
      <sharedItems containsSemiMixedTypes="0" containsString="0" containsNumber="1" containsInteger="1" minValue="63" maxValue="85"/>
    </cacheField>
    <cacheField name="September" numFmtId="0">
      <sharedItems containsSemiMixedTypes="0" containsString="0" containsNumber="1" containsInteger="1" minValue="62" maxValue="83"/>
    </cacheField>
    <cacheField name="October" numFmtId="0">
      <sharedItems containsSemiMixedTypes="0" containsString="0" containsNumber="1" containsInteger="1" minValue="50" maxValue="80"/>
    </cacheField>
    <cacheField name="November" numFmtId="0">
      <sharedItems containsSemiMixedTypes="0" containsString="0" containsNumber="1" containsInteger="1" minValue="35" maxValue="78"/>
    </cacheField>
    <cacheField name="December" numFmtId="0">
      <sharedItems containsSemiMixedTypes="0" containsString="0" containsNumber="1" containsInteger="1" minValue="23" maxValue="75"/>
    </cacheField>
    <cacheField name="BOATING" numFmtId="0">
      <sharedItems containsSemiMixedTypes="0" containsString="0" containsNumber="1" containsInteger="1" minValue="0" maxValue="85"/>
    </cacheField>
    <cacheField name="FISHING" numFmtId="0">
      <sharedItems containsSemiMixedTypes="0" containsString="0" containsNumber="1" containsInteger="1" minValue="0" maxValue="148"/>
    </cacheField>
    <cacheField name="PICNICKING" numFmtId="0">
      <sharedItems containsSemiMixedTypes="0" containsString="0" containsNumber="1" containsInteger="1" minValue="0" maxValue="244"/>
    </cacheField>
    <cacheField name="WILDLIFE VIEWING" numFmtId="0">
      <sharedItems containsSemiMixedTypes="0" containsString="0" containsNumber="1" containsInteger="1" minValue="1" maxValue="74"/>
    </cacheField>
    <cacheField name="HIKING" numFmtId="0">
      <sharedItems containsSemiMixedTypes="0" containsString="0" containsNumber="1" containsInteger="1" minValue="0" maxValue="419"/>
    </cacheField>
    <cacheField name="BIKING" numFmtId="0">
      <sharedItems containsSemiMixedTypes="0" containsString="0" containsNumber="1" containsInteger="1" minValue="0" maxValue="200"/>
    </cacheField>
    <cacheField name="CAMPING" numFmtId="0">
      <sharedItems containsSemiMixedTypes="0" containsString="0" containsNumber="1" containsInteger="1" minValue="1" maxValue="110"/>
    </cacheField>
    <cacheField name="WATER SPORTS" numFmtId="0">
      <sharedItems containsSemiMixedTypes="0" containsString="0" containsNumber="1" containsInteger="1" minValue="0" maxValue="78"/>
    </cacheField>
    <cacheField name="OFF HIGHWAY VEHICLE" numFmtId="0">
      <sharedItems containsSemiMixedTypes="0" containsString="0" containsNumber="1" containsInteger="1" minValue="0" maxValue="151"/>
    </cacheField>
    <cacheField name="HORSEBACK RIDING" numFmtId="0">
      <sharedItems containsSemiMixedTypes="0" containsString="0" containsNumber="1" containsInteger="1" minValue="0" maxValue="297"/>
    </cacheField>
    <cacheField name="Recreation" numFmtId="0">
      <sharedItems containsSemiMixedTypes="0" containsString="0" containsNumber="1" containsInteger="1" minValue="8" maxValue="1610"/>
    </cacheField>
  </cacheFields>
  <extLst>
    <ext xmlns:x14="http://schemas.microsoft.com/office/spreadsheetml/2009/9/main" uri="{725AE2AE-9491-48be-B2B4-4EB974FC3084}">
      <x14:pivotCacheDefinition pivotCacheId="14915335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x v="0"/>
  </r>
  <r>
    <x v="1"/>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x v="0"/>
  </r>
  <r>
    <x v="1"/>
    <x v="1"/>
  </r>
  <r>
    <x v="2"/>
    <x v="2"/>
  </r>
  <r>
    <x v="3"/>
    <x v="3"/>
  </r>
  <r>
    <x v="4"/>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s v="AUSTIN-TX"/>
    <n v="2"/>
    <n v="781"/>
    <n v="218"/>
    <n v="113"/>
    <n v="864"/>
    <n v="277"/>
    <n v="405"/>
    <n v="92"/>
    <n v="150"/>
    <n v="31"/>
    <n v="360"/>
    <n v="17"/>
    <n v="45"/>
    <n v="3353"/>
    <n v="23"/>
    <n v="50"/>
    <n v="85"/>
    <n v="68.416666666666671"/>
    <n v="8"/>
    <n v="19"/>
    <n v="17"/>
    <n v="12"/>
    <n v="2"/>
    <n v="1"/>
    <n v="2"/>
    <n v="6"/>
    <n v="3"/>
    <n v="0"/>
    <n v="1"/>
    <n v="0"/>
    <n v="0"/>
    <n v="27"/>
    <n v="8"/>
    <n v="67.81"/>
    <n v="62.46"/>
    <n v="56.81"/>
    <n v="56.43"/>
    <n v="52.25"/>
    <n v="45.49"/>
    <n v="41.53"/>
    <n v="36.119999999999997"/>
    <n v="38.46"/>
    <n v="41.22"/>
    <n v="49.85799999999999"/>
    <n v="85"/>
    <n v="50"/>
    <n v="54"/>
    <n v="62"/>
    <n v="69"/>
    <n v="75"/>
    <n v="82"/>
    <n v="84"/>
    <n v="85"/>
    <n v="79"/>
    <n v="70"/>
    <n v="59"/>
    <n v="52"/>
    <n v="85"/>
    <n v="47"/>
    <n v="75"/>
    <n v="3"/>
    <n v="56"/>
    <n v="12"/>
    <n v="68"/>
    <n v="78"/>
    <n v="5"/>
    <n v="18"/>
    <n v="447"/>
  </r>
  <r>
    <x v="1"/>
    <x v="1"/>
    <s v="SAN FRANCISCO-CA"/>
    <n v="2.2000000000000002"/>
    <n v="1813"/>
    <n v="829"/>
    <n v="350"/>
    <n v="2756"/>
    <n v="871"/>
    <n v="620"/>
    <n v="104"/>
    <n v="304"/>
    <n v="39"/>
    <n v="1846"/>
    <n v="52"/>
    <n v="191"/>
    <n v="9775"/>
    <n v="5"/>
    <n v="52"/>
    <n v="64"/>
    <n v="57.916666666666664"/>
    <n v="145"/>
    <n v="15"/>
    <n v="64"/>
    <n v="13"/>
    <n v="0"/>
    <n v="0"/>
    <n v="1"/>
    <n v="2"/>
    <n v="0"/>
    <n v="0"/>
    <n v="1"/>
    <n v="0"/>
    <n v="0"/>
    <n v="17"/>
    <n v="21"/>
    <n v="50.22"/>
    <n v="46.75"/>
    <n v="47.16"/>
    <n v="54.71"/>
    <n v="66.7"/>
    <n v="61.27"/>
    <n v="69.459999999999994"/>
    <n v="69.17"/>
    <n v="62.57"/>
    <n v="62.06"/>
    <n v="59.006999999999991"/>
    <n v="117"/>
    <n v="52"/>
    <n v="53"/>
    <n v="55"/>
    <n v="57"/>
    <n v="58"/>
    <n v="61"/>
    <n v="62"/>
    <n v="63"/>
    <n v="64"/>
    <n v="62"/>
    <n v="56"/>
    <n v="52"/>
    <n v="47"/>
    <n v="146"/>
    <n v="244"/>
    <n v="48"/>
    <n v="319"/>
    <n v="69"/>
    <n v="86"/>
    <n v="5"/>
    <n v="101"/>
    <n v="131"/>
    <n v="1196"/>
  </r>
  <r>
    <x v="2"/>
    <x v="2"/>
    <s v="HONOLULU-HI"/>
    <n v="2.4"/>
    <n v="528"/>
    <n v="154"/>
    <n v="81"/>
    <n v="545"/>
    <n v="131"/>
    <n v="62"/>
    <n v="46"/>
    <n v="59"/>
    <n v="19"/>
    <n v="673"/>
    <n v="2"/>
    <n v="15"/>
    <n v="2315"/>
    <n v="33"/>
    <n v="74"/>
    <n v="81"/>
    <n v="77.583333333333329"/>
    <n v="39"/>
    <n v="1"/>
    <n v="1"/>
    <n v="4"/>
    <n v="1"/>
    <n v="2"/>
    <n v="0"/>
    <n v="0"/>
    <n v="1"/>
    <n v="0"/>
    <n v="1"/>
    <n v="0"/>
    <n v="0"/>
    <n v="9"/>
    <n v="61"/>
    <n v="40.04"/>
    <n v="36.369999999999997"/>
    <n v="0"/>
    <n v="0"/>
    <n v="0"/>
    <n v="0"/>
    <n v="33.78"/>
    <n v="30.54"/>
    <n v="32.17"/>
    <n v="33"/>
    <n v="20.589999999999996"/>
    <n v="8"/>
    <n v="74"/>
    <n v="74"/>
    <n v="74"/>
    <n v="76"/>
    <n v="78"/>
    <n v="79"/>
    <n v="81"/>
    <n v="81"/>
    <n v="81"/>
    <n v="80"/>
    <n v="78"/>
    <n v="75"/>
    <n v="0"/>
    <n v="2"/>
    <n v="0"/>
    <n v="4"/>
    <n v="0"/>
    <n v="2"/>
    <n v="1"/>
    <n v="4"/>
    <n v="0"/>
    <n v="0"/>
    <n v="13"/>
  </r>
  <r>
    <x v="3"/>
    <x v="3"/>
    <s v="SEATTLE-WA"/>
    <n v="2.4"/>
    <n v="1549"/>
    <n v="545"/>
    <n v="214"/>
    <n v="1625"/>
    <n v="584"/>
    <n v="438"/>
    <n v="60"/>
    <n v="344"/>
    <n v="35"/>
    <n v="1364"/>
    <n v="17"/>
    <n v="107"/>
    <n v="6882"/>
    <n v="11"/>
    <n v="42"/>
    <n v="68"/>
    <n v="53.333333333333336"/>
    <n v="141"/>
    <n v="40"/>
    <n v="90"/>
    <n v="8"/>
    <n v="1"/>
    <n v="1"/>
    <n v="1"/>
    <n v="2"/>
    <n v="0"/>
    <n v="0"/>
    <n v="2"/>
    <n v="0"/>
    <n v="0"/>
    <n v="15"/>
    <n v="32"/>
    <n v="64.900000000000006"/>
    <n v="59.38"/>
    <n v="57.49"/>
    <n v="57.04"/>
    <n v="61.81"/>
    <n v="67.42"/>
    <n v="61.34"/>
    <n v="59.12"/>
    <n v="58.44"/>
    <n v="50.94"/>
    <n v="59.788000000000011"/>
    <n v="119"/>
    <n v="43"/>
    <n v="43"/>
    <n v="47"/>
    <n v="51"/>
    <n v="57"/>
    <n v="61"/>
    <n v="67"/>
    <n v="68"/>
    <n v="62"/>
    <n v="53"/>
    <n v="46"/>
    <n v="42"/>
    <n v="19"/>
    <n v="29"/>
    <n v="45"/>
    <n v="32"/>
    <n v="130"/>
    <n v="30"/>
    <n v="27"/>
    <n v="6"/>
    <n v="18"/>
    <n v="77"/>
    <n v="413"/>
  </r>
  <r>
    <x v="4"/>
    <x v="4"/>
    <s v="NASHVILLE-TN"/>
    <n v="2.5"/>
    <n v="990"/>
    <n v="159"/>
    <n v="107"/>
    <n v="528"/>
    <n v="252"/>
    <n v="225"/>
    <n v="60"/>
    <n v="120"/>
    <n v="21"/>
    <n v="244"/>
    <n v="10"/>
    <n v="19"/>
    <n v="2735"/>
    <n v="28"/>
    <n v="39"/>
    <n v="80"/>
    <n v="60.833333333333336"/>
    <n v="50"/>
    <n v="53"/>
    <n v="51"/>
    <n v="8"/>
    <n v="0"/>
    <n v="0"/>
    <n v="2"/>
    <n v="0"/>
    <n v="1"/>
    <n v="0"/>
    <n v="1"/>
    <n v="1"/>
    <n v="0"/>
    <n v="13"/>
    <n v="41"/>
    <n v="59.3"/>
    <n v="60.99"/>
    <n v="59.72"/>
    <n v="54.27"/>
    <n v="49.02"/>
    <n v="47.68"/>
    <n v="0"/>
    <n v="0"/>
    <n v="0"/>
    <n v="0"/>
    <n v="33.097999999999999"/>
    <n v="26"/>
    <n v="39"/>
    <n v="43"/>
    <n v="52"/>
    <n v="61"/>
    <n v="69"/>
    <n v="78"/>
    <n v="80"/>
    <n v="79"/>
    <n v="73"/>
    <n v="62"/>
    <n v="50"/>
    <n v="44"/>
    <n v="40"/>
    <n v="29"/>
    <n v="34"/>
    <n v="5"/>
    <n v="21"/>
    <n v="2"/>
    <n v="26"/>
    <n v="32"/>
    <n v="1"/>
    <n v="7"/>
    <n v="197"/>
  </r>
  <r>
    <x v="5"/>
    <x v="5"/>
    <s v="DENVER-CO"/>
    <n v="2.6"/>
    <n v="1371"/>
    <n v="326"/>
    <n v="195"/>
    <n v="1105"/>
    <n v="496"/>
    <n v="552"/>
    <n v="53"/>
    <n v="239"/>
    <n v="29"/>
    <n v="636"/>
    <n v="7"/>
    <n v="68"/>
    <n v="5077"/>
    <n v="15"/>
    <n v="31"/>
    <n v="75"/>
    <n v="51.166666666666664"/>
    <n v="94"/>
    <n v="83"/>
    <n v="105"/>
    <n v="7"/>
    <n v="1"/>
    <n v="0"/>
    <n v="2"/>
    <n v="4"/>
    <n v="0"/>
    <n v="0"/>
    <n v="1"/>
    <n v="0"/>
    <n v="0"/>
    <n v="15"/>
    <n v="32"/>
    <n v="40.53"/>
    <n v="39.68"/>
    <n v="43.07"/>
    <n v="43.45"/>
    <n v="42.98"/>
    <n v="39.79"/>
    <n v="42.2"/>
    <n v="43.61"/>
    <n v="44.18"/>
    <n v="45.07"/>
    <n v="42.456000000000003"/>
    <n v="53"/>
    <n v="32"/>
    <n v="31"/>
    <n v="42"/>
    <n v="48"/>
    <n v="55"/>
    <n v="70"/>
    <n v="75"/>
    <n v="73"/>
    <n v="66"/>
    <n v="51"/>
    <n v="40"/>
    <n v="31"/>
    <n v="62"/>
    <n v="148"/>
    <n v="145"/>
    <n v="74"/>
    <n v="419"/>
    <n v="200"/>
    <n v="110"/>
    <n v="4"/>
    <n v="151"/>
    <n v="297"/>
    <n v="1610"/>
  </r>
  <r>
    <x v="6"/>
    <x v="6"/>
    <s v="BOSTON-MA"/>
    <n v="2.7"/>
    <n v="2525"/>
    <n v="583"/>
    <n v="370"/>
    <n v="1907"/>
    <n v="1709"/>
    <n v="366"/>
    <n v="58"/>
    <n v="244"/>
    <n v="44"/>
    <n v="1150"/>
    <n v="36"/>
    <n v="97"/>
    <n v="9089"/>
    <n v="7"/>
    <n v="31"/>
    <n v="75"/>
    <n v="52.5"/>
    <n v="94"/>
    <n v="83"/>
    <n v="96"/>
    <n v="14"/>
    <n v="0"/>
    <n v="2"/>
    <n v="1"/>
    <n v="3"/>
    <n v="2"/>
    <n v="0"/>
    <n v="0"/>
    <n v="0"/>
    <n v="0"/>
    <n v="22"/>
    <n v="14"/>
    <n v="43.16"/>
    <n v="41.06"/>
    <n v="39.75"/>
    <n v="37.450000000000003"/>
    <n v="35.549999999999997"/>
    <n v="33.65"/>
    <n v="30.23"/>
    <n v="27.58"/>
    <n v="26.39"/>
    <n v="0"/>
    <n v="31.481999999999999"/>
    <n v="22"/>
    <n v="31"/>
    <n v="33"/>
    <n v="39"/>
    <n v="49"/>
    <n v="58"/>
    <n v="67"/>
    <n v="75"/>
    <n v="73"/>
    <n v="67"/>
    <n v="56"/>
    <n v="45"/>
    <n v="37"/>
    <n v="1"/>
    <n v="0"/>
    <n v="2"/>
    <n v="2"/>
    <n v="1"/>
    <n v="0"/>
    <n v="1"/>
    <n v="1"/>
    <n v="0"/>
    <n v="0"/>
    <n v="8"/>
  </r>
  <r>
    <x v="7"/>
    <x v="7"/>
    <s v="MIAMI BEACH-FL"/>
    <n v="2.8"/>
    <n v="3061"/>
    <n v="730"/>
    <n v="556"/>
    <n v="2798"/>
    <n v="1549"/>
    <n v="955"/>
    <n v="118"/>
    <n v="409"/>
    <n v="159"/>
    <n v="1160"/>
    <n v="27"/>
    <n v="67"/>
    <n v="11589"/>
    <n v="4"/>
    <n v="69"/>
    <n v="84"/>
    <n v="77.583333333333329"/>
    <n v="15"/>
    <n v="2"/>
    <n v="1"/>
    <n v="1"/>
    <n v="0"/>
    <n v="0"/>
    <n v="0"/>
    <n v="0"/>
    <n v="0"/>
    <n v="0"/>
    <n v="0"/>
    <n v="0"/>
    <n v="0"/>
    <n v="1"/>
    <n v="137"/>
    <n v="111.04"/>
    <n v="109.29"/>
    <n v="117.91"/>
    <n v="109.5"/>
    <n v="116.76"/>
    <n v="112.48"/>
    <n v="108.09"/>
    <n v="91.53"/>
    <n v="84.25"/>
    <n v="85.04"/>
    <n v="104.58900000000001"/>
    <n v="147"/>
    <n v="69"/>
    <n v="71"/>
    <n v="73"/>
    <n v="77"/>
    <n v="80"/>
    <n v="83"/>
    <n v="84"/>
    <n v="84"/>
    <n v="83"/>
    <n v="80"/>
    <n v="75"/>
    <n v="72"/>
    <n v="13"/>
    <n v="7"/>
    <n v="12"/>
    <n v="1"/>
    <n v="2"/>
    <n v="0"/>
    <n v="11"/>
    <n v="13"/>
    <n v="0"/>
    <n v="0"/>
    <n v="59"/>
  </r>
  <r>
    <x v="8"/>
    <x v="8"/>
    <s v="MINNEAPOLIS-MN"/>
    <n v="2.8"/>
    <n v="1483"/>
    <n v="256"/>
    <n v="178"/>
    <n v="729"/>
    <n v="457"/>
    <n v="251"/>
    <n v="23"/>
    <n v="143"/>
    <n v="17"/>
    <n v="570"/>
    <n v="7"/>
    <n v="41"/>
    <n v="4155"/>
    <n v="18"/>
    <n v="17"/>
    <n v="76"/>
    <n v="47.5"/>
    <n v="82"/>
    <n v="143"/>
    <n v="132"/>
    <n v="6"/>
    <n v="0"/>
    <n v="1"/>
    <n v="0"/>
    <n v="0"/>
    <n v="0"/>
    <n v="0"/>
    <n v="0"/>
    <n v="0"/>
    <n v="0"/>
    <n v="7"/>
    <n v="80"/>
    <n v="58.14"/>
    <n v="58.28"/>
    <n v="59.79"/>
    <n v="59.83"/>
    <n v="59.36"/>
    <n v="57.69"/>
    <n v="52.85"/>
    <n v="57.68"/>
    <n v="47.22"/>
    <n v="54.6"/>
    <n v="56.544000000000004"/>
    <n v="110"/>
    <n v="17"/>
    <n v="19"/>
    <n v="35"/>
    <n v="47"/>
    <n v="60"/>
    <n v="70"/>
    <n v="76"/>
    <n v="73"/>
    <n v="65"/>
    <n v="50"/>
    <n v="35"/>
    <n v="23"/>
    <n v="25"/>
    <n v="28"/>
    <n v="6"/>
    <n v="8"/>
    <n v="7"/>
    <n v="4"/>
    <n v="5"/>
    <n v="0"/>
    <n v="0"/>
    <n v="1"/>
    <n v="84"/>
  </r>
  <r>
    <x v="9"/>
    <x v="9"/>
    <s v="OKLAHOMA CITY-OK"/>
    <n v="3"/>
    <n v="508"/>
    <n v="102"/>
    <n v="55"/>
    <n v="363"/>
    <n v="153"/>
    <n v="168"/>
    <n v="29"/>
    <n v="54"/>
    <n v="8"/>
    <n v="189"/>
    <m/>
    <n v="14"/>
    <n v="1643"/>
    <n v="46"/>
    <n v="39"/>
    <n v="83"/>
    <n v="61.166666666666664"/>
    <n v="21"/>
    <n v="53"/>
    <n v="48"/>
    <n v="11"/>
    <n v="6"/>
    <n v="1"/>
    <n v="1"/>
    <n v="2"/>
    <n v="2"/>
    <n v="0"/>
    <n v="1"/>
    <n v="0"/>
    <n v="0"/>
    <n v="24"/>
    <n v="10"/>
    <n v="70.5"/>
    <n v="67.650000000000006"/>
    <n v="67.06"/>
    <n v="68.81"/>
    <n v="62.16"/>
    <n v="52"/>
    <n v="47.36"/>
    <n v="45.52"/>
    <n v="49.05"/>
    <n v="48.28"/>
    <n v="57.838999999999984"/>
    <n v="112"/>
    <n v="39"/>
    <n v="42"/>
    <n v="52"/>
    <n v="61"/>
    <n v="68"/>
    <n v="79"/>
    <n v="83"/>
    <n v="82"/>
    <n v="75"/>
    <n v="62"/>
    <n v="50"/>
    <n v="41"/>
    <n v="59"/>
    <n v="13"/>
    <n v="34"/>
    <n v="1"/>
    <n v="15"/>
    <n v="2"/>
    <n v="43"/>
    <n v="59"/>
    <n v="1"/>
    <n v="6"/>
    <n v="2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06735D-6B83-447C-8503-A23C3048C484}" name="Level_of_Detail"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N94:AN96" firstHeaderRow="1" firstDataRow="1" firstDataCol="1"/>
  <pivotFields count="2">
    <pivotField axis="axisRow" showAll="0" sortType="ascending">
      <items count="4">
        <item x="0"/>
        <item x="1"/>
        <item m="1" x="2"/>
        <item t="default"/>
      </items>
    </pivotField>
    <pivotField showAll="0">
      <items count="3">
        <item h="1" x="1"/>
        <item x="0"/>
        <item t="default"/>
      </items>
    </pivotField>
  </pivotFields>
  <rowFields count="1">
    <field x="0"/>
  </rowFields>
  <rowItems count="2">
    <i>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4EEB5A-BE08-4AB6-A9C1-C715B8FC6FD4}" name="Factors"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K90:AK92" firstHeaderRow="1" firstDataRow="1" firstDataCol="1"/>
  <pivotFields count="2">
    <pivotField axis="axisRow" showAll="0">
      <items count="6">
        <item x="0"/>
        <item x="1"/>
        <item x="2"/>
        <item x="3"/>
        <item x="4"/>
        <item t="default"/>
      </items>
    </pivotField>
    <pivotField showAll="0">
      <items count="11">
        <item h="1" x="4"/>
        <item h="1" x="2"/>
        <item h="1" m="1" x="8"/>
        <item h="1" m="1" x="6"/>
        <item h="1" m="1" x="5"/>
        <item h="1" m="1" x="7"/>
        <item h="1" m="1" x="9"/>
        <item h="1" x="3"/>
        <item x="1"/>
        <item h="1" x="0"/>
        <item t="default"/>
      </items>
    </pivotField>
  </pivotFields>
  <rowFields count="1">
    <field x="0"/>
  </rowFields>
  <rowItems count="2">
    <i>
      <x v="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BE173C-08A2-4C32-B7B3-05E21B6DE07F}" name="Overall_Temp"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1">
  <location ref="A3:E13" firstHeaderRow="0" firstDataRow="1" firstDataCol="2"/>
  <pivotFields count="71">
    <pivotField axis="axisRow" compact="0" outline="0" showAll="0" defaultSubtotal="0">
      <items count="10">
        <item x="1"/>
        <item x="5"/>
        <item x="7"/>
        <item x="2"/>
        <item x="6"/>
        <item x="8"/>
        <item x="9"/>
        <item x="4"/>
        <item x="0"/>
        <item x="3"/>
      </items>
      <extLst>
        <ext xmlns:x14="http://schemas.microsoft.com/office/spreadsheetml/2009/9/main" uri="{2946ED86-A175-432a-8AC1-64E0C546D7DE}">
          <x14:pivotField fillDownLabels="1"/>
        </ext>
      </extLst>
    </pivotField>
    <pivotField axis="axisRow" compact="0" outline="0" showAll="0" defaultSubtotal="0">
      <items count="10">
        <item x="0"/>
        <item x="6"/>
        <item x="5"/>
        <item x="2"/>
        <item x="7"/>
        <item x="8"/>
        <item x="4"/>
        <item x="9"/>
        <item x="1"/>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2">
    <field x="0"/>
    <field x="1"/>
  </rowFields>
  <rowItems count="10">
    <i>
      <x/>
      <x v="8"/>
    </i>
    <i>
      <x v="1"/>
      <x v="2"/>
    </i>
    <i>
      <x v="2"/>
      <x v="4"/>
    </i>
    <i>
      <x v="3"/>
      <x v="3"/>
    </i>
    <i>
      <x v="4"/>
      <x v="1"/>
    </i>
    <i>
      <x v="5"/>
      <x v="5"/>
    </i>
    <i>
      <x v="6"/>
      <x v="7"/>
    </i>
    <i>
      <x v="7"/>
      <x v="6"/>
    </i>
    <i>
      <x v="8"/>
      <x/>
    </i>
    <i>
      <x v="9"/>
      <x v="9"/>
    </i>
  </rowItems>
  <colFields count="1">
    <field x="-2"/>
  </colFields>
  <colItems count="3">
    <i>
      <x/>
    </i>
    <i i="1">
      <x v="1"/>
    </i>
    <i i="2">
      <x v="2"/>
    </i>
  </colItems>
  <dataFields count="3">
    <dataField name="Min Temperature " fld="18" baseField="0" baseItem="0"/>
    <dataField name="Max Temperature " fld="19" baseField="0" baseItem="0"/>
    <dataField name="Avg Temperature " fld="20" baseField="0" baseItem="0"/>
  </dataFields>
  <chartFormats count="12">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 chart="4" format="6" series="1">
      <pivotArea type="data" outline="0" fieldPosition="0">
        <references count="1">
          <reference field="4294967294" count="1" selected="0">
            <x v="2"/>
          </reference>
        </references>
      </pivotArea>
    </chartFormat>
    <chartFormat chart="6" format="10" series="1">
      <pivotArea type="data" outline="0" fieldPosition="0">
        <references count="1">
          <reference field="4294967294" count="1" selected="0">
            <x v="0"/>
          </reference>
        </references>
      </pivotArea>
    </chartFormat>
    <chartFormat chart="6" format="11" series="1">
      <pivotArea type="data" outline="0" fieldPosition="0">
        <references count="1">
          <reference field="4294967294" count="1" selected="0">
            <x v="1"/>
          </reference>
        </references>
      </pivotArea>
    </chartFormat>
    <chartFormat chart="6" format="12"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0"/>
          </reference>
        </references>
      </pivotArea>
    </chartFormat>
    <chartFormat chart="8" format="17" series="1">
      <pivotArea type="data" outline="0" fieldPosition="0">
        <references count="1">
          <reference field="4294967294" count="1" selected="0">
            <x v="1"/>
          </reference>
        </references>
      </pivotArea>
    </chartFormat>
    <chartFormat chart="8"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ADFD1A5-ED98-416A-B040-066F1B60E7EE}" name="Month_Temperature" cacheId="2"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G3:Q17" firstHeaderRow="1" firstDataRow="3" firstDataCol="1"/>
  <pivotFields count="71">
    <pivotField axis="axisCol" outline="0" showAll="0" defaultSubtotal="0">
      <items count="10">
        <item x="1"/>
        <item x="5"/>
        <item x="7"/>
        <item x="2"/>
        <item x="6"/>
        <item x="8"/>
        <item x="9"/>
        <item x="4"/>
        <item x="0"/>
        <item x="3"/>
      </items>
      <extLst>
        <ext xmlns:x14="http://schemas.microsoft.com/office/spreadsheetml/2009/9/main" uri="{2946ED86-A175-432a-8AC1-64E0C546D7DE}">
          <x14:pivotField fillDownLabels="1"/>
        </ext>
      </extLst>
    </pivotField>
    <pivotField axis="axisCol" showAll="0" defaultSubtotal="0">
      <items count="10">
        <item x="0"/>
        <item x="6"/>
        <item x="5"/>
        <item x="2"/>
        <item x="7"/>
        <item x="8"/>
        <item x="4"/>
        <item x="9"/>
        <item x="1"/>
        <item x="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1" showAll="0" defaultSubtotal="0"/>
    <pivotField numFmtId="1" showAll="0" defaultSubtotal="0"/>
    <pivotField numFmtI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s>
  <rowFields count="1">
    <field x="-2"/>
  </rowFields>
  <rowItems count="12">
    <i>
      <x/>
    </i>
    <i i="1">
      <x v="1"/>
    </i>
    <i i="2">
      <x v="2"/>
    </i>
    <i i="3">
      <x v="3"/>
    </i>
    <i i="4">
      <x v="4"/>
    </i>
    <i i="5">
      <x v="5"/>
    </i>
    <i i="6">
      <x v="6"/>
    </i>
    <i i="7">
      <x v="7"/>
    </i>
    <i i="8">
      <x v="8"/>
    </i>
    <i i="9">
      <x v="9"/>
    </i>
    <i i="10">
      <x v="10"/>
    </i>
    <i i="11">
      <x v="11"/>
    </i>
  </rowItems>
  <colFields count="2">
    <field x="0"/>
    <field x="1"/>
  </colFields>
  <colItems count="10">
    <i>
      <x/>
      <x v="8"/>
    </i>
    <i>
      <x v="1"/>
      <x v="2"/>
    </i>
    <i>
      <x v="2"/>
      <x v="4"/>
    </i>
    <i>
      <x v="3"/>
      <x v="3"/>
    </i>
    <i>
      <x v="4"/>
      <x v="1"/>
    </i>
    <i>
      <x v="5"/>
      <x v="5"/>
    </i>
    <i>
      <x v="6"/>
      <x v="7"/>
    </i>
    <i>
      <x v="7"/>
      <x v="6"/>
    </i>
    <i>
      <x v="8"/>
      <x/>
    </i>
    <i>
      <x v="9"/>
      <x v="9"/>
    </i>
  </colItems>
  <dataFields count="12">
    <dataField name="January " fld="48" baseField="1" baseItem="8"/>
    <dataField name="February " fld="49" baseField="0" baseItem="0"/>
    <dataField name="March " fld="50" baseField="0" baseItem="0"/>
    <dataField name="April " fld="51" baseField="0" baseItem="0"/>
    <dataField name="May " fld="52" baseField="0" baseItem="0"/>
    <dataField name="June " fld="53" baseField="0" baseItem="0"/>
    <dataField name="July " fld="54" baseField="0" baseItem="0"/>
    <dataField name="August " fld="55" baseField="0" baseItem="0"/>
    <dataField name="September " fld="56" baseField="0" baseItem="0"/>
    <dataField name="October " fld="57" baseField="0" baseItem="0"/>
    <dataField name="November " fld="58" baseField="0" baseItem="0"/>
    <dataField name="December " fld="59" baseField="0" baseItem="0"/>
  </dataFields>
  <chartFormats count="130">
    <chartFormat chart="3" format="25" series="1">
      <pivotArea type="data" outline="0" fieldPosition="0">
        <references count="1">
          <reference field="4294967294" count="1" selected="0">
            <x v="1"/>
          </reference>
        </references>
      </pivotArea>
    </chartFormat>
    <chartFormat chart="3" format="26" series="1">
      <pivotArea type="data" outline="0" fieldPosition="0">
        <references count="1">
          <reference field="4294967294" count="1" selected="0">
            <x v="2"/>
          </reference>
        </references>
      </pivotArea>
    </chartFormat>
    <chartFormat chart="3" format="27" series="1">
      <pivotArea type="data" outline="0" fieldPosition="0">
        <references count="1">
          <reference field="4294967294" count="1" selected="0">
            <x v="3"/>
          </reference>
        </references>
      </pivotArea>
    </chartFormat>
    <chartFormat chart="3" format="28" series="1">
      <pivotArea type="data" outline="0" fieldPosition="0">
        <references count="1">
          <reference field="4294967294" count="1" selected="0">
            <x v="4"/>
          </reference>
        </references>
      </pivotArea>
    </chartFormat>
    <chartFormat chart="3" format="29" series="1">
      <pivotArea type="data" outline="0" fieldPosition="0">
        <references count="1">
          <reference field="4294967294" count="1" selected="0">
            <x v="5"/>
          </reference>
        </references>
      </pivotArea>
    </chartFormat>
    <chartFormat chart="3" format="30" series="1">
      <pivotArea type="data" outline="0" fieldPosition="0">
        <references count="1">
          <reference field="4294967294" count="1" selected="0">
            <x v="6"/>
          </reference>
        </references>
      </pivotArea>
    </chartFormat>
    <chartFormat chart="3" format="31" series="1">
      <pivotArea type="data" outline="0" fieldPosition="0">
        <references count="1">
          <reference field="4294967294" count="1" selected="0">
            <x v="7"/>
          </reference>
        </references>
      </pivotArea>
    </chartFormat>
    <chartFormat chart="3" format="32" series="1">
      <pivotArea type="data" outline="0" fieldPosition="0">
        <references count="1">
          <reference field="4294967294" count="1" selected="0">
            <x v="8"/>
          </reference>
        </references>
      </pivotArea>
    </chartFormat>
    <chartFormat chart="3" format="33" series="1">
      <pivotArea type="data" outline="0" fieldPosition="0">
        <references count="1">
          <reference field="4294967294" count="1" selected="0">
            <x v="9"/>
          </reference>
        </references>
      </pivotArea>
    </chartFormat>
    <chartFormat chart="3" format="34" series="1">
      <pivotArea type="data" outline="0" fieldPosition="0">
        <references count="1">
          <reference field="4294967294" count="1" selected="0">
            <x v="10"/>
          </reference>
        </references>
      </pivotArea>
    </chartFormat>
    <chartFormat chart="3" format="35" series="1">
      <pivotArea type="data" outline="0" fieldPosition="0">
        <references count="1">
          <reference field="4294967294" count="1" selected="0">
            <x v="11"/>
          </reference>
        </references>
      </pivotArea>
    </chartFormat>
    <chartFormat chart="3" format="36" series="1">
      <pivotArea type="data" outline="0" fieldPosition="0">
        <references count="2">
          <reference field="4294967294" count="1" selected="0">
            <x v="1"/>
          </reference>
          <reference field="1" count="1" selected="0">
            <x v="2"/>
          </reference>
        </references>
      </pivotArea>
    </chartFormat>
    <chartFormat chart="3" format="37" series="1">
      <pivotArea type="data" outline="0" fieldPosition="0">
        <references count="2">
          <reference field="4294967294" count="1" selected="0">
            <x v="1"/>
          </reference>
          <reference field="1" count="1" selected="0">
            <x v="3"/>
          </reference>
        </references>
      </pivotArea>
    </chartFormat>
    <chartFormat chart="3" format="38" series="1">
      <pivotArea type="data" outline="0" fieldPosition="0">
        <references count="2">
          <reference field="4294967294" count="1" selected="0">
            <x v="1"/>
          </reference>
          <reference field="1" count="1" selected="0">
            <x v="4"/>
          </reference>
        </references>
      </pivotArea>
    </chartFormat>
    <chartFormat chart="3" format="39" series="1">
      <pivotArea type="data" outline="0" fieldPosition="0">
        <references count="2">
          <reference field="4294967294" count="1" selected="0">
            <x v="1"/>
          </reference>
          <reference field="1" count="1" selected="0">
            <x v="5"/>
          </reference>
        </references>
      </pivotArea>
    </chartFormat>
    <chartFormat chart="3" format="40" series="1">
      <pivotArea type="data" outline="0" fieldPosition="0">
        <references count="2">
          <reference field="4294967294" count="1" selected="0">
            <x v="1"/>
          </reference>
          <reference field="1" count="1" selected="0">
            <x v="6"/>
          </reference>
        </references>
      </pivotArea>
    </chartFormat>
    <chartFormat chart="3" format="41" series="1">
      <pivotArea type="data" outline="0" fieldPosition="0">
        <references count="2">
          <reference field="4294967294" count="1" selected="0">
            <x v="1"/>
          </reference>
          <reference field="1" count="1" selected="0">
            <x v="7"/>
          </reference>
        </references>
      </pivotArea>
    </chartFormat>
    <chartFormat chart="3" format="42" series="1">
      <pivotArea type="data" outline="0" fieldPosition="0">
        <references count="2">
          <reference field="4294967294" count="1" selected="0">
            <x v="1"/>
          </reference>
          <reference field="1" count="1" selected="0">
            <x v="8"/>
          </reference>
        </references>
      </pivotArea>
    </chartFormat>
    <chartFormat chart="3" format="43" series="1">
      <pivotArea type="data" outline="0" fieldPosition="0">
        <references count="2">
          <reference field="4294967294" count="1" selected="0">
            <x v="1"/>
          </reference>
          <reference field="1" count="1" selected="0">
            <x v="9"/>
          </reference>
        </references>
      </pivotArea>
    </chartFormat>
    <chartFormat chart="3" format="44" series="1">
      <pivotArea type="data" outline="0" fieldPosition="0">
        <references count="2">
          <reference field="4294967294" count="1" selected="0">
            <x v="2"/>
          </reference>
          <reference field="1" count="1" selected="0">
            <x v="0"/>
          </reference>
        </references>
      </pivotArea>
    </chartFormat>
    <chartFormat chart="3" format="45" series="1">
      <pivotArea type="data" outline="0" fieldPosition="0">
        <references count="2">
          <reference field="4294967294" count="1" selected="0">
            <x v="2"/>
          </reference>
          <reference field="1" count="1" selected="0">
            <x v="1"/>
          </reference>
        </references>
      </pivotArea>
    </chartFormat>
    <chartFormat chart="3" format="46" series="1">
      <pivotArea type="data" outline="0" fieldPosition="0">
        <references count="2">
          <reference field="4294967294" count="1" selected="0">
            <x v="2"/>
          </reference>
          <reference field="1" count="1" selected="0">
            <x v="2"/>
          </reference>
        </references>
      </pivotArea>
    </chartFormat>
    <chartFormat chart="3" format="47" series="1">
      <pivotArea type="data" outline="0" fieldPosition="0">
        <references count="2">
          <reference field="4294967294" count="1" selected="0">
            <x v="2"/>
          </reference>
          <reference field="1" count="1" selected="0">
            <x v="3"/>
          </reference>
        </references>
      </pivotArea>
    </chartFormat>
    <chartFormat chart="3" format="48" series="1">
      <pivotArea type="data" outline="0" fieldPosition="0">
        <references count="2">
          <reference field="4294967294" count="1" selected="0">
            <x v="2"/>
          </reference>
          <reference field="1" count="1" selected="0">
            <x v="4"/>
          </reference>
        </references>
      </pivotArea>
    </chartFormat>
    <chartFormat chart="3" format="49" series="1">
      <pivotArea type="data" outline="0" fieldPosition="0">
        <references count="2">
          <reference field="4294967294" count="1" selected="0">
            <x v="2"/>
          </reference>
          <reference field="1" count="1" selected="0">
            <x v="5"/>
          </reference>
        </references>
      </pivotArea>
    </chartFormat>
    <chartFormat chart="3" format="50" series="1">
      <pivotArea type="data" outline="0" fieldPosition="0">
        <references count="2">
          <reference field="4294967294" count="1" selected="0">
            <x v="2"/>
          </reference>
          <reference field="1" count="1" selected="0">
            <x v="6"/>
          </reference>
        </references>
      </pivotArea>
    </chartFormat>
    <chartFormat chart="3" format="51" series="1">
      <pivotArea type="data" outline="0" fieldPosition="0">
        <references count="2">
          <reference field="4294967294" count="1" selected="0">
            <x v="2"/>
          </reference>
          <reference field="1" count="1" selected="0">
            <x v="7"/>
          </reference>
        </references>
      </pivotArea>
    </chartFormat>
    <chartFormat chart="3" format="52" series="1">
      <pivotArea type="data" outline="0" fieldPosition="0">
        <references count="2">
          <reference field="4294967294" count="1" selected="0">
            <x v="2"/>
          </reference>
          <reference field="1" count="1" selected="0">
            <x v="8"/>
          </reference>
        </references>
      </pivotArea>
    </chartFormat>
    <chartFormat chart="3" format="53" series="1">
      <pivotArea type="data" outline="0" fieldPosition="0">
        <references count="2">
          <reference field="4294967294" count="1" selected="0">
            <x v="2"/>
          </reference>
          <reference field="1" count="1" selected="0">
            <x v="9"/>
          </reference>
        </references>
      </pivotArea>
    </chartFormat>
    <chartFormat chart="3" format="54" series="1">
      <pivotArea type="data" outline="0" fieldPosition="0">
        <references count="2">
          <reference field="4294967294" count="1" selected="0">
            <x v="3"/>
          </reference>
          <reference field="1" count="1" selected="0">
            <x v="0"/>
          </reference>
        </references>
      </pivotArea>
    </chartFormat>
    <chartFormat chart="3" format="55" series="1">
      <pivotArea type="data" outline="0" fieldPosition="0">
        <references count="2">
          <reference field="4294967294" count="1" selected="0">
            <x v="3"/>
          </reference>
          <reference field="1" count="1" selected="0">
            <x v="1"/>
          </reference>
        </references>
      </pivotArea>
    </chartFormat>
    <chartFormat chart="3" format="56" series="1">
      <pivotArea type="data" outline="0" fieldPosition="0">
        <references count="2">
          <reference field="4294967294" count="1" selected="0">
            <x v="3"/>
          </reference>
          <reference field="1" count="1" selected="0">
            <x v="2"/>
          </reference>
        </references>
      </pivotArea>
    </chartFormat>
    <chartFormat chart="3" format="57" series="1">
      <pivotArea type="data" outline="0" fieldPosition="0">
        <references count="2">
          <reference field="4294967294" count="1" selected="0">
            <x v="3"/>
          </reference>
          <reference field="1" count="1" selected="0">
            <x v="3"/>
          </reference>
        </references>
      </pivotArea>
    </chartFormat>
    <chartFormat chart="3" format="58" series="1">
      <pivotArea type="data" outline="0" fieldPosition="0">
        <references count="2">
          <reference field="4294967294" count="1" selected="0">
            <x v="3"/>
          </reference>
          <reference field="1" count="1" selected="0">
            <x v="4"/>
          </reference>
        </references>
      </pivotArea>
    </chartFormat>
    <chartFormat chart="3" format="59" series="1">
      <pivotArea type="data" outline="0" fieldPosition="0">
        <references count="2">
          <reference field="4294967294" count="1" selected="0">
            <x v="3"/>
          </reference>
          <reference field="1" count="1" selected="0">
            <x v="5"/>
          </reference>
        </references>
      </pivotArea>
    </chartFormat>
    <chartFormat chart="3" format="60" series="1">
      <pivotArea type="data" outline="0" fieldPosition="0">
        <references count="2">
          <reference field="4294967294" count="1" selected="0">
            <x v="3"/>
          </reference>
          <reference field="1" count="1" selected="0">
            <x v="6"/>
          </reference>
        </references>
      </pivotArea>
    </chartFormat>
    <chartFormat chart="3" format="61" series="1">
      <pivotArea type="data" outline="0" fieldPosition="0">
        <references count="2">
          <reference field="4294967294" count="1" selected="0">
            <x v="3"/>
          </reference>
          <reference field="1" count="1" selected="0">
            <x v="7"/>
          </reference>
        </references>
      </pivotArea>
    </chartFormat>
    <chartFormat chart="3" format="62" series="1">
      <pivotArea type="data" outline="0" fieldPosition="0">
        <references count="2">
          <reference field="4294967294" count="1" selected="0">
            <x v="3"/>
          </reference>
          <reference field="1" count="1" selected="0">
            <x v="8"/>
          </reference>
        </references>
      </pivotArea>
    </chartFormat>
    <chartFormat chart="3" format="63" series="1">
      <pivotArea type="data" outline="0" fieldPosition="0">
        <references count="2">
          <reference field="4294967294" count="1" selected="0">
            <x v="3"/>
          </reference>
          <reference field="1" count="1" selected="0">
            <x v="9"/>
          </reference>
        </references>
      </pivotArea>
    </chartFormat>
    <chartFormat chart="3" format="64" series="1">
      <pivotArea type="data" outline="0" fieldPosition="0">
        <references count="2">
          <reference field="4294967294" count="1" selected="0">
            <x v="4"/>
          </reference>
          <reference field="1" count="1" selected="0">
            <x v="0"/>
          </reference>
        </references>
      </pivotArea>
    </chartFormat>
    <chartFormat chart="3" format="65" series="1">
      <pivotArea type="data" outline="0" fieldPosition="0">
        <references count="2">
          <reference field="4294967294" count="1" selected="0">
            <x v="4"/>
          </reference>
          <reference field="1" count="1" selected="0">
            <x v="1"/>
          </reference>
        </references>
      </pivotArea>
    </chartFormat>
    <chartFormat chart="3" format="66" series="1">
      <pivotArea type="data" outline="0" fieldPosition="0">
        <references count="2">
          <reference field="4294967294" count="1" selected="0">
            <x v="4"/>
          </reference>
          <reference field="1" count="1" selected="0">
            <x v="2"/>
          </reference>
        </references>
      </pivotArea>
    </chartFormat>
    <chartFormat chart="3" format="67" series="1">
      <pivotArea type="data" outline="0" fieldPosition="0">
        <references count="2">
          <reference field="4294967294" count="1" selected="0">
            <x v="4"/>
          </reference>
          <reference field="1" count="1" selected="0">
            <x v="3"/>
          </reference>
        </references>
      </pivotArea>
    </chartFormat>
    <chartFormat chart="3" format="68" series="1">
      <pivotArea type="data" outline="0" fieldPosition="0">
        <references count="2">
          <reference field="4294967294" count="1" selected="0">
            <x v="4"/>
          </reference>
          <reference field="1" count="1" selected="0">
            <x v="4"/>
          </reference>
        </references>
      </pivotArea>
    </chartFormat>
    <chartFormat chart="3" format="69" series="1">
      <pivotArea type="data" outline="0" fieldPosition="0">
        <references count="2">
          <reference field="4294967294" count="1" selected="0">
            <x v="4"/>
          </reference>
          <reference field="1" count="1" selected="0">
            <x v="5"/>
          </reference>
        </references>
      </pivotArea>
    </chartFormat>
    <chartFormat chart="3" format="70" series="1">
      <pivotArea type="data" outline="0" fieldPosition="0">
        <references count="2">
          <reference field="4294967294" count="1" selected="0">
            <x v="4"/>
          </reference>
          <reference field="1" count="1" selected="0">
            <x v="6"/>
          </reference>
        </references>
      </pivotArea>
    </chartFormat>
    <chartFormat chart="3" format="71" series="1">
      <pivotArea type="data" outline="0" fieldPosition="0">
        <references count="2">
          <reference field="4294967294" count="1" selected="0">
            <x v="4"/>
          </reference>
          <reference field="1" count="1" selected="0">
            <x v="7"/>
          </reference>
        </references>
      </pivotArea>
    </chartFormat>
    <chartFormat chart="3" format="72" series="1">
      <pivotArea type="data" outline="0" fieldPosition="0">
        <references count="2">
          <reference field="4294967294" count="1" selected="0">
            <x v="4"/>
          </reference>
          <reference field="1" count="1" selected="0">
            <x v="8"/>
          </reference>
        </references>
      </pivotArea>
    </chartFormat>
    <chartFormat chart="3" format="73" series="1">
      <pivotArea type="data" outline="0" fieldPosition="0">
        <references count="2">
          <reference field="4294967294" count="1" selected="0">
            <x v="4"/>
          </reference>
          <reference field="1" count="1" selected="0">
            <x v="9"/>
          </reference>
        </references>
      </pivotArea>
    </chartFormat>
    <chartFormat chart="3" format="74" series="1">
      <pivotArea type="data" outline="0" fieldPosition="0">
        <references count="2">
          <reference field="4294967294" count="1" selected="0">
            <x v="5"/>
          </reference>
          <reference field="1" count="1" selected="0">
            <x v="0"/>
          </reference>
        </references>
      </pivotArea>
    </chartFormat>
    <chartFormat chart="3" format="75" series="1">
      <pivotArea type="data" outline="0" fieldPosition="0">
        <references count="2">
          <reference field="4294967294" count="1" selected="0">
            <x v="5"/>
          </reference>
          <reference field="1" count="1" selected="0">
            <x v="1"/>
          </reference>
        </references>
      </pivotArea>
    </chartFormat>
    <chartFormat chart="3" format="76" series="1">
      <pivotArea type="data" outline="0" fieldPosition="0">
        <references count="2">
          <reference field="4294967294" count="1" selected="0">
            <x v="5"/>
          </reference>
          <reference field="1" count="1" selected="0">
            <x v="2"/>
          </reference>
        </references>
      </pivotArea>
    </chartFormat>
    <chartFormat chart="3" format="77" series="1">
      <pivotArea type="data" outline="0" fieldPosition="0">
        <references count="2">
          <reference field="4294967294" count="1" selected="0">
            <x v="5"/>
          </reference>
          <reference field="1" count="1" selected="0">
            <x v="3"/>
          </reference>
        </references>
      </pivotArea>
    </chartFormat>
    <chartFormat chart="3" format="78" series="1">
      <pivotArea type="data" outline="0" fieldPosition="0">
        <references count="2">
          <reference field="4294967294" count="1" selected="0">
            <x v="5"/>
          </reference>
          <reference field="1" count="1" selected="0">
            <x v="4"/>
          </reference>
        </references>
      </pivotArea>
    </chartFormat>
    <chartFormat chart="3" format="79" series="1">
      <pivotArea type="data" outline="0" fieldPosition="0">
        <references count="2">
          <reference field="4294967294" count="1" selected="0">
            <x v="5"/>
          </reference>
          <reference field="1" count="1" selected="0">
            <x v="5"/>
          </reference>
        </references>
      </pivotArea>
    </chartFormat>
    <chartFormat chart="3" format="80" series="1">
      <pivotArea type="data" outline="0" fieldPosition="0">
        <references count="2">
          <reference field="4294967294" count="1" selected="0">
            <x v="5"/>
          </reference>
          <reference field="1" count="1" selected="0">
            <x v="6"/>
          </reference>
        </references>
      </pivotArea>
    </chartFormat>
    <chartFormat chart="3" format="81" series="1">
      <pivotArea type="data" outline="0" fieldPosition="0">
        <references count="2">
          <reference field="4294967294" count="1" selected="0">
            <x v="5"/>
          </reference>
          <reference field="1" count="1" selected="0">
            <x v="7"/>
          </reference>
        </references>
      </pivotArea>
    </chartFormat>
    <chartFormat chart="3" format="82" series="1">
      <pivotArea type="data" outline="0" fieldPosition="0">
        <references count="2">
          <reference field="4294967294" count="1" selected="0">
            <x v="5"/>
          </reference>
          <reference field="1" count="1" selected="0">
            <x v="8"/>
          </reference>
        </references>
      </pivotArea>
    </chartFormat>
    <chartFormat chart="3" format="83" series="1">
      <pivotArea type="data" outline="0" fieldPosition="0">
        <references count="2">
          <reference field="4294967294" count="1" selected="0">
            <x v="5"/>
          </reference>
          <reference field="1" count="1" selected="0">
            <x v="9"/>
          </reference>
        </references>
      </pivotArea>
    </chartFormat>
    <chartFormat chart="3" format="84" series="1">
      <pivotArea type="data" outline="0" fieldPosition="0">
        <references count="2">
          <reference field="4294967294" count="1" selected="0">
            <x v="6"/>
          </reference>
          <reference field="1" count="1" selected="0">
            <x v="0"/>
          </reference>
        </references>
      </pivotArea>
    </chartFormat>
    <chartFormat chart="3" format="85" series="1">
      <pivotArea type="data" outline="0" fieldPosition="0">
        <references count="2">
          <reference field="4294967294" count="1" selected="0">
            <x v="6"/>
          </reference>
          <reference field="1" count="1" selected="0">
            <x v="1"/>
          </reference>
        </references>
      </pivotArea>
    </chartFormat>
    <chartFormat chart="3" format="86" series="1">
      <pivotArea type="data" outline="0" fieldPosition="0">
        <references count="2">
          <reference field="4294967294" count="1" selected="0">
            <x v="6"/>
          </reference>
          <reference field="1" count="1" selected="0">
            <x v="2"/>
          </reference>
        </references>
      </pivotArea>
    </chartFormat>
    <chartFormat chart="3" format="87" series="1">
      <pivotArea type="data" outline="0" fieldPosition="0">
        <references count="2">
          <reference field="4294967294" count="1" selected="0">
            <x v="6"/>
          </reference>
          <reference field="1" count="1" selected="0">
            <x v="3"/>
          </reference>
        </references>
      </pivotArea>
    </chartFormat>
    <chartFormat chart="3" format="88" series="1">
      <pivotArea type="data" outline="0" fieldPosition="0">
        <references count="2">
          <reference field="4294967294" count="1" selected="0">
            <x v="6"/>
          </reference>
          <reference field="1" count="1" selected="0">
            <x v="4"/>
          </reference>
        </references>
      </pivotArea>
    </chartFormat>
    <chartFormat chart="3" format="89" series="1">
      <pivotArea type="data" outline="0" fieldPosition="0">
        <references count="2">
          <reference field="4294967294" count="1" selected="0">
            <x v="6"/>
          </reference>
          <reference field="1" count="1" selected="0">
            <x v="5"/>
          </reference>
        </references>
      </pivotArea>
    </chartFormat>
    <chartFormat chart="3" format="90" series="1">
      <pivotArea type="data" outline="0" fieldPosition="0">
        <references count="2">
          <reference field="4294967294" count="1" selected="0">
            <x v="6"/>
          </reference>
          <reference field="1" count="1" selected="0">
            <x v="6"/>
          </reference>
        </references>
      </pivotArea>
    </chartFormat>
    <chartFormat chart="3" format="91" series="1">
      <pivotArea type="data" outline="0" fieldPosition="0">
        <references count="2">
          <reference field="4294967294" count="1" selected="0">
            <x v="6"/>
          </reference>
          <reference field="1" count="1" selected="0">
            <x v="7"/>
          </reference>
        </references>
      </pivotArea>
    </chartFormat>
    <chartFormat chart="3" format="92" series="1">
      <pivotArea type="data" outline="0" fieldPosition="0">
        <references count="2">
          <reference field="4294967294" count="1" selected="0">
            <x v="6"/>
          </reference>
          <reference field="1" count="1" selected="0">
            <x v="8"/>
          </reference>
        </references>
      </pivotArea>
    </chartFormat>
    <chartFormat chart="3" format="93" series="1">
      <pivotArea type="data" outline="0" fieldPosition="0">
        <references count="2">
          <reference field="4294967294" count="1" selected="0">
            <x v="6"/>
          </reference>
          <reference field="1" count="1" selected="0">
            <x v="9"/>
          </reference>
        </references>
      </pivotArea>
    </chartFormat>
    <chartFormat chart="3" format="94" series="1">
      <pivotArea type="data" outline="0" fieldPosition="0">
        <references count="2">
          <reference field="4294967294" count="1" selected="0">
            <x v="7"/>
          </reference>
          <reference field="1" count="1" selected="0">
            <x v="0"/>
          </reference>
        </references>
      </pivotArea>
    </chartFormat>
    <chartFormat chart="3" format="95" series="1">
      <pivotArea type="data" outline="0" fieldPosition="0">
        <references count="2">
          <reference field="4294967294" count="1" selected="0">
            <x v="7"/>
          </reference>
          <reference field="1" count="1" selected="0">
            <x v="1"/>
          </reference>
        </references>
      </pivotArea>
    </chartFormat>
    <chartFormat chart="3" format="96" series="1">
      <pivotArea type="data" outline="0" fieldPosition="0">
        <references count="2">
          <reference field="4294967294" count="1" selected="0">
            <x v="7"/>
          </reference>
          <reference field="1" count="1" selected="0">
            <x v="2"/>
          </reference>
        </references>
      </pivotArea>
    </chartFormat>
    <chartFormat chart="3" format="97" series="1">
      <pivotArea type="data" outline="0" fieldPosition="0">
        <references count="2">
          <reference field="4294967294" count="1" selected="0">
            <x v="7"/>
          </reference>
          <reference field="1" count="1" selected="0">
            <x v="3"/>
          </reference>
        </references>
      </pivotArea>
    </chartFormat>
    <chartFormat chart="3" format="98" series="1">
      <pivotArea type="data" outline="0" fieldPosition="0">
        <references count="2">
          <reference field="4294967294" count="1" selected="0">
            <x v="7"/>
          </reference>
          <reference field="1" count="1" selected="0">
            <x v="4"/>
          </reference>
        </references>
      </pivotArea>
    </chartFormat>
    <chartFormat chart="3" format="99" series="1">
      <pivotArea type="data" outline="0" fieldPosition="0">
        <references count="2">
          <reference field="4294967294" count="1" selected="0">
            <x v="7"/>
          </reference>
          <reference field="1" count="1" selected="0">
            <x v="5"/>
          </reference>
        </references>
      </pivotArea>
    </chartFormat>
    <chartFormat chart="3" format="100" series="1">
      <pivotArea type="data" outline="0" fieldPosition="0">
        <references count="2">
          <reference field="4294967294" count="1" selected="0">
            <x v="7"/>
          </reference>
          <reference field="1" count="1" selected="0">
            <x v="6"/>
          </reference>
        </references>
      </pivotArea>
    </chartFormat>
    <chartFormat chart="3" format="101" series="1">
      <pivotArea type="data" outline="0" fieldPosition="0">
        <references count="2">
          <reference field="4294967294" count="1" selected="0">
            <x v="7"/>
          </reference>
          <reference field="1" count="1" selected="0">
            <x v="7"/>
          </reference>
        </references>
      </pivotArea>
    </chartFormat>
    <chartFormat chart="3" format="102" series="1">
      <pivotArea type="data" outline="0" fieldPosition="0">
        <references count="2">
          <reference field="4294967294" count="1" selected="0">
            <x v="7"/>
          </reference>
          <reference field="1" count="1" selected="0">
            <x v="8"/>
          </reference>
        </references>
      </pivotArea>
    </chartFormat>
    <chartFormat chart="3" format="103" series="1">
      <pivotArea type="data" outline="0" fieldPosition="0">
        <references count="2">
          <reference field="4294967294" count="1" selected="0">
            <x v="7"/>
          </reference>
          <reference field="1" count="1" selected="0">
            <x v="9"/>
          </reference>
        </references>
      </pivotArea>
    </chartFormat>
    <chartFormat chart="3" format="104" series="1">
      <pivotArea type="data" outline="0" fieldPosition="0">
        <references count="2">
          <reference field="4294967294" count="1" selected="0">
            <x v="8"/>
          </reference>
          <reference field="1" count="1" selected="0">
            <x v="0"/>
          </reference>
        </references>
      </pivotArea>
    </chartFormat>
    <chartFormat chart="3" format="105" series="1">
      <pivotArea type="data" outline="0" fieldPosition="0">
        <references count="2">
          <reference field="4294967294" count="1" selected="0">
            <x v="8"/>
          </reference>
          <reference field="1" count="1" selected="0">
            <x v="1"/>
          </reference>
        </references>
      </pivotArea>
    </chartFormat>
    <chartFormat chart="3" format="106" series="1">
      <pivotArea type="data" outline="0" fieldPosition="0">
        <references count="2">
          <reference field="4294967294" count="1" selected="0">
            <x v="8"/>
          </reference>
          <reference field="1" count="1" selected="0">
            <x v="2"/>
          </reference>
        </references>
      </pivotArea>
    </chartFormat>
    <chartFormat chart="3" format="107" series="1">
      <pivotArea type="data" outline="0" fieldPosition="0">
        <references count="2">
          <reference field="4294967294" count="1" selected="0">
            <x v="8"/>
          </reference>
          <reference field="1" count="1" selected="0">
            <x v="3"/>
          </reference>
        </references>
      </pivotArea>
    </chartFormat>
    <chartFormat chart="3" format="108" series="1">
      <pivotArea type="data" outline="0" fieldPosition="0">
        <references count="2">
          <reference field="4294967294" count="1" selected="0">
            <x v="8"/>
          </reference>
          <reference field="1" count="1" selected="0">
            <x v="4"/>
          </reference>
        </references>
      </pivotArea>
    </chartFormat>
    <chartFormat chart="3" format="109" series="1">
      <pivotArea type="data" outline="0" fieldPosition="0">
        <references count="2">
          <reference field="4294967294" count="1" selected="0">
            <x v="8"/>
          </reference>
          <reference field="1" count="1" selected="0">
            <x v="5"/>
          </reference>
        </references>
      </pivotArea>
    </chartFormat>
    <chartFormat chart="3" format="110" series="1">
      <pivotArea type="data" outline="0" fieldPosition="0">
        <references count="2">
          <reference field="4294967294" count="1" selected="0">
            <x v="8"/>
          </reference>
          <reference field="1" count="1" selected="0">
            <x v="6"/>
          </reference>
        </references>
      </pivotArea>
    </chartFormat>
    <chartFormat chart="3" format="111" series="1">
      <pivotArea type="data" outline="0" fieldPosition="0">
        <references count="2">
          <reference field="4294967294" count="1" selected="0">
            <x v="8"/>
          </reference>
          <reference field="1" count="1" selected="0">
            <x v="7"/>
          </reference>
        </references>
      </pivotArea>
    </chartFormat>
    <chartFormat chart="3" format="112" series="1">
      <pivotArea type="data" outline="0" fieldPosition="0">
        <references count="2">
          <reference field="4294967294" count="1" selected="0">
            <x v="8"/>
          </reference>
          <reference field="1" count="1" selected="0">
            <x v="8"/>
          </reference>
        </references>
      </pivotArea>
    </chartFormat>
    <chartFormat chart="3" format="113" series="1">
      <pivotArea type="data" outline="0" fieldPosition="0">
        <references count="2">
          <reference field="4294967294" count="1" selected="0">
            <x v="8"/>
          </reference>
          <reference field="1" count="1" selected="0">
            <x v="9"/>
          </reference>
        </references>
      </pivotArea>
    </chartFormat>
    <chartFormat chart="3" format="114" series="1">
      <pivotArea type="data" outline="0" fieldPosition="0">
        <references count="2">
          <reference field="4294967294" count="1" selected="0">
            <x v="9"/>
          </reference>
          <reference field="1" count="1" selected="0">
            <x v="0"/>
          </reference>
        </references>
      </pivotArea>
    </chartFormat>
    <chartFormat chart="3" format="115" series="1">
      <pivotArea type="data" outline="0" fieldPosition="0">
        <references count="2">
          <reference field="4294967294" count="1" selected="0">
            <x v="9"/>
          </reference>
          <reference field="1" count="1" selected="0">
            <x v="1"/>
          </reference>
        </references>
      </pivotArea>
    </chartFormat>
    <chartFormat chart="3" format="116" series="1">
      <pivotArea type="data" outline="0" fieldPosition="0">
        <references count="2">
          <reference field="4294967294" count="1" selected="0">
            <x v="9"/>
          </reference>
          <reference field="1" count="1" selected="0">
            <x v="2"/>
          </reference>
        </references>
      </pivotArea>
    </chartFormat>
    <chartFormat chart="3" format="117" series="1">
      <pivotArea type="data" outline="0" fieldPosition="0">
        <references count="2">
          <reference field="4294967294" count="1" selected="0">
            <x v="9"/>
          </reference>
          <reference field="1" count="1" selected="0">
            <x v="3"/>
          </reference>
        </references>
      </pivotArea>
    </chartFormat>
    <chartFormat chart="3" format="118" series="1">
      <pivotArea type="data" outline="0" fieldPosition="0">
        <references count="2">
          <reference field="4294967294" count="1" selected="0">
            <x v="9"/>
          </reference>
          <reference field="1" count="1" selected="0">
            <x v="4"/>
          </reference>
        </references>
      </pivotArea>
    </chartFormat>
    <chartFormat chart="3" format="119" series="1">
      <pivotArea type="data" outline="0" fieldPosition="0">
        <references count="2">
          <reference field="4294967294" count="1" selected="0">
            <x v="9"/>
          </reference>
          <reference field="1" count="1" selected="0">
            <x v="5"/>
          </reference>
        </references>
      </pivotArea>
    </chartFormat>
    <chartFormat chart="3" format="120" series="1">
      <pivotArea type="data" outline="0" fieldPosition="0">
        <references count="2">
          <reference field="4294967294" count="1" selected="0">
            <x v="9"/>
          </reference>
          <reference field="1" count="1" selected="0">
            <x v="6"/>
          </reference>
        </references>
      </pivotArea>
    </chartFormat>
    <chartFormat chart="3" format="121" series="1">
      <pivotArea type="data" outline="0" fieldPosition="0">
        <references count="2">
          <reference field="4294967294" count="1" selected="0">
            <x v="9"/>
          </reference>
          <reference field="1" count="1" selected="0">
            <x v="7"/>
          </reference>
        </references>
      </pivotArea>
    </chartFormat>
    <chartFormat chart="3" format="122" series="1">
      <pivotArea type="data" outline="0" fieldPosition="0">
        <references count="2">
          <reference field="4294967294" count="1" selected="0">
            <x v="9"/>
          </reference>
          <reference field="1" count="1" selected="0">
            <x v="8"/>
          </reference>
        </references>
      </pivotArea>
    </chartFormat>
    <chartFormat chart="3" format="123" series="1">
      <pivotArea type="data" outline="0" fieldPosition="0">
        <references count="2">
          <reference field="4294967294" count="1" selected="0">
            <x v="9"/>
          </reference>
          <reference field="1" count="1" selected="0">
            <x v="9"/>
          </reference>
        </references>
      </pivotArea>
    </chartFormat>
    <chartFormat chart="3" format="124" series="1">
      <pivotArea type="data" outline="0" fieldPosition="0">
        <references count="2">
          <reference field="4294967294" count="1" selected="0">
            <x v="10"/>
          </reference>
          <reference field="1" count="1" selected="0">
            <x v="0"/>
          </reference>
        </references>
      </pivotArea>
    </chartFormat>
    <chartFormat chart="3" format="125" series="1">
      <pivotArea type="data" outline="0" fieldPosition="0">
        <references count="2">
          <reference field="4294967294" count="1" selected="0">
            <x v="10"/>
          </reference>
          <reference field="1" count="1" selected="0">
            <x v="1"/>
          </reference>
        </references>
      </pivotArea>
    </chartFormat>
    <chartFormat chart="3" format="126" series="1">
      <pivotArea type="data" outline="0" fieldPosition="0">
        <references count="2">
          <reference field="4294967294" count="1" selected="0">
            <x v="10"/>
          </reference>
          <reference field="1" count="1" selected="0">
            <x v="2"/>
          </reference>
        </references>
      </pivotArea>
    </chartFormat>
    <chartFormat chart="3" format="127" series="1">
      <pivotArea type="data" outline="0" fieldPosition="0">
        <references count="2">
          <reference field="4294967294" count="1" selected="0">
            <x v="10"/>
          </reference>
          <reference field="1" count="1" selected="0">
            <x v="3"/>
          </reference>
        </references>
      </pivotArea>
    </chartFormat>
    <chartFormat chart="3" format="128" series="1">
      <pivotArea type="data" outline="0" fieldPosition="0">
        <references count="2">
          <reference field="4294967294" count="1" selected="0">
            <x v="10"/>
          </reference>
          <reference field="1" count="1" selected="0">
            <x v="4"/>
          </reference>
        </references>
      </pivotArea>
    </chartFormat>
    <chartFormat chart="3" format="129" series="1">
      <pivotArea type="data" outline="0" fieldPosition="0">
        <references count="2">
          <reference field="4294967294" count="1" selected="0">
            <x v="10"/>
          </reference>
          <reference field="1" count="1" selected="0">
            <x v="5"/>
          </reference>
        </references>
      </pivotArea>
    </chartFormat>
    <chartFormat chart="3" format="130" series="1">
      <pivotArea type="data" outline="0" fieldPosition="0">
        <references count="2">
          <reference field="4294967294" count="1" selected="0">
            <x v="10"/>
          </reference>
          <reference field="1" count="1" selected="0">
            <x v="6"/>
          </reference>
        </references>
      </pivotArea>
    </chartFormat>
    <chartFormat chart="3" format="131" series="1">
      <pivotArea type="data" outline="0" fieldPosition="0">
        <references count="2">
          <reference field="4294967294" count="1" selected="0">
            <x v="10"/>
          </reference>
          <reference field="1" count="1" selected="0">
            <x v="7"/>
          </reference>
        </references>
      </pivotArea>
    </chartFormat>
    <chartFormat chart="3" format="132" series="1">
      <pivotArea type="data" outline="0" fieldPosition="0">
        <references count="2">
          <reference field="4294967294" count="1" selected="0">
            <x v="10"/>
          </reference>
          <reference field="1" count="1" selected="0">
            <x v="8"/>
          </reference>
        </references>
      </pivotArea>
    </chartFormat>
    <chartFormat chart="3" format="133" series="1">
      <pivotArea type="data" outline="0" fieldPosition="0">
        <references count="2">
          <reference field="4294967294" count="1" selected="0">
            <x v="10"/>
          </reference>
          <reference field="1" count="1" selected="0">
            <x v="9"/>
          </reference>
        </references>
      </pivotArea>
    </chartFormat>
    <chartFormat chart="3" format="134" series="1">
      <pivotArea type="data" outline="0" fieldPosition="0">
        <references count="2">
          <reference field="4294967294" count="1" selected="0">
            <x v="11"/>
          </reference>
          <reference field="1" count="1" selected="0">
            <x v="0"/>
          </reference>
        </references>
      </pivotArea>
    </chartFormat>
    <chartFormat chart="3" format="135" series="1">
      <pivotArea type="data" outline="0" fieldPosition="0">
        <references count="2">
          <reference field="4294967294" count="1" selected="0">
            <x v="11"/>
          </reference>
          <reference field="1" count="1" selected="0">
            <x v="1"/>
          </reference>
        </references>
      </pivotArea>
    </chartFormat>
    <chartFormat chart="3" format="136" series="1">
      <pivotArea type="data" outline="0" fieldPosition="0">
        <references count="2">
          <reference field="4294967294" count="1" selected="0">
            <x v="11"/>
          </reference>
          <reference field="1" count="1" selected="0">
            <x v="2"/>
          </reference>
        </references>
      </pivotArea>
    </chartFormat>
    <chartFormat chart="3" format="137" series="1">
      <pivotArea type="data" outline="0" fieldPosition="0">
        <references count="2">
          <reference field="4294967294" count="1" selected="0">
            <x v="11"/>
          </reference>
          <reference field="1" count="1" selected="0">
            <x v="3"/>
          </reference>
        </references>
      </pivotArea>
    </chartFormat>
    <chartFormat chart="3" format="138" series="1">
      <pivotArea type="data" outline="0" fieldPosition="0">
        <references count="2">
          <reference field="4294967294" count="1" selected="0">
            <x v="11"/>
          </reference>
          <reference field="1" count="1" selected="0">
            <x v="4"/>
          </reference>
        </references>
      </pivotArea>
    </chartFormat>
    <chartFormat chart="3" format="139" series="1">
      <pivotArea type="data" outline="0" fieldPosition="0">
        <references count="2">
          <reference field="4294967294" count="1" selected="0">
            <x v="11"/>
          </reference>
          <reference field="1" count="1" selected="0">
            <x v="5"/>
          </reference>
        </references>
      </pivotArea>
    </chartFormat>
    <chartFormat chart="3" format="140" series="1">
      <pivotArea type="data" outline="0" fieldPosition="0">
        <references count="2">
          <reference field="4294967294" count="1" selected="0">
            <x v="11"/>
          </reference>
          <reference field="1" count="1" selected="0">
            <x v="6"/>
          </reference>
        </references>
      </pivotArea>
    </chartFormat>
    <chartFormat chart="3" format="141" series="1">
      <pivotArea type="data" outline="0" fieldPosition="0">
        <references count="2">
          <reference field="4294967294" count="1" selected="0">
            <x v="11"/>
          </reference>
          <reference field="1" count="1" selected="0">
            <x v="7"/>
          </reference>
        </references>
      </pivotArea>
    </chartFormat>
    <chartFormat chart="3" format="142" series="1">
      <pivotArea type="data" outline="0" fieldPosition="0">
        <references count="2">
          <reference field="4294967294" count="1" selected="0">
            <x v="11"/>
          </reference>
          <reference field="1" count="1" selected="0">
            <x v="8"/>
          </reference>
        </references>
      </pivotArea>
    </chartFormat>
    <chartFormat chart="3" format="143" series="1">
      <pivotArea type="data" outline="0" fieldPosition="0">
        <references count="2">
          <reference field="4294967294" count="1" selected="0">
            <x v="11"/>
          </reference>
          <reference field="1" count="1" selected="0">
            <x v="9"/>
          </reference>
        </references>
      </pivotArea>
    </chartFormat>
    <chartFormat chart="3" format="144" series="1">
      <pivotArea type="data" outline="0" fieldPosition="0">
        <references count="1">
          <reference field="4294967294" count="1" selected="0">
            <x v="0"/>
          </reference>
        </references>
      </pivotArea>
    </chartFormat>
    <chartFormat chart="3" format="145" series="1">
      <pivotArea type="data" outline="0" fieldPosition="0">
        <references count="3">
          <reference field="4294967294" count="1" selected="0">
            <x v="0"/>
          </reference>
          <reference field="0" count="1" selected="0">
            <x v="1"/>
          </reference>
          <reference field="1" count="1" selected="0">
            <x v="2"/>
          </reference>
        </references>
      </pivotArea>
    </chartFormat>
    <chartFormat chart="3" format="146" series="1">
      <pivotArea type="data" outline="0" fieldPosition="0">
        <references count="3">
          <reference field="4294967294" count="1" selected="0">
            <x v="0"/>
          </reference>
          <reference field="0" count="1" selected="0">
            <x v="2"/>
          </reference>
          <reference field="1" count="1" selected="0">
            <x v="4"/>
          </reference>
        </references>
      </pivotArea>
    </chartFormat>
    <chartFormat chart="3" format="147" series="1">
      <pivotArea type="data" outline="0" fieldPosition="0">
        <references count="3">
          <reference field="4294967294" count="1" selected="0">
            <x v="0"/>
          </reference>
          <reference field="0" count="1" selected="0">
            <x v="3"/>
          </reference>
          <reference field="1" count="1" selected="0">
            <x v="3"/>
          </reference>
        </references>
      </pivotArea>
    </chartFormat>
    <chartFormat chart="3" format="148" series="1">
      <pivotArea type="data" outline="0" fieldPosition="0">
        <references count="3">
          <reference field="4294967294" count="1" selected="0">
            <x v="0"/>
          </reference>
          <reference field="0" count="1" selected="0">
            <x v="4"/>
          </reference>
          <reference field="1" count="1" selected="0">
            <x v="1"/>
          </reference>
        </references>
      </pivotArea>
    </chartFormat>
    <chartFormat chart="3" format="149" series="1">
      <pivotArea type="data" outline="0" fieldPosition="0">
        <references count="3">
          <reference field="4294967294" count="1" selected="0">
            <x v="0"/>
          </reference>
          <reference field="0" count="1" selected="0">
            <x v="5"/>
          </reference>
          <reference field="1" count="1" selected="0">
            <x v="5"/>
          </reference>
        </references>
      </pivotArea>
    </chartFormat>
    <chartFormat chart="3" format="150" series="1">
      <pivotArea type="data" outline="0" fieldPosition="0">
        <references count="3">
          <reference field="4294967294" count="1" selected="0">
            <x v="0"/>
          </reference>
          <reference field="0" count="1" selected="0">
            <x v="6"/>
          </reference>
          <reference field="1" count="1" selected="0">
            <x v="7"/>
          </reference>
        </references>
      </pivotArea>
    </chartFormat>
    <chartFormat chart="3" format="151" series="1">
      <pivotArea type="data" outline="0" fieldPosition="0">
        <references count="3">
          <reference field="4294967294" count="1" selected="0">
            <x v="0"/>
          </reference>
          <reference field="0" count="1" selected="0">
            <x v="7"/>
          </reference>
          <reference field="1" count="1" selected="0">
            <x v="6"/>
          </reference>
        </references>
      </pivotArea>
    </chartFormat>
    <chartFormat chart="3" format="152" series="1">
      <pivotArea type="data" outline="0" fieldPosition="0">
        <references count="3">
          <reference field="4294967294" count="1" selected="0">
            <x v="0"/>
          </reference>
          <reference field="0" count="1" selected="0">
            <x v="8"/>
          </reference>
          <reference field="1" count="1" selected="0">
            <x v="0"/>
          </reference>
        </references>
      </pivotArea>
    </chartFormat>
    <chartFormat chart="3" format="153" series="1">
      <pivotArea type="data" outline="0" fieldPosition="0">
        <references count="2">
          <reference field="4294967294" count="1" selected="0">
            <x v="0"/>
          </reference>
          <reference field="0" count="1" selected="0">
            <x v="9"/>
          </reference>
        </references>
      </pivotArea>
    </chartFormat>
    <chartFormat chart="3" format="154" series="1">
      <pivotArea type="data" outline="0" fieldPosition="0">
        <references count="3">
          <reference field="4294967294" count="1" selected="0">
            <x v="0"/>
          </reference>
          <reference field="0" count="1" selected="0">
            <x v="0"/>
          </reference>
          <reference field="1"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997E52E-FE30-4A0C-BFD7-D3F11E97DCCA}" name="Rest_Types"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8">
  <location ref="F1:S11" firstHeaderRow="0" firstDataRow="1" firstDataCol="2"/>
  <pivotFields count="71">
    <pivotField axis="axisRow" compact="0" outline="0" showAll="0" defaultSubtotal="0">
      <items count="10">
        <item x="1"/>
        <item x="5"/>
        <item x="7"/>
        <item x="2"/>
        <item x="6"/>
        <item x="8"/>
        <item x="9"/>
        <item x="4"/>
        <item x="0"/>
        <item x="3"/>
      </items>
      <extLst>
        <ext xmlns:x14="http://schemas.microsoft.com/office/spreadsheetml/2009/9/main" uri="{2946ED86-A175-432a-8AC1-64E0C546D7DE}">
          <x14:pivotField fillDownLabels="1"/>
        </ext>
      </extLst>
    </pivotField>
    <pivotField axis="axisRow" compact="0" outline="0" showAll="0" defaultSubtotal="0">
      <items count="10">
        <item x="0"/>
        <item x="6"/>
        <item x="5"/>
        <item x="2"/>
        <item x="7"/>
        <item x="8"/>
        <item x="4"/>
        <item x="9"/>
        <item x="1"/>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2">
    <field x="0"/>
    <field x="1"/>
  </rowFields>
  <rowItems count="10">
    <i>
      <x/>
      <x v="8"/>
    </i>
    <i>
      <x v="1"/>
      <x v="2"/>
    </i>
    <i>
      <x v="2"/>
      <x v="4"/>
    </i>
    <i>
      <x v="3"/>
      <x v="3"/>
    </i>
    <i>
      <x v="4"/>
      <x v="1"/>
    </i>
    <i>
      <x v="5"/>
      <x v="5"/>
    </i>
    <i>
      <x v="6"/>
      <x v="7"/>
    </i>
    <i>
      <x v="7"/>
      <x v="6"/>
    </i>
    <i>
      <x v="8"/>
      <x/>
    </i>
    <i>
      <x v="9"/>
      <x v="9"/>
    </i>
  </rowItems>
  <colFields count="1">
    <field x="-2"/>
  </colFields>
  <colItems count="12">
    <i>
      <x/>
    </i>
    <i i="1">
      <x v="1"/>
    </i>
    <i i="2">
      <x v="2"/>
    </i>
    <i i="3">
      <x v="3"/>
    </i>
    <i i="4">
      <x v="4"/>
    </i>
    <i i="5">
      <x v="5"/>
    </i>
    <i i="6">
      <x v="6"/>
    </i>
    <i i="7">
      <x v="7"/>
    </i>
    <i i="8">
      <x v="8"/>
    </i>
    <i i="9">
      <x v="9"/>
    </i>
    <i i="10">
      <x v="10"/>
    </i>
    <i i="11">
      <x v="11"/>
    </i>
  </colItems>
  <dataFields count="12">
    <dataField name="American " fld="4" baseField="0" baseItem="0"/>
    <dataField name="Café " fld="5" baseField="0" baseItem="0"/>
    <dataField name="Deserts " fld="6" baseField="0" baseItem="0"/>
    <dataField name="Others " fld="7" baseField="0" baseItem="0"/>
    <dataField name="Italian " fld="8" baseField="0" baseItem="0"/>
    <dataField name="Mexican " fld="9" baseField="0" baseItem="0"/>
    <dataField name="Barbecue " fld="10" baseField="0" baseItem="0"/>
    <dataField name="Healthy " fld="12" baseField="0" baseItem="0"/>
    <dataField name="Bar and Pub " fld="11" baseField="0" baseItem="0"/>
    <dataField name="Asian " fld="13" baseField="0" baseItem="0"/>
    <dataField name="Afghan " fld="14" baseField="0" baseItem="0"/>
    <dataField name="Indian " fld="15" baseField="0" baseItem="0"/>
  </dataFields>
  <chartFormats count="48">
    <chartFormat chart="1" format="12" series="1">
      <pivotArea type="data" outline="0" fieldPosition="0">
        <references count="1">
          <reference field="4294967294" count="1" selected="0">
            <x v="0"/>
          </reference>
        </references>
      </pivotArea>
    </chartFormat>
    <chartFormat chart="1" format="13" series="1">
      <pivotArea type="data" outline="0" fieldPosition="0">
        <references count="1">
          <reference field="4294967294" count="1" selected="0">
            <x v="1"/>
          </reference>
        </references>
      </pivotArea>
    </chartFormat>
    <chartFormat chart="1" format="14" series="1">
      <pivotArea type="data" outline="0" fieldPosition="0">
        <references count="1">
          <reference field="4294967294" count="1" selected="0">
            <x v="2"/>
          </reference>
        </references>
      </pivotArea>
    </chartFormat>
    <chartFormat chart="1" format="15" series="1">
      <pivotArea type="data" outline="0" fieldPosition="0">
        <references count="1">
          <reference field="4294967294" count="1" selected="0">
            <x v="3"/>
          </reference>
        </references>
      </pivotArea>
    </chartFormat>
    <chartFormat chart="1" format="16" series="1">
      <pivotArea type="data" outline="0" fieldPosition="0">
        <references count="1">
          <reference field="4294967294" count="1" selected="0">
            <x v="4"/>
          </reference>
        </references>
      </pivotArea>
    </chartFormat>
    <chartFormat chart="1" format="17" series="1">
      <pivotArea type="data" outline="0" fieldPosition="0">
        <references count="1">
          <reference field="4294967294" count="1" selected="0">
            <x v="5"/>
          </reference>
        </references>
      </pivotArea>
    </chartFormat>
    <chartFormat chart="1" format="18" series="1">
      <pivotArea type="data" outline="0" fieldPosition="0">
        <references count="1">
          <reference field="4294967294" count="1" selected="0">
            <x v="6"/>
          </reference>
        </references>
      </pivotArea>
    </chartFormat>
    <chartFormat chart="1" format="19" series="1">
      <pivotArea type="data" outline="0" fieldPosition="0">
        <references count="1">
          <reference field="4294967294" count="1" selected="0">
            <x v="7"/>
          </reference>
        </references>
      </pivotArea>
    </chartFormat>
    <chartFormat chart="1" format="20" series="1">
      <pivotArea type="data" outline="0" fieldPosition="0">
        <references count="1">
          <reference field="4294967294" count="1" selected="0">
            <x v="8"/>
          </reference>
        </references>
      </pivotArea>
    </chartFormat>
    <chartFormat chart="1" format="21" series="1">
      <pivotArea type="data" outline="0" fieldPosition="0">
        <references count="1">
          <reference field="4294967294" count="1" selected="0">
            <x v="9"/>
          </reference>
        </references>
      </pivotArea>
    </chartFormat>
    <chartFormat chart="1" format="22" series="1">
      <pivotArea type="data" outline="0" fieldPosition="0">
        <references count="1">
          <reference field="4294967294" count="1" selected="0">
            <x v="10"/>
          </reference>
        </references>
      </pivotArea>
    </chartFormat>
    <chartFormat chart="1" format="23" series="1">
      <pivotArea type="data" outline="0" fieldPosition="0">
        <references count="1">
          <reference field="4294967294" count="1" selected="0">
            <x v="11"/>
          </reference>
        </references>
      </pivotArea>
    </chartFormat>
    <chartFormat chart="3" format="36" series="1">
      <pivotArea type="data" outline="0" fieldPosition="0">
        <references count="1">
          <reference field="4294967294" count="1" selected="0">
            <x v="0"/>
          </reference>
        </references>
      </pivotArea>
    </chartFormat>
    <chartFormat chart="3" format="37" series="1">
      <pivotArea type="data" outline="0" fieldPosition="0">
        <references count="1">
          <reference field="4294967294" count="1" selected="0">
            <x v="1"/>
          </reference>
        </references>
      </pivotArea>
    </chartFormat>
    <chartFormat chart="3" format="38" series="1">
      <pivotArea type="data" outline="0" fieldPosition="0">
        <references count="1">
          <reference field="4294967294" count="1" selected="0">
            <x v="2"/>
          </reference>
        </references>
      </pivotArea>
    </chartFormat>
    <chartFormat chart="3" format="39" series="1">
      <pivotArea type="data" outline="0" fieldPosition="0">
        <references count="1">
          <reference field="4294967294" count="1" selected="0">
            <x v="3"/>
          </reference>
        </references>
      </pivotArea>
    </chartFormat>
    <chartFormat chart="3" format="40" series="1">
      <pivotArea type="data" outline="0" fieldPosition="0">
        <references count="1">
          <reference field="4294967294" count="1" selected="0">
            <x v="4"/>
          </reference>
        </references>
      </pivotArea>
    </chartFormat>
    <chartFormat chart="3" format="41" series="1">
      <pivotArea type="data" outline="0" fieldPosition="0">
        <references count="1">
          <reference field="4294967294" count="1" selected="0">
            <x v="5"/>
          </reference>
        </references>
      </pivotArea>
    </chartFormat>
    <chartFormat chart="3" format="42" series="1">
      <pivotArea type="data" outline="0" fieldPosition="0">
        <references count="1">
          <reference field="4294967294" count="1" selected="0">
            <x v="6"/>
          </reference>
        </references>
      </pivotArea>
    </chartFormat>
    <chartFormat chart="3" format="43" series="1">
      <pivotArea type="data" outline="0" fieldPosition="0">
        <references count="1">
          <reference field="4294967294" count="1" selected="0">
            <x v="7"/>
          </reference>
        </references>
      </pivotArea>
    </chartFormat>
    <chartFormat chart="3" format="44" series="1">
      <pivotArea type="data" outline="0" fieldPosition="0">
        <references count="1">
          <reference field="4294967294" count="1" selected="0">
            <x v="8"/>
          </reference>
        </references>
      </pivotArea>
    </chartFormat>
    <chartFormat chart="3" format="45" series="1">
      <pivotArea type="data" outline="0" fieldPosition="0">
        <references count="1">
          <reference field="4294967294" count="1" selected="0">
            <x v="9"/>
          </reference>
        </references>
      </pivotArea>
    </chartFormat>
    <chartFormat chart="3" format="46" series="1">
      <pivotArea type="data" outline="0" fieldPosition="0">
        <references count="1">
          <reference field="4294967294" count="1" selected="0">
            <x v="10"/>
          </reference>
        </references>
      </pivotArea>
    </chartFormat>
    <chartFormat chart="3" format="47" series="1">
      <pivotArea type="data" outline="0" fieldPosition="0">
        <references count="1">
          <reference field="4294967294" count="1" selected="0">
            <x v="11"/>
          </reference>
        </references>
      </pivotArea>
    </chartFormat>
    <chartFormat chart="5" format="60" series="1">
      <pivotArea type="data" outline="0" fieldPosition="0">
        <references count="1">
          <reference field="4294967294" count="1" selected="0">
            <x v="0"/>
          </reference>
        </references>
      </pivotArea>
    </chartFormat>
    <chartFormat chart="5" format="61" series="1">
      <pivotArea type="data" outline="0" fieldPosition="0">
        <references count="1">
          <reference field="4294967294" count="1" selected="0">
            <x v="1"/>
          </reference>
        </references>
      </pivotArea>
    </chartFormat>
    <chartFormat chart="5" format="62" series="1">
      <pivotArea type="data" outline="0" fieldPosition="0">
        <references count="1">
          <reference field="4294967294" count="1" selected="0">
            <x v="2"/>
          </reference>
        </references>
      </pivotArea>
    </chartFormat>
    <chartFormat chart="5" format="63" series="1">
      <pivotArea type="data" outline="0" fieldPosition="0">
        <references count="1">
          <reference field="4294967294" count="1" selected="0">
            <x v="3"/>
          </reference>
        </references>
      </pivotArea>
    </chartFormat>
    <chartFormat chart="5" format="64" series="1">
      <pivotArea type="data" outline="0" fieldPosition="0">
        <references count="1">
          <reference field="4294967294" count="1" selected="0">
            <x v="4"/>
          </reference>
        </references>
      </pivotArea>
    </chartFormat>
    <chartFormat chart="5" format="65" series="1">
      <pivotArea type="data" outline="0" fieldPosition="0">
        <references count="1">
          <reference field="4294967294" count="1" selected="0">
            <x v="5"/>
          </reference>
        </references>
      </pivotArea>
    </chartFormat>
    <chartFormat chart="5" format="66" series="1">
      <pivotArea type="data" outline="0" fieldPosition="0">
        <references count="1">
          <reference field="4294967294" count="1" selected="0">
            <x v="6"/>
          </reference>
        </references>
      </pivotArea>
    </chartFormat>
    <chartFormat chart="5" format="67" series="1">
      <pivotArea type="data" outline="0" fieldPosition="0">
        <references count="1">
          <reference field="4294967294" count="1" selected="0">
            <x v="7"/>
          </reference>
        </references>
      </pivotArea>
    </chartFormat>
    <chartFormat chart="5" format="68" series="1">
      <pivotArea type="data" outline="0" fieldPosition="0">
        <references count="1">
          <reference field="4294967294" count="1" selected="0">
            <x v="8"/>
          </reference>
        </references>
      </pivotArea>
    </chartFormat>
    <chartFormat chart="5" format="69" series="1">
      <pivotArea type="data" outline="0" fieldPosition="0">
        <references count="1">
          <reference field="4294967294" count="1" selected="0">
            <x v="9"/>
          </reference>
        </references>
      </pivotArea>
    </chartFormat>
    <chartFormat chart="5" format="70" series="1">
      <pivotArea type="data" outline="0" fieldPosition="0">
        <references count="1">
          <reference field="4294967294" count="1" selected="0">
            <x v="10"/>
          </reference>
        </references>
      </pivotArea>
    </chartFormat>
    <chartFormat chart="5" format="71" series="1">
      <pivotArea type="data" outline="0" fieldPosition="0">
        <references count="1">
          <reference field="4294967294" count="1" selected="0">
            <x v="11"/>
          </reference>
        </references>
      </pivotArea>
    </chartFormat>
    <chartFormat chart="7" format="60" series="1">
      <pivotArea type="data" outline="0" fieldPosition="0">
        <references count="1">
          <reference field="4294967294" count="1" selected="0">
            <x v="0"/>
          </reference>
        </references>
      </pivotArea>
    </chartFormat>
    <chartFormat chart="7" format="61" series="1">
      <pivotArea type="data" outline="0" fieldPosition="0">
        <references count="1">
          <reference field="4294967294" count="1" selected="0">
            <x v="1"/>
          </reference>
        </references>
      </pivotArea>
    </chartFormat>
    <chartFormat chart="7" format="62" series="1">
      <pivotArea type="data" outline="0" fieldPosition="0">
        <references count="1">
          <reference field="4294967294" count="1" selected="0">
            <x v="2"/>
          </reference>
        </references>
      </pivotArea>
    </chartFormat>
    <chartFormat chart="7" format="63" series="1">
      <pivotArea type="data" outline="0" fieldPosition="0">
        <references count="1">
          <reference field="4294967294" count="1" selected="0">
            <x v="3"/>
          </reference>
        </references>
      </pivotArea>
    </chartFormat>
    <chartFormat chart="7" format="64" series="1">
      <pivotArea type="data" outline="0" fieldPosition="0">
        <references count="1">
          <reference field="4294967294" count="1" selected="0">
            <x v="4"/>
          </reference>
        </references>
      </pivotArea>
    </chartFormat>
    <chartFormat chart="7" format="65" series="1">
      <pivotArea type="data" outline="0" fieldPosition="0">
        <references count="1">
          <reference field="4294967294" count="1" selected="0">
            <x v="5"/>
          </reference>
        </references>
      </pivotArea>
    </chartFormat>
    <chartFormat chart="7" format="66" series="1">
      <pivotArea type="data" outline="0" fieldPosition="0">
        <references count="1">
          <reference field="4294967294" count="1" selected="0">
            <x v="6"/>
          </reference>
        </references>
      </pivotArea>
    </chartFormat>
    <chartFormat chart="7" format="67" series="1">
      <pivotArea type="data" outline="0" fieldPosition="0">
        <references count="1">
          <reference field="4294967294" count="1" selected="0">
            <x v="7"/>
          </reference>
        </references>
      </pivotArea>
    </chartFormat>
    <chartFormat chart="7" format="68" series="1">
      <pivotArea type="data" outline="0" fieldPosition="0">
        <references count="1">
          <reference field="4294967294" count="1" selected="0">
            <x v="8"/>
          </reference>
        </references>
      </pivotArea>
    </chartFormat>
    <chartFormat chart="7" format="69" series="1">
      <pivotArea type="data" outline="0" fieldPosition="0">
        <references count="1">
          <reference field="4294967294" count="1" selected="0">
            <x v="9"/>
          </reference>
        </references>
      </pivotArea>
    </chartFormat>
    <chartFormat chart="7" format="70" series="1">
      <pivotArea type="data" outline="0" fieldPosition="0">
        <references count="1">
          <reference field="4294967294" count="1" selected="0">
            <x v="10"/>
          </reference>
        </references>
      </pivotArea>
    </chartFormat>
    <chartFormat chart="7" format="71" series="1">
      <pivotArea type="data" outline="0" fieldPosition="0">
        <references count="1">
          <reference field="429496729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6AAF0B3-2BCB-4FDC-9783-70F47DB41237}" name="Overall_Restaurents"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6">
  <location ref="A1:C11" firstHeaderRow="1" firstDataRow="1" firstDataCol="2"/>
  <pivotFields count="71">
    <pivotField axis="axisRow" compact="0" outline="0" showAll="0" defaultSubtotal="0">
      <items count="10">
        <item x="1"/>
        <item x="5"/>
        <item x="7"/>
        <item x="2"/>
        <item x="6"/>
        <item x="8"/>
        <item x="9"/>
        <item x="4"/>
        <item x="0"/>
        <item x="3"/>
      </items>
      <extLst>
        <ext xmlns:x14="http://schemas.microsoft.com/office/spreadsheetml/2009/9/main" uri="{2946ED86-A175-432a-8AC1-64E0C546D7DE}">
          <x14:pivotField fillDownLabels="1"/>
        </ext>
      </extLst>
    </pivotField>
    <pivotField axis="axisRow" compact="0" outline="0" showAll="0" defaultSubtotal="0">
      <items count="10">
        <item x="0"/>
        <item x="6"/>
        <item x="5"/>
        <item x="2"/>
        <item x="7"/>
        <item x="8"/>
        <item x="4"/>
        <item x="9"/>
        <item x="1"/>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2">
    <field x="0"/>
    <field x="1"/>
  </rowFields>
  <rowItems count="10">
    <i>
      <x/>
      <x v="8"/>
    </i>
    <i>
      <x v="1"/>
      <x v="2"/>
    </i>
    <i>
      <x v="2"/>
      <x v="4"/>
    </i>
    <i>
      <x v="3"/>
      <x v="3"/>
    </i>
    <i>
      <x v="4"/>
      <x v="1"/>
    </i>
    <i>
      <x v="5"/>
      <x v="5"/>
    </i>
    <i>
      <x v="6"/>
      <x v="7"/>
    </i>
    <i>
      <x v="7"/>
      <x v="6"/>
    </i>
    <i>
      <x v="8"/>
      <x/>
    </i>
    <i>
      <x v="9"/>
      <x v="9"/>
    </i>
  </rowItems>
  <colItems count="1">
    <i/>
  </colItems>
  <dataFields count="1">
    <dataField name="Overall Restaurants" fld="16" baseField="0" baseItem="0"/>
  </dataFields>
  <chartFormats count="2">
    <chartFormat chart="1" format="1"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FF7BCE6-08BC-4F91-86C6-DD2F73FE18D2}" name="Overall_Hospital"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4">
  <location ref="A1:C11" firstHeaderRow="1" firstDataRow="1" firstDataCol="2"/>
  <pivotFields count="71">
    <pivotField axis="axisRow" compact="0" outline="0" showAll="0" defaultSubtotal="0">
      <items count="10">
        <item x="1"/>
        <item x="5"/>
        <item x="7"/>
        <item x="2"/>
        <item x="6"/>
        <item x="8"/>
        <item x="9"/>
        <item x="4"/>
        <item x="0"/>
        <item x="3"/>
      </items>
    </pivotField>
    <pivotField axis="axisRow" compact="0" outline="0" showAll="0" defaultSubtotal="0">
      <items count="10">
        <item x="0"/>
        <item x="6"/>
        <item x="5"/>
        <item x="2"/>
        <item x="7"/>
        <item x="8"/>
        <item x="4"/>
        <item x="9"/>
        <item x="1"/>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 outline="0" showAll="0" defaultSubtotal="0"/>
    <pivotField compact="0" numFmtId="1" outline="0" showAll="0" defaultSubtotal="0"/>
    <pivotField compact="0" numFmtId="1" outline="0" showAll="0" defaultSubtotal="0"/>
    <pivotField compact="0" numFmtId="1"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2">
    <field x="0"/>
    <field x="1"/>
  </rowFields>
  <rowItems count="10">
    <i>
      <x/>
      <x v="8"/>
    </i>
    <i>
      <x v="1"/>
      <x v="2"/>
    </i>
    <i>
      <x v="2"/>
      <x v="4"/>
    </i>
    <i>
      <x v="3"/>
      <x v="3"/>
    </i>
    <i>
      <x v="4"/>
      <x v="1"/>
    </i>
    <i>
      <x v="5"/>
      <x v="5"/>
    </i>
    <i>
      <x v="6"/>
      <x v="7"/>
    </i>
    <i>
      <x v="7"/>
      <x v="6"/>
    </i>
    <i>
      <x v="8"/>
      <x/>
    </i>
    <i>
      <x v="9"/>
      <x v="9"/>
    </i>
  </rowItems>
  <colItems count="1">
    <i/>
  </colItems>
  <dataFields count="1">
    <dataField name="Overall Hospital" fld="34" baseField="0" baseItem="0"/>
  </dataFields>
  <chartFormats count="2">
    <chartFormat chart="1" format="1"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E428B77-4E26-435E-AC28-428B4F5446B9}" name="Hosp_Type"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4">
  <location ref="H1:S11" firstHeaderRow="0" firstDataRow="1" firstDataCol="2"/>
  <pivotFields count="71">
    <pivotField axis="axisRow" compact="0" outline="0" showAll="0" defaultSubtotal="0">
      <items count="10">
        <item x="1"/>
        <item x="5"/>
        <item x="7"/>
        <item x="2"/>
        <item x="6"/>
        <item x="8"/>
        <item x="9"/>
        <item x="4"/>
        <item x="0"/>
        <item x="3"/>
      </items>
      <extLst>
        <ext xmlns:x14="http://schemas.microsoft.com/office/spreadsheetml/2009/9/main" uri="{2946ED86-A175-432a-8AC1-64E0C546D7DE}">
          <x14:pivotField fillDownLabels="1"/>
        </ext>
      </extLst>
    </pivotField>
    <pivotField axis="axisRow" compact="0" outline="0" showAll="0" defaultSubtotal="0">
      <items count="10">
        <item x="0"/>
        <item x="6"/>
        <item x="5"/>
        <item x="2"/>
        <item x="7"/>
        <item x="8"/>
        <item x="4"/>
        <item x="9"/>
        <item x="1"/>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2">
    <field x="0"/>
    <field x="1"/>
  </rowFields>
  <rowItems count="10">
    <i>
      <x/>
      <x v="8"/>
    </i>
    <i>
      <x v="1"/>
      <x v="2"/>
    </i>
    <i>
      <x v="2"/>
      <x v="4"/>
    </i>
    <i>
      <x v="3"/>
      <x v="3"/>
    </i>
    <i>
      <x v="4"/>
      <x v="1"/>
    </i>
    <i>
      <x v="5"/>
      <x v="5"/>
    </i>
    <i>
      <x v="6"/>
      <x v="7"/>
    </i>
    <i>
      <x v="7"/>
      <x v="6"/>
    </i>
    <i>
      <x v="8"/>
      <x/>
    </i>
    <i>
      <x v="9"/>
      <x v="9"/>
    </i>
  </rowItems>
  <colFields count="1">
    <field x="-2"/>
  </colFields>
  <colItems count="10">
    <i>
      <x/>
    </i>
    <i i="1">
      <x v="1"/>
    </i>
    <i i="2">
      <x v="2"/>
    </i>
    <i i="3">
      <x v="3"/>
    </i>
    <i i="4">
      <x v="4"/>
    </i>
    <i i="5">
      <x v="5"/>
    </i>
    <i i="6">
      <x v="6"/>
    </i>
    <i i="7">
      <x v="7"/>
    </i>
    <i i="8">
      <x v="8"/>
    </i>
    <i i="9">
      <x v="9"/>
    </i>
  </colItems>
  <dataFields count="10">
    <dataField name="GENERAL ACUTE CARE " fld="24" baseField="0" baseItem="0"/>
    <dataField name="SPECIAL " fld="25" baseField="0" baseItem="0"/>
    <dataField name="CHILDREN " fld="26" baseField="0" baseItem="0"/>
    <dataField name="LONG TERM CARE " fld="27" baseField="0" baseItem="0"/>
    <dataField name="PSYCHIATRIC " fld="28" baseField="0" baseItem="0"/>
    <dataField name="REHABILITATION " fld="29" baseField="0" baseItem="0"/>
    <dataField name="CRITICAL ACCESS " fld="30" baseField="0" baseItem="0"/>
    <dataField name="MILITARY " fld="31" baseField="0" baseItem="0"/>
    <dataField name="WOMEN " fld="32" baseField="0" baseItem="0"/>
    <dataField name="CHRONIC DISEASE " fld="33" baseField="0" baseItem="0"/>
  </dataFields>
  <chartFormats count="30">
    <chartFormat chart="1" format="10" series="1">
      <pivotArea type="data" outline="0" fieldPosition="0">
        <references count="1">
          <reference field="4294967294" count="1" selected="0">
            <x v="0"/>
          </reference>
        </references>
      </pivotArea>
    </chartFormat>
    <chartFormat chart="1" format="11" series="1">
      <pivotArea type="data" outline="0" fieldPosition="0">
        <references count="1">
          <reference field="4294967294" count="1" selected="0">
            <x v="1"/>
          </reference>
        </references>
      </pivotArea>
    </chartFormat>
    <chartFormat chart="1" format="12" series="1">
      <pivotArea type="data" outline="0" fieldPosition="0">
        <references count="1">
          <reference field="4294967294" count="1" selected="0">
            <x v="2"/>
          </reference>
        </references>
      </pivotArea>
    </chartFormat>
    <chartFormat chart="1" format="13" series="1">
      <pivotArea type="data" outline="0" fieldPosition="0">
        <references count="1">
          <reference field="4294967294" count="1" selected="0">
            <x v="3"/>
          </reference>
        </references>
      </pivotArea>
    </chartFormat>
    <chartFormat chart="1" format="14" series="1">
      <pivotArea type="data" outline="0" fieldPosition="0">
        <references count="1">
          <reference field="4294967294" count="1" selected="0">
            <x v="4"/>
          </reference>
        </references>
      </pivotArea>
    </chartFormat>
    <chartFormat chart="1" format="15" series="1">
      <pivotArea type="data" outline="0" fieldPosition="0">
        <references count="1">
          <reference field="4294967294" count="1" selected="0">
            <x v="5"/>
          </reference>
        </references>
      </pivotArea>
    </chartFormat>
    <chartFormat chart="1" format="16" series="1">
      <pivotArea type="data" outline="0" fieldPosition="0">
        <references count="1">
          <reference field="4294967294" count="1" selected="0">
            <x v="6"/>
          </reference>
        </references>
      </pivotArea>
    </chartFormat>
    <chartFormat chart="1" format="17" series="1">
      <pivotArea type="data" outline="0" fieldPosition="0">
        <references count="1">
          <reference field="4294967294" count="1" selected="0">
            <x v="7"/>
          </reference>
        </references>
      </pivotArea>
    </chartFormat>
    <chartFormat chart="1" format="18" series="1">
      <pivotArea type="data" outline="0" fieldPosition="0">
        <references count="1">
          <reference field="4294967294" count="1" selected="0">
            <x v="8"/>
          </reference>
        </references>
      </pivotArea>
    </chartFormat>
    <chartFormat chart="1" format="19" series="1">
      <pivotArea type="data" outline="0" fieldPosition="0">
        <references count="1">
          <reference field="4294967294" count="1" selected="0">
            <x v="9"/>
          </reference>
        </references>
      </pivotArea>
    </chartFormat>
    <chartFormat chart="2" format="20" series="1">
      <pivotArea type="data" outline="0" fieldPosition="0">
        <references count="1">
          <reference field="4294967294" count="1" selected="0">
            <x v="0"/>
          </reference>
        </references>
      </pivotArea>
    </chartFormat>
    <chartFormat chart="2" format="21" series="1">
      <pivotArea type="data" outline="0" fieldPosition="0">
        <references count="1">
          <reference field="4294967294" count="1" selected="0">
            <x v="1"/>
          </reference>
        </references>
      </pivotArea>
    </chartFormat>
    <chartFormat chart="2" format="22" series="1">
      <pivotArea type="data" outline="0" fieldPosition="0">
        <references count="1">
          <reference field="4294967294" count="1" selected="0">
            <x v="2"/>
          </reference>
        </references>
      </pivotArea>
    </chartFormat>
    <chartFormat chart="2" format="23" series="1">
      <pivotArea type="data" outline="0" fieldPosition="0">
        <references count="1">
          <reference field="4294967294" count="1" selected="0">
            <x v="3"/>
          </reference>
        </references>
      </pivotArea>
    </chartFormat>
    <chartFormat chart="2" format="24" series="1">
      <pivotArea type="data" outline="0" fieldPosition="0">
        <references count="1">
          <reference field="4294967294" count="1" selected="0">
            <x v="4"/>
          </reference>
        </references>
      </pivotArea>
    </chartFormat>
    <chartFormat chart="2" format="25" series="1">
      <pivotArea type="data" outline="0" fieldPosition="0">
        <references count="1">
          <reference field="4294967294" count="1" selected="0">
            <x v="5"/>
          </reference>
        </references>
      </pivotArea>
    </chartFormat>
    <chartFormat chart="2" format="26" series="1">
      <pivotArea type="data" outline="0" fieldPosition="0">
        <references count="1">
          <reference field="4294967294" count="1" selected="0">
            <x v="6"/>
          </reference>
        </references>
      </pivotArea>
    </chartFormat>
    <chartFormat chart="2" format="27" series="1">
      <pivotArea type="data" outline="0" fieldPosition="0">
        <references count="1">
          <reference field="4294967294" count="1" selected="0">
            <x v="7"/>
          </reference>
        </references>
      </pivotArea>
    </chartFormat>
    <chartFormat chart="2" format="28" series="1">
      <pivotArea type="data" outline="0" fieldPosition="0">
        <references count="1">
          <reference field="4294967294" count="1" selected="0">
            <x v="8"/>
          </reference>
        </references>
      </pivotArea>
    </chartFormat>
    <chartFormat chart="2" format="29" series="1">
      <pivotArea type="data" outline="0" fieldPosition="0">
        <references count="1">
          <reference field="4294967294" count="1" selected="0">
            <x v="9"/>
          </reference>
        </references>
      </pivotArea>
    </chartFormat>
    <chartFormat chart="3" format="30" series="1">
      <pivotArea type="data" outline="0" fieldPosition="0">
        <references count="1">
          <reference field="4294967294" count="1" selected="0">
            <x v="0"/>
          </reference>
        </references>
      </pivotArea>
    </chartFormat>
    <chartFormat chart="3" format="31" series="1">
      <pivotArea type="data" outline="0" fieldPosition="0">
        <references count="1">
          <reference field="4294967294" count="1" selected="0">
            <x v="1"/>
          </reference>
        </references>
      </pivotArea>
    </chartFormat>
    <chartFormat chart="3" format="32" series="1">
      <pivotArea type="data" outline="0" fieldPosition="0">
        <references count="1">
          <reference field="4294967294" count="1" selected="0">
            <x v="2"/>
          </reference>
        </references>
      </pivotArea>
    </chartFormat>
    <chartFormat chart="3" format="33" series="1">
      <pivotArea type="data" outline="0" fieldPosition="0">
        <references count="1">
          <reference field="4294967294" count="1" selected="0">
            <x v="3"/>
          </reference>
        </references>
      </pivotArea>
    </chartFormat>
    <chartFormat chart="3" format="34" series="1">
      <pivotArea type="data" outline="0" fieldPosition="0">
        <references count="1">
          <reference field="4294967294" count="1" selected="0">
            <x v="4"/>
          </reference>
        </references>
      </pivotArea>
    </chartFormat>
    <chartFormat chart="3" format="35" series="1">
      <pivotArea type="data" outline="0" fieldPosition="0">
        <references count="1">
          <reference field="4294967294" count="1" selected="0">
            <x v="5"/>
          </reference>
        </references>
      </pivotArea>
    </chartFormat>
    <chartFormat chart="3" format="36" series="1">
      <pivotArea type="data" outline="0" fieldPosition="0">
        <references count="1">
          <reference field="4294967294" count="1" selected="0">
            <x v="6"/>
          </reference>
        </references>
      </pivotArea>
    </chartFormat>
    <chartFormat chart="3" format="37" series="1">
      <pivotArea type="data" outline="0" fieldPosition="0">
        <references count="1">
          <reference field="4294967294" count="1" selected="0">
            <x v="7"/>
          </reference>
        </references>
      </pivotArea>
    </chartFormat>
    <chartFormat chart="3" format="38" series="1">
      <pivotArea type="data" outline="0" fieldPosition="0">
        <references count="1">
          <reference field="4294967294" count="1" selected="0">
            <x v="8"/>
          </reference>
        </references>
      </pivotArea>
    </chartFormat>
    <chartFormat chart="3" format="39" series="1">
      <pivotArea type="data" outline="0" fieldPosition="0">
        <references count="1">
          <reference field="4294967294"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BEB2911-86F7-48FA-9114-23F57028F737}" name="Rec_Type"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
  <location ref="A16:K26" firstHeaderRow="0" firstDataRow="1" firstDataCol="1"/>
  <pivotFields count="71">
    <pivotField compact="0" outline="0" showAll="0" defaultSubtotal="0"/>
    <pivotField axis="axisRow" compact="0" outline="0" showAll="0" defaultSubtotal="0">
      <items count="10">
        <item x="0"/>
        <item x="6"/>
        <item x="5"/>
        <item x="2"/>
        <item x="7"/>
        <item x="8"/>
        <item x="4"/>
        <item x="9"/>
        <item x="1"/>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 outline="0" showAll="0" defaultSubtotal="0"/>
    <pivotField compact="0" numFmtId="1" outline="0" showAll="0" defaultSubtotal="0"/>
    <pivotField compact="0" numFmtId="1" outline="0" showAll="0" defaultSubtotal="0"/>
    <pivotField compact="0" numFmtId="1"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ubtotalTop="0" showAll="0" defaultSubtotal="0"/>
  </pivotFields>
  <rowFields count="1">
    <field x="1"/>
  </rowFields>
  <rowItems count="10">
    <i>
      <x/>
    </i>
    <i>
      <x v="1"/>
    </i>
    <i>
      <x v="2"/>
    </i>
    <i>
      <x v="3"/>
    </i>
    <i>
      <x v="4"/>
    </i>
    <i>
      <x v="5"/>
    </i>
    <i>
      <x v="6"/>
    </i>
    <i>
      <x v="7"/>
    </i>
    <i>
      <x v="8"/>
    </i>
    <i>
      <x v="9"/>
    </i>
  </rowItems>
  <colFields count="1">
    <field x="-2"/>
  </colFields>
  <colItems count="10">
    <i>
      <x/>
    </i>
    <i i="1">
      <x v="1"/>
    </i>
    <i i="2">
      <x v="2"/>
    </i>
    <i i="3">
      <x v="3"/>
    </i>
    <i i="4">
      <x v="4"/>
    </i>
    <i i="5">
      <x v="5"/>
    </i>
    <i i="6">
      <x v="6"/>
    </i>
    <i i="7">
      <x v="7"/>
    </i>
    <i i="8">
      <x v="8"/>
    </i>
    <i i="9">
      <x v="9"/>
    </i>
  </colItems>
  <dataFields count="10">
    <dataField name="BOATING " fld="60" baseField="1" baseItem="3"/>
    <dataField name="FISHING " fld="61" baseField="1" baseItem="3"/>
    <dataField name="PICNICKING " fld="62" baseField="1" baseItem="3"/>
    <dataField name="WILDLIFE VIEWING " fld="63" baseField="1" baseItem="3"/>
    <dataField name="HIKING " fld="64" baseField="1" baseItem="3"/>
    <dataField name="BIKING " fld="65" baseField="1" baseItem="3"/>
    <dataField name="CAMPING " fld="66" baseField="1" baseItem="3"/>
    <dataField name="WATER SPORTS " fld="67" baseField="1" baseItem="3"/>
    <dataField name="OFF HIGHWAY VEHICLE " fld="68" baseField="1" baseItem="3"/>
    <dataField name="HORSEBACK RIDING " fld="69" baseField="1" baseItem="3"/>
  </dataFields>
  <chartFormats count="20">
    <chartFormat chart="1" format="10" series="1">
      <pivotArea type="data" outline="0" fieldPosition="0">
        <references count="1">
          <reference field="4294967294" count="1" selected="0">
            <x v="0"/>
          </reference>
        </references>
      </pivotArea>
    </chartFormat>
    <chartFormat chart="1" format="11" series="1">
      <pivotArea type="data" outline="0" fieldPosition="0">
        <references count="1">
          <reference field="4294967294" count="1" selected="0">
            <x v="1"/>
          </reference>
        </references>
      </pivotArea>
    </chartFormat>
    <chartFormat chart="1" format="12" series="1">
      <pivotArea type="data" outline="0" fieldPosition="0">
        <references count="1">
          <reference field="4294967294" count="1" selected="0">
            <x v="2"/>
          </reference>
        </references>
      </pivotArea>
    </chartFormat>
    <chartFormat chart="1" format="13" series="1">
      <pivotArea type="data" outline="0" fieldPosition="0">
        <references count="1">
          <reference field="4294967294" count="1" selected="0">
            <x v="3"/>
          </reference>
        </references>
      </pivotArea>
    </chartFormat>
    <chartFormat chart="1" format="14" series="1">
      <pivotArea type="data" outline="0" fieldPosition="0">
        <references count="1">
          <reference field="4294967294" count="1" selected="0">
            <x v="4"/>
          </reference>
        </references>
      </pivotArea>
    </chartFormat>
    <chartFormat chart="1" format="15" series="1">
      <pivotArea type="data" outline="0" fieldPosition="0">
        <references count="1">
          <reference field="4294967294" count="1" selected="0">
            <x v="5"/>
          </reference>
        </references>
      </pivotArea>
    </chartFormat>
    <chartFormat chart="1" format="16" series="1">
      <pivotArea type="data" outline="0" fieldPosition="0">
        <references count="1">
          <reference field="4294967294" count="1" selected="0">
            <x v="6"/>
          </reference>
        </references>
      </pivotArea>
    </chartFormat>
    <chartFormat chart="1" format="17" series="1">
      <pivotArea type="data" outline="0" fieldPosition="0">
        <references count="1">
          <reference field="4294967294" count="1" selected="0">
            <x v="7"/>
          </reference>
        </references>
      </pivotArea>
    </chartFormat>
    <chartFormat chart="1" format="18" series="1">
      <pivotArea type="data" outline="0" fieldPosition="0">
        <references count="1">
          <reference field="4294967294" count="1" selected="0">
            <x v="8"/>
          </reference>
        </references>
      </pivotArea>
    </chartFormat>
    <chartFormat chart="1" format="19" series="1">
      <pivotArea type="data" outline="0" fieldPosition="0">
        <references count="1">
          <reference field="4294967294" count="1" selected="0">
            <x v="9"/>
          </reference>
        </references>
      </pivotArea>
    </chartFormat>
    <chartFormat chart="2" format="20" series="1">
      <pivotArea type="data" outline="0" fieldPosition="0">
        <references count="1">
          <reference field="4294967294" count="1" selected="0">
            <x v="0"/>
          </reference>
        </references>
      </pivotArea>
    </chartFormat>
    <chartFormat chart="2" format="21" series="1">
      <pivotArea type="data" outline="0" fieldPosition="0">
        <references count="1">
          <reference field="4294967294" count="1" selected="0">
            <x v="1"/>
          </reference>
        </references>
      </pivotArea>
    </chartFormat>
    <chartFormat chart="2" format="22" series="1">
      <pivotArea type="data" outline="0" fieldPosition="0">
        <references count="1">
          <reference field="4294967294" count="1" selected="0">
            <x v="2"/>
          </reference>
        </references>
      </pivotArea>
    </chartFormat>
    <chartFormat chart="2" format="23" series="1">
      <pivotArea type="data" outline="0" fieldPosition="0">
        <references count="1">
          <reference field="4294967294" count="1" selected="0">
            <x v="3"/>
          </reference>
        </references>
      </pivotArea>
    </chartFormat>
    <chartFormat chart="2" format="24" series="1">
      <pivotArea type="data" outline="0" fieldPosition="0">
        <references count="1">
          <reference field="4294967294" count="1" selected="0">
            <x v="4"/>
          </reference>
        </references>
      </pivotArea>
    </chartFormat>
    <chartFormat chart="2" format="25" series="1">
      <pivotArea type="data" outline="0" fieldPosition="0">
        <references count="1">
          <reference field="4294967294" count="1" selected="0">
            <x v="5"/>
          </reference>
        </references>
      </pivotArea>
    </chartFormat>
    <chartFormat chart="2" format="26" series="1">
      <pivotArea type="data" outline="0" fieldPosition="0">
        <references count="1">
          <reference field="4294967294" count="1" selected="0">
            <x v="6"/>
          </reference>
        </references>
      </pivotArea>
    </chartFormat>
    <chartFormat chart="2" format="27" series="1">
      <pivotArea type="data" outline="0" fieldPosition="0">
        <references count="1">
          <reference field="4294967294" count="1" selected="0">
            <x v="7"/>
          </reference>
        </references>
      </pivotArea>
    </chartFormat>
    <chartFormat chart="2" format="28" series="1">
      <pivotArea type="data" outline="0" fieldPosition="0">
        <references count="1">
          <reference field="4294967294" count="1" selected="0">
            <x v="8"/>
          </reference>
        </references>
      </pivotArea>
    </chartFormat>
    <chartFormat chart="2" format="29" series="1">
      <pivotArea type="data" outline="0" fieldPosition="0">
        <references count="1">
          <reference field="4294967294"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DEBF9F0-FCD2-444F-ACBA-3D383B4B7140}" name="Overall_Rec"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3:C13" firstHeaderRow="1" firstDataRow="1" firstDataCol="2"/>
  <pivotFields count="71">
    <pivotField axis="axisRow" compact="0" outline="0" showAll="0" defaultSubtotal="0">
      <items count="10">
        <item x="1"/>
        <item x="5"/>
        <item x="7"/>
        <item x="2"/>
        <item x="6"/>
        <item x="8"/>
        <item x="9"/>
        <item x="4"/>
        <item x="0"/>
        <item x="3"/>
      </items>
    </pivotField>
    <pivotField axis="axisRow" compact="0" outline="0" showAll="0" defaultSubtotal="0">
      <items count="10">
        <item x="0"/>
        <item x="6"/>
        <item x="5"/>
        <item x="2"/>
        <item x="7"/>
        <item x="8"/>
        <item x="4"/>
        <item x="9"/>
        <item x="1"/>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 outline="0" showAll="0" defaultSubtotal="0"/>
    <pivotField compact="0" numFmtId="1" outline="0" showAll="0" defaultSubtotal="0"/>
    <pivotField compact="0" numFmtId="1" outline="0" showAll="0" defaultSubtotal="0"/>
    <pivotField compact="0" numFmtId="1"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ubtotalTop="0" showAll="0" defaultSubtotal="0"/>
  </pivotFields>
  <rowFields count="2">
    <field x="0"/>
    <field x="1"/>
  </rowFields>
  <rowItems count="10">
    <i>
      <x/>
      <x v="8"/>
    </i>
    <i>
      <x v="1"/>
      <x v="2"/>
    </i>
    <i>
      <x v="2"/>
      <x v="4"/>
    </i>
    <i>
      <x v="3"/>
      <x v="3"/>
    </i>
    <i>
      <x v="4"/>
      <x v="1"/>
    </i>
    <i>
      <x v="5"/>
      <x v="5"/>
    </i>
    <i>
      <x v="6"/>
      <x v="7"/>
    </i>
    <i>
      <x v="7"/>
      <x v="6"/>
    </i>
    <i>
      <x v="8"/>
      <x/>
    </i>
    <i>
      <x v="9"/>
      <x v="9"/>
    </i>
  </rowItems>
  <colItems count="1">
    <i/>
  </colItems>
  <dataFields count="1">
    <dataField name="Recreation " fld="7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319BCB1-A8C4-4422-95C8-0361FBD1BF83}" name="Crime_Year" cacheId="2"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0">
  <location ref="A16:K28" firstHeaderRow="1" firstDataRow="3" firstDataCol="1"/>
  <pivotFields count="71">
    <pivotField axis="axisCol" compact="0" outline="0" showAll="0" defaultSubtotal="0">
      <items count="10">
        <item x="1"/>
        <item x="5"/>
        <item x="7"/>
        <item x="2"/>
        <item x="6"/>
        <item x="8"/>
        <item x="9"/>
        <item x="4"/>
        <item x="0"/>
        <item x="3"/>
      </items>
    </pivotField>
    <pivotField axis="axisCol" compact="0" outline="0" showAll="0" defaultSubtotal="0">
      <items count="10">
        <item x="0"/>
        <item x="6"/>
        <item x="5"/>
        <item x="2"/>
        <item x="7"/>
        <item x="8"/>
        <item x="4"/>
        <item x="9"/>
        <item x="1"/>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 outline="0" showAll="0" defaultSubtotal="0"/>
    <pivotField compact="0" numFmtId="1" outline="0" showAll="0" defaultSubtotal="0"/>
    <pivotField compact="0" numFmtId="1" outline="0" showAll="0" defaultSubtotal="0"/>
    <pivotField compact="0" numFmtId="1"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1">
    <field x="-2"/>
  </rowFields>
  <rowItems count="10">
    <i>
      <x/>
    </i>
    <i i="1">
      <x v="1"/>
    </i>
    <i i="2">
      <x v="2"/>
    </i>
    <i i="3">
      <x v="3"/>
    </i>
    <i i="4">
      <x v="4"/>
    </i>
    <i i="5">
      <x v="5"/>
    </i>
    <i i="6">
      <x v="6"/>
    </i>
    <i i="7">
      <x v="7"/>
    </i>
    <i i="8">
      <x v="8"/>
    </i>
    <i i="9">
      <x v="9"/>
    </i>
  </rowItems>
  <colFields count="2">
    <field x="0"/>
    <field x="1"/>
  </colFields>
  <colItems count="10">
    <i>
      <x/>
      <x v="8"/>
    </i>
    <i>
      <x v="1"/>
      <x v="2"/>
    </i>
    <i>
      <x v="2"/>
      <x v="4"/>
    </i>
    <i>
      <x v="3"/>
      <x v="3"/>
    </i>
    <i>
      <x v="4"/>
      <x v="1"/>
    </i>
    <i>
      <x v="5"/>
      <x v="5"/>
    </i>
    <i>
      <x v="6"/>
      <x v="7"/>
    </i>
    <i>
      <x v="7"/>
      <x v="6"/>
    </i>
    <i>
      <x v="8"/>
      <x/>
    </i>
    <i>
      <x v="9"/>
      <x v="9"/>
    </i>
  </colItems>
  <dataFields count="10">
    <dataField name="2009 " fld="36" baseField="0" baseItem="0"/>
    <dataField name="2010 " fld="37" baseField="0" baseItem="0"/>
    <dataField name="2011 " fld="38" baseField="0" baseItem="0"/>
    <dataField name="2012 " fld="39" baseField="0" baseItem="0"/>
    <dataField name="2013 " fld="40" baseField="0" baseItem="0"/>
    <dataField name="2014 " fld="41" baseField="0" baseItem="0"/>
    <dataField name="2015 " fld="42" baseField="0" baseItem="0"/>
    <dataField name="2017 " fld="43" baseField="0" baseItem="0"/>
    <dataField name="2018 " fld="44" baseField="0" baseItem="0"/>
    <dataField name="2019 " fld="45" baseField="0" baseItem="0"/>
  </dataFields>
  <chartFormats count="30">
    <chartFormat chart="8" format="10" series="1">
      <pivotArea type="data" outline="0" fieldPosition="0">
        <references count="1">
          <reference field="4294967294" count="1" selected="0">
            <x v="0"/>
          </reference>
        </references>
      </pivotArea>
    </chartFormat>
    <chartFormat chart="8" format="11" series="1">
      <pivotArea type="data" outline="0" fieldPosition="0">
        <references count="1">
          <reference field="4294967294" count="1" selected="0">
            <x v="1"/>
          </reference>
        </references>
      </pivotArea>
    </chartFormat>
    <chartFormat chart="8" format="12" series="1">
      <pivotArea type="data" outline="0" fieldPosition="0">
        <references count="1">
          <reference field="4294967294" count="1" selected="0">
            <x v="2"/>
          </reference>
        </references>
      </pivotArea>
    </chartFormat>
    <chartFormat chart="8" format="13" series="1">
      <pivotArea type="data" outline="0" fieldPosition="0">
        <references count="1">
          <reference field="4294967294" count="1" selected="0">
            <x v="3"/>
          </reference>
        </references>
      </pivotArea>
    </chartFormat>
    <chartFormat chart="8" format="14" series="1">
      <pivotArea type="data" outline="0" fieldPosition="0">
        <references count="1">
          <reference field="4294967294" count="1" selected="0">
            <x v="4"/>
          </reference>
        </references>
      </pivotArea>
    </chartFormat>
    <chartFormat chart="8" format="15" series="1">
      <pivotArea type="data" outline="0" fieldPosition="0">
        <references count="1">
          <reference field="4294967294" count="1" selected="0">
            <x v="5"/>
          </reference>
        </references>
      </pivotArea>
    </chartFormat>
    <chartFormat chart="8" format="16" series="1">
      <pivotArea type="data" outline="0" fieldPosition="0">
        <references count="1">
          <reference field="4294967294" count="1" selected="0">
            <x v="6"/>
          </reference>
        </references>
      </pivotArea>
    </chartFormat>
    <chartFormat chart="8" format="17" series="1">
      <pivotArea type="data" outline="0" fieldPosition="0">
        <references count="1">
          <reference field="4294967294" count="1" selected="0">
            <x v="7"/>
          </reference>
        </references>
      </pivotArea>
    </chartFormat>
    <chartFormat chart="8" format="18" series="1">
      <pivotArea type="data" outline="0" fieldPosition="0">
        <references count="1">
          <reference field="4294967294" count="1" selected="0">
            <x v="8"/>
          </reference>
        </references>
      </pivotArea>
    </chartFormat>
    <chartFormat chart="8" format="19" series="1">
      <pivotArea type="data" outline="0" fieldPosition="0">
        <references count="1">
          <reference field="4294967294" count="1" selected="0">
            <x v="9"/>
          </reference>
        </references>
      </pivotArea>
    </chartFormat>
    <chartFormat chart="9" format="20" series="1">
      <pivotArea type="data" outline="0" fieldPosition="0">
        <references count="1">
          <reference field="4294967294" count="1" selected="0">
            <x v="0"/>
          </reference>
        </references>
      </pivotArea>
    </chartFormat>
    <chartFormat chart="9" format="21" series="1">
      <pivotArea type="data" outline="0" fieldPosition="0">
        <references count="1">
          <reference field="4294967294" count="1" selected="0">
            <x v="1"/>
          </reference>
        </references>
      </pivotArea>
    </chartFormat>
    <chartFormat chart="9" format="22" series="1">
      <pivotArea type="data" outline="0" fieldPosition="0">
        <references count="1">
          <reference field="4294967294" count="1" selected="0">
            <x v="2"/>
          </reference>
        </references>
      </pivotArea>
    </chartFormat>
    <chartFormat chart="9" format="23" series="1">
      <pivotArea type="data" outline="0" fieldPosition="0">
        <references count="1">
          <reference field="4294967294" count="1" selected="0">
            <x v="3"/>
          </reference>
        </references>
      </pivotArea>
    </chartFormat>
    <chartFormat chart="9" format="24" series="1">
      <pivotArea type="data" outline="0" fieldPosition="0">
        <references count="1">
          <reference field="4294967294" count="1" selected="0">
            <x v="4"/>
          </reference>
        </references>
      </pivotArea>
    </chartFormat>
    <chartFormat chart="9" format="25" series="1">
      <pivotArea type="data" outline="0" fieldPosition="0">
        <references count="1">
          <reference field="4294967294" count="1" selected="0">
            <x v="5"/>
          </reference>
        </references>
      </pivotArea>
    </chartFormat>
    <chartFormat chart="9" format="26" series="1">
      <pivotArea type="data" outline="0" fieldPosition="0">
        <references count="1">
          <reference field="4294967294" count="1" selected="0">
            <x v="6"/>
          </reference>
        </references>
      </pivotArea>
    </chartFormat>
    <chartFormat chart="9" format="27" series="1">
      <pivotArea type="data" outline="0" fieldPosition="0">
        <references count="1">
          <reference field="4294967294" count="1" selected="0">
            <x v="7"/>
          </reference>
        </references>
      </pivotArea>
    </chartFormat>
    <chartFormat chart="9" format="28" series="1">
      <pivotArea type="data" outline="0" fieldPosition="0">
        <references count="1">
          <reference field="4294967294" count="1" selected="0">
            <x v="8"/>
          </reference>
        </references>
      </pivotArea>
    </chartFormat>
    <chartFormat chart="9" format="29" series="1">
      <pivotArea type="data" outline="0" fieldPosition="0">
        <references count="1">
          <reference field="4294967294" count="1" selected="0">
            <x v="9"/>
          </reference>
        </references>
      </pivotArea>
    </chartFormat>
    <chartFormat chart="9" format="30" series="1">
      <pivotArea type="data" outline="0" fieldPosition="0">
        <references count="3">
          <reference field="4294967294" count="1" selected="0">
            <x v="0"/>
          </reference>
          <reference field="0" count="1" selected="0">
            <x v="1"/>
          </reference>
          <reference field="1" count="1" selected="0">
            <x v="2"/>
          </reference>
        </references>
      </pivotArea>
    </chartFormat>
    <chartFormat chart="9" format="31" series="1">
      <pivotArea type="data" outline="0" fieldPosition="0">
        <references count="3">
          <reference field="4294967294" count="1" selected="0">
            <x v="0"/>
          </reference>
          <reference field="0" count="1" selected="0">
            <x v="2"/>
          </reference>
          <reference field="1" count="1" selected="0">
            <x v="4"/>
          </reference>
        </references>
      </pivotArea>
    </chartFormat>
    <chartFormat chart="9" format="32" series="1">
      <pivotArea type="data" outline="0" fieldPosition="0">
        <references count="3">
          <reference field="4294967294" count="1" selected="0">
            <x v="0"/>
          </reference>
          <reference field="0" count="1" selected="0">
            <x v="3"/>
          </reference>
          <reference field="1" count="1" selected="0">
            <x v="3"/>
          </reference>
        </references>
      </pivotArea>
    </chartFormat>
    <chartFormat chart="9" format="33" series="1">
      <pivotArea type="data" outline="0" fieldPosition="0">
        <references count="3">
          <reference field="4294967294" count="1" selected="0">
            <x v="0"/>
          </reference>
          <reference field="0" count="1" selected="0">
            <x v="4"/>
          </reference>
          <reference field="1" count="1" selected="0">
            <x v="1"/>
          </reference>
        </references>
      </pivotArea>
    </chartFormat>
    <chartFormat chart="9" format="34" series="1">
      <pivotArea type="data" outline="0" fieldPosition="0">
        <references count="3">
          <reference field="4294967294" count="1" selected="0">
            <x v="0"/>
          </reference>
          <reference field="0" count="1" selected="0">
            <x v="5"/>
          </reference>
          <reference field="1" count="1" selected="0">
            <x v="5"/>
          </reference>
        </references>
      </pivotArea>
    </chartFormat>
    <chartFormat chart="9" format="35" series="1">
      <pivotArea type="data" outline="0" fieldPosition="0">
        <references count="3">
          <reference field="4294967294" count="1" selected="0">
            <x v="0"/>
          </reference>
          <reference field="0" count="1" selected="0">
            <x v="6"/>
          </reference>
          <reference field="1" count="1" selected="0">
            <x v="7"/>
          </reference>
        </references>
      </pivotArea>
    </chartFormat>
    <chartFormat chart="9" format="36" series="1">
      <pivotArea type="data" outline="0" fieldPosition="0">
        <references count="3">
          <reference field="4294967294" count="1" selected="0">
            <x v="0"/>
          </reference>
          <reference field="0" count="1" selected="0">
            <x v="7"/>
          </reference>
          <reference field="1" count="1" selected="0">
            <x v="6"/>
          </reference>
        </references>
      </pivotArea>
    </chartFormat>
    <chartFormat chart="9" format="37" series="1">
      <pivotArea type="data" outline="0" fieldPosition="0">
        <references count="3">
          <reference field="4294967294" count="1" selected="0">
            <x v="0"/>
          </reference>
          <reference field="0" count="1" selected="0">
            <x v="8"/>
          </reference>
          <reference field="1" count="1" selected="0">
            <x v="0"/>
          </reference>
        </references>
      </pivotArea>
    </chartFormat>
    <chartFormat chart="9" format="38" series="1">
      <pivotArea type="data" outline="0" fieldPosition="0">
        <references count="2">
          <reference field="4294967294" count="1" selected="0">
            <x v="0"/>
          </reference>
          <reference field="0" count="1" selected="0">
            <x v="9"/>
          </reference>
        </references>
      </pivotArea>
    </chartFormat>
    <chartFormat chart="9" format="39" series="1">
      <pivotArea type="data" outline="0" fieldPosition="0">
        <references count="3">
          <reference field="4294967294" count="1" selected="0">
            <x v="0"/>
          </reference>
          <reference field="0" count="1" selected="0">
            <x v="0"/>
          </reference>
          <reference field="1"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D9C61FF-FA46-4EEC-8C68-1A6F867B350B}" name="Overall_Crime"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7">
  <location ref="A3:D13" firstHeaderRow="0" firstDataRow="1" firstDataCol="2"/>
  <pivotFields count="71">
    <pivotField axis="axisRow" compact="0" outline="0" showAll="0" defaultSubtotal="0">
      <items count="10">
        <item x="1"/>
        <item x="5"/>
        <item x="7"/>
        <item x="2"/>
        <item x="6"/>
        <item x="8"/>
        <item x="9"/>
        <item x="4"/>
        <item x="0"/>
        <item x="3"/>
      </items>
    </pivotField>
    <pivotField axis="axisRow" compact="0" outline="0" showAll="0" defaultSubtotal="0">
      <items count="10">
        <item x="0"/>
        <item x="6"/>
        <item x="5"/>
        <item x="2"/>
        <item x="7"/>
        <item x="8"/>
        <item x="4"/>
        <item x="9"/>
        <item x="1"/>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 outline="0" showAll="0" defaultSubtotal="0"/>
    <pivotField compact="0" numFmtId="1" outline="0" showAll="0" defaultSubtotal="0"/>
    <pivotField compact="0" numFmtId="1" outline="0" showAll="0" defaultSubtotal="0"/>
    <pivotField compact="0" numFmtId="1"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0"/>
    <field x="1"/>
  </rowFields>
  <rowItems count="10">
    <i>
      <x/>
      <x v="8"/>
    </i>
    <i>
      <x v="1"/>
      <x v="2"/>
    </i>
    <i>
      <x v="2"/>
      <x v="4"/>
    </i>
    <i>
      <x v="3"/>
      <x v="3"/>
    </i>
    <i>
      <x v="4"/>
      <x v="1"/>
    </i>
    <i>
      <x v="5"/>
      <x v="5"/>
    </i>
    <i>
      <x v="6"/>
      <x v="7"/>
    </i>
    <i>
      <x v="7"/>
      <x v="6"/>
    </i>
    <i>
      <x v="8"/>
      <x/>
    </i>
    <i>
      <x v="9"/>
      <x v="9"/>
    </i>
  </rowItems>
  <colFields count="1">
    <field x="-2"/>
  </colFields>
  <colItems count="2">
    <i>
      <x/>
    </i>
    <i i="1">
      <x v="1"/>
    </i>
  </colItems>
  <dataFields count="2">
    <dataField name="Crime rank " fld="47" baseField="0" baseItem="0"/>
    <dataField name="Average crime rate " fld="46" baseField="0" baseItem="0"/>
  </dataFields>
  <chartFormats count="2">
    <chartFormat chart="6" format="4" series="1">
      <pivotArea type="data" outline="0" fieldPosition="0">
        <references count="1">
          <reference field="4294967294" count="1" selected="0">
            <x v="1"/>
          </reference>
        </references>
      </pivotArea>
    </chartFormat>
    <chartFormat chart="6"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1" xr10:uid="{C3B5D1DD-4FCD-48E3-8337-40D1051F177F}" sourceName="City">
  <pivotTables>
    <pivotTable tabId="8" name="Overall_Rec"/>
    <pivotTable tabId="5" name="Overall_Temp"/>
    <pivotTable tabId="6" name="Overall_Restaurents"/>
    <pivotTable tabId="7" name="Overall_Hospital"/>
    <pivotTable tabId="10" name="Crime_Year"/>
    <pivotTable tabId="10" name="Overall_Crime"/>
    <pivotTable tabId="7" name="Hosp_Type"/>
    <pivotTable tabId="8" name="Rec_Type"/>
    <pivotTable tabId="6" name="Rest_Types"/>
    <pivotTable tabId="5" name="Month_Temperature"/>
  </pivotTables>
  <data>
    <tabular pivotCacheId="1491533532">
      <items count="10">
        <i x="0" s="1"/>
        <i x="6" s="1"/>
        <i x="5" s="1"/>
        <i x="2" s="1"/>
        <i x="7" s="1"/>
        <i x="8" s="1"/>
        <i x="4" s="1"/>
        <i x="9"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tors" xr10:uid="{8737C19A-A9FB-4300-8B42-C2B42C9FB988}" sourceName="Factors">
  <pivotTables>
    <pivotTable tabId="2" name="Factors"/>
  </pivotTables>
  <data>
    <tabular pivotCacheId="934354810">
      <items count="10">
        <i x="4"/>
        <i x="2"/>
        <i x="3"/>
        <i x="1" s="1"/>
        <i x="0"/>
        <i x="8" nd="1"/>
        <i x="6" nd="1"/>
        <i x="5" nd="1"/>
        <i x="7" nd="1"/>
        <i x="9"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l_of_Detail" xr10:uid="{FBF5019C-6B9F-4856-97DD-B40B09C72CE5}" sourceName="Level of Detail">
  <pivotTables>
    <pivotTable tabId="2" name="Level_of_Detail"/>
  </pivotTables>
  <data>
    <tabular pivotCacheId="1494434470">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C223A027-8498-4F5E-97AC-0235C8E6F46E}" cache="Slicer_City1" caption="City" columnCount="5" style="SlicerStyleDark6" rowHeight="234950"/>
  <slicer name="Factors" xr10:uid="{D3F47CB9-E2FE-48D5-B1D0-4A12585142A3}" cache="Slicer_Factors" caption="Factors" style="SlicerStyleDark6" rowHeight="234950"/>
  <slicer name="Level of Detail" xr10:uid="{075EE9A3-39F3-4123-85C7-AD7217F29D32}" cache="Slicer_Level_of_Detail" caption="Level of Detail" style="SlicerStyleDark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150ED7-3991-48CE-8900-F998CE0E1D06}" name="Complete_data" displayName="Complete_data" ref="A1:BH149" totalsRowShown="0">
  <autoFilter ref="A1:BH149" xr:uid="{4E150ED7-3991-48CE-8900-F998CE0E1D06}"/>
  <sortState xmlns:xlrd2="http://schemas.microsoft.com/office/spreadsheetml/2017/richdata2" ref="A2:AV149">
    <sortCondition ref="D1:D149"/>
  </sortState>
  <tableColumns count="60">
    <tableColumn id="1" xr3:uid="{FB42DD3B-E89E-4CAE-B604-340C11A2A5BF}" name="State"/>
    <tableColumn id="2" xr3:uid="{55665040-1909-4FD3-9903-EE7B515943B8}" name="City"/>
    <tableColumn id="3" xr3:uid="{9811A092-FA20-40E6-B7F0-81600F93EBCB}" name="CONCAT"/>
    <tableColumn id="48" xr3:uid="{03A6849F-C760-4D34-BFEF-DDB2E094DDCD}" name="Unemployment Rate"/>
    <tableColumn id="4" xr3:uid="{8050F480-89C1-49B8-A84E-AA79430D48C8}" name="American"/>
    <tableColumn id="5" xr3:uid="{628F3E8B-FF22-417E-8D70-34BA6DD26E57}" name="Cafe"/>
    <tableColumn id="6" xr3:uid="{39BFC616-C732-4100-BE6B-2AE6817EC355}" name="Deserts"/>
    <tableColumn id="7" xr3:uid="{0CB0EDC4-7EEC-4C4C-8356-AFC56F257D01}" name="Others"/>
    <tableColumn id="8" xr3:uid="{10826B54-C098-4589-A23D-630D6AAFE4FA}" name="Italian"/>
    <tableColumn id="9" xr3:uid="{1DAE93BF-8B3D-482E-B997-3274AEF10B69}" name="Mexican"/>
    <tableColumn id="10" xr3:uid="{B682871B-5002-448A-B4BB-3DB9EFD693EE}" name="Barbecue"/>
    <tableColumn id="11" xr3:uid="{A1101A3F-250E-4D92-B23A-4AA4FD3DFD6A}" name="Bar and Pub"/>
    <tableColumn id="12" xr3:uid="{0607F52E-AB97-4AB4-A78E-96D53DF99E4D}" name="Healthy"/>
    <tableColumn id="13" xr3:uid="{5DBE8119-B534-485A-8B1D-B7707848DB8A}" name="Asian"/>
    <tableColumn id="14" xr3:uid="{8843E420-8066-4CFC-ACA8-37109D4BEB95}" name="Afghan"/>
    <tableColumn id="15" xr3:uid="{ED816ADB-FA79-47DF-93EB-035848D19ABD}" name="Indian"/>
    <tableColumn id="47" xr3:uid="{F158CA96-8B99-46EE-AD11-FA90EF4EE81F}" name="Restaurant count" dataDxfId="84">
      <calculatedColumnFormula>SUM(Complete_data[[#This Row],[American]:[Indian]])</calculatedColumnFormula>
    </tableColumn>
    <tableColumn id="46" xr3:uid="{B8B04B5A-87B3-4D38-81C7-9758E299685D}" name="Restaurant rank" dataDxfId="83">
      <calculatedColumnFormula>_xlfn.RANK.EQ(Complete_data[[#This Row],[Restaurant count]],Complete_data[Restaurant count],0)</calculatedColumnFormula>
    </tableColumn>
    <tableColumn id="16" xr3:uid="{BB7850FC-D7B1-430D-B055-92AA000ED653}" name="Min Temperature"/>
    <tableColumn id="17" xr3:uid="{57D7F7B0-72E2-4303-BB09-521B6DA3FC98}" name="Max Temperature"/>
    <tableColumn id="18" xr3:uid="{C06D7641-E219-41AA-B0CB-BD67B67A69AE}" name="Avg Temperature" dataDxfId="82"/>
    <tableColumn id="42" xr3:uid="{3CFE9765-DB1E-4653-AB0A-0134652C3DF9}" name="Max Temperature Rank" dataDxfId="81">
      <calculatedColumnFormula>_xlfn.RANK.EQ(Complete_data[[#This Row],[Max Temperature]],Complete_data[Max Temperature],0)</calculatedColumnFormula>
    </tableColumn>
    <tableColumn id="41" xr3:uid="{F032F7FC-7280-454D-AB2D-005D769B0CB1}" name="Min Temp Rank" dataDxfId="80">
      <calculatedColumnFormula>_xlfn.RANK.EQ(Complete_data[[#This Row],[Min Temperature]],Complete_data[Min Temperature],0)</calculatedColumnFormula>
    </tableColumn>
    <tableColumn id="40" xr3:uid="{C7DBA3DE-0B0B-4635-8716-C698788FE233}" name="Avg Temp Rank" dataDxfId="79">
      <calculatedColumnFormula>_xlfn.RANK.EQ(Complete_data[[#This Row],[Avg Temperature]],Complete_data[Avg Temperature],0)</calculatedColumnFormula>
    </tableColumn>
    <tableColumn id="19" xr3:uid="{59ED8E86-E4D0-48AF-9111-AC8DBB7A4BAF}" name="GENERAL ACUTE CARE"/>
    <tableColumn id="20" xr3:uid="{7EFE05C2-A4E3-466A-9090-F8A730B3157E}" name="SPECIAL"/>
    <tableColumn id="21" xr3:uid="{93D6EC8E-CF45-4057-9B59-6F939ABABE23}" name="CHILDREN"/>
    <tableColumn id="22" xr3:uid="{11F4DACD-FB65-4230-8302-61AE5418C5BF}" name="LONG TERM CARE"/>
    <tableColumn id="23" xr3:uid="{80323679-8B67-48A9-B231-C7FB58252C51}" name="PSYCHIATRIC"/>
    <tableColumn id="24" xr3:uid="{FF6B0792-409B-40B7-9BED-7732F788EE93}" name="REHABILITATION"/>
    <tableColumn id="25" xr3:uid="{C89CB419-F924-4E22-A317-3575938CAFEB}" name="CRITICAL ACCESS"/>
    <tableColumn id="26" xr3:uid="{A6BE921F-F0FD-4711-997C-687831A8F0E4}" name="MILITARY"/>
    <tableColumn id="27" xr3:uid="{FCF2D652-5371-41FF-8BA0-6A5819259AA2}" name="WOMEN"/>
    <tableColumn id="28" xr3:uid="{AD6D1BCF-59D6-4BB8-88F2-5ACADC80F866}" name="CHRONIC DISEASE"/>
    <tableColumn id="29" xr3:uid="{74F2A8D0-8DB3-4E1C-9389-26C5CE494350}" name="Hospital Count">
      <calculatedColumnFormula>SUM(Complete_data[[#This Row],[GENERAL ACUTE CARE]:[CHRONIC DISEASE]])</calculatedColumnFormula>
    </tableColumn>
    <tableColumn id="43" xr3:uid="{5F438F7A-4EBD-4D1C-8FE1-DD568FF5E749}" name="Hos Rank" dataDxfId="78">
      <calculatedColumnFormula>_xlfn.RANK.EQ(Complete_data[[#This Row],[Hospital Count]],Complete_data[Hospital Count],0)</calculatedColumnFormula>
    </tableColumn>
    <tableColumn id="30" xr3:uid="{AA7F3937-B044-4EAD-AC0B-D2D253E26D6E}" name="2009"/>
    <tableColumn id="31" xr3:uid="{8B1DBFC3-7B19-44BF-ACFB-97ECA0C4D7B3}" name="2010"/>
    <tableColumn id="32" xr3:uid="{7DAF1444-5706-477C-ADB3-D76B30E3CFB1}" name="2011"/>
    <tableColumn id="33" xr3:uid="{FE162AD6-EBAB-49EA-A6AA-215592AF2390}" name="2012"/>
    <tableColumn id="34" xr3:uid="{8757B52F-7D94-4EC3-8511-46F430F163C9}" name="2013"/>
    <tableColumn id="35" xr3:uid="{29574647-A270-44B9-9947-95C2CD8549D5}" name="2014"/>
    <tableColumn id="36" xr3:uid="{08E00637-B8E0-45BB-8D7F-CA0D070A968A}" name="2015"/>
    <tableColumn id="37" xr3:uid="{B28B9B50-33FC-42EF-8773-26CE244EDD89}" name="2017"/>
    <tableColumn id="38" xr3:uid="{7B789E47-171B-4B20-8B8B-B4585135AA3C}" name="2018"/>
    <tableColumn id="39" xr3:uid="{97C7D777-799D-456C-A7EF-7232AAC74259}" name="2019"/>
    <tableColumn id="44" xr3:uid="{AEF5CD39-D1C3-4C5A-B666-878A6BC163A7}" name="Average crime rate" dataDxfId="77">
      <calculatedColumnFormula>AVERAGE(Complete_data[[#This Row],[2009]:[2019]])</calculatedColumnFormula>
    </tableColumn>
    <tableColumn id="45" xr3:uid="{A32604FB-0839-46A1-A54D-65AAFB0C994E}" name="Crime rank" dataDxfId="76">
      <calculatedColumnFormula>_xlfn.RANK.EQ(Complete_data[[#This Row],[Average crime rate]],Complete_data[Average crime rate],1)</calculatedColumnFormula>
    </tableColumn>
    <tableColumn id="49" xr3:uid="{8E8E580B-BB9C-49AB-AC47-87F38C252625}" name="January  "/>
    <tableColumn id="50" xr3:uid="{477D15CB-3B4A-4F12-9F88-305159083D58}" name="February"/>
    <tableColumn id="51" xr3:uid="{1EEE525D-2B88-44DF-81B1-E70F2777EBD3}" name="March"/>
    <tableColumn id="52" xr3:uid="{9EE66FD4-DDD7-404E-9A1B-F8ACCF9B733A}" name="April"/>
    <tableColumn id="53" xr3:uid="{E9ABF479-C465-4B58-A469-74D92B5599CD}" name="May"/>
    <tableColumn id="54" xr3:uid="{58E57462-0D45-4F3D-AFD3-E46A6E1B3247}" name="June"/>
    <tableColumn id="55" xr3:uid="{EA6ABD79-104F-474A-A0FA-FD85F7C3BCC4}" name="July"/>
    <tableColumn id="56" xr3:uid="{A7EB9945-0FCA-4A5E-8718-AC32B1AC9BCC}" name="August"/>
    <tableColumn id="57" xr3:uid="{F3644C9D-5F16-418B-BF3A-7D9D1B6C3F23}" name="September"/>
    <tableColumn id="58" xr3:uid="{CC77BA33-42D4-4D00-822D-70BAD0F92E24}" name="October"/>
    <tableColumn id="59" xr3:uid="{DB8DFCF0-8247-4E4A-BDFA-ED98E45B000B}" name="November"/>
    <tableColumn id="60" xr3:uid="{D4A44366-AAB9-4B14-AE06-3D28DE31BA76}" name="Decembe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617F919-D87D-4357-A1B8-9156122846E7}" name="Top10_Table" displayName="Top10_Table" ref="A1:BS11" totalsRowShown="0" headerRowDxfId="75" dataDxfId="73" headerRowBorderDxfId="74" tableBorderDxfId="72" totalsRowBorderDxfId="71">
  <autoFilter ref="A1:BS11" xr:uid="{8617F919-D87D-4357-A1B8-9156122846E7}"/>
  <tableColumns count="71">
    <tableColumn id="1" xr3:uid="{654905C3-5A82-409F-B85E-2807EFC1BFEF}" name="State" dataDxfId="70"/>
    <tableColumn id="2" xr3:uid="{D0E2E4EC-162B-4A88-9281-9E2DFD372538}" name="City" dataDxfId="69"/>
    <tableColumn id="3" xr3:uid="{9AA69908-BCB2-42D9-9207-9D8354FA4F7C}" name="CONCAT" dataDxfId="68"/>
    <tableColumn id="4" xr3:uid="{CB2CCDC6-5FD8-4679-B56A-FE4AE02C10C5}" name="Unemployment Rate" dataDxfId="67"/>
    <tableColumn id="5" xr3:uid="{B8988F74-6F07-4392-9E98-0C54FD0D2725}" name="American" dataDxfId="66"/>
    <tableColumn id="6" xr3:uid="{4462A688-91AC-41F5-AD86-E8E4139ECEB2}" name="Cafe" dataDxfId="65"/>
    <tableColumn id="7" xr3:uid="{44A7E9A2-BCA0-4F17-96AB-F9702AA9C3FB}" name="Deserts" dataDxfId="64"/>
    <tableColumn id="8" xr3:uid="{9BFC77CC-EFDE-47CF-99E9-7ECBF9E2C095}" name="Others" dataDxfId="63"/>
    <tableColumn id="9" xr3:uid="{133DB102-23F8-4739-AA70-9232930AE536}" name="Italian" dataDxfId="62"/>
    <tableColumn id="10" xr3:uid="{283EC0BA-81E2-4248-971D-DD243851F41A}" name="Mexican" dataDxfId="61"/>
    <tableColumn id="11" xr3:uid="{D3640C52-5867-4F49-899A-A6010E450546}" name="Barbecue" dataDxfId="60"/>
    <tableColumn id="12" xr3:uid="{BBA5A8A7-5FD2-492C-85E4-F9B726B8F8B5}" name="Bar and Pub" dataDxfId="59"/>
    <tableColumn id="13" xr3:uid="{DC04D5B3-7798-4D8D-87BB-5350FB0F5BB3}" name="Healthy" dataDxfId="58"/>
    <tableColumn id="14" xr3:uid="{4C0329F1-06E2-48AE-B5DD-D0F93C050770}" name="Asian" dataDxfId="57"/>
    <tableColumn id="15" xr3:uid="{95F4E4EA-7D35-4238-A11A-094D3BFB6125}" name="Afghan" dataDxfId="56"/>
    <tableColumn id="16" xr3:uid="{3CC6A36B-D2EF-484A-B8C5-1B9F79100025}" name="Indian" dataDxfId="55"/>
    <tableColumn id="17" xr3:uid="{8EACFAA0-22E3-4FEA-B275-69AD1AAB5508}" name="Restaurant count" dataDxfId="54">
      <calculatedColumnFormula>SUM(Complete_data[[#This Row],[American]:[Indian]])</calculatedColumnFormula>
    </tableColumn>
    <tableColumn id="18" xr3:uid="{AB351EAA-00A7-4702-9C0C-0D0DB6CCE4DE}" name="Restaurant rank" dataDxfId="53">
      <calculatedColumnFormula>_xlfn.RANK.EQ(Complete_data[[#This Row],[Restaurant count]],Complete_data[Restaurant count],0)</calculatedColumnFormula>
    </tableColumn>
    <tableColumn id="19" xr3:uid="{FFA12E88-1E51-471D-BA00-96417A4F1AC3}" name="Min Temperature" dataDxfId="52"/>
    <tableColumn id="20" xr3:uid="{24366536-9141-46F6-B929-50B306DB7133}" name="Max Temperature" dataDxfId="51"/>
    <tableColumn id="21" xr3:uid="{B22A46A3-3269-4DFD-9CC9-2074ABA29DB8}" name="Avg Temperature" dataDxfId="50"/>
    <tableColumn id="22" xr3:uid="{DB34AF22-5840-49B7-B54D-60A5F26C8D19}" name="Max Temperature Rank" dataDxfId="49">
      <calculatedColumnFormula>_xlfn.RANK.EQ(Complete_data[[#This Row],[Max Temperature]],Complete_data[Max Temperature],0)</calculatedColumnFormula>
    </tableColumn>
    <tableColumn id="23" xr3:uid="{8E9C0199-D0A2-4698-9DC2-A244D35CE53E}" name="Min Temp Rank" dataDxfId="48">
      <calculatedColumnFormula>_xlfn.RANK.EQ(Complete_data[[#This Row],[Min Temperature]],Complete_data[Min Temperature],0)</calculatedColumnFormula>
    </tableColumn>
    <tableColumn id="24" xr3:uid="{C6972BDF-0D3E-44CD-BA9E-44368A399CA3}" name="Avg Temp Rank" dataDxfId="47">
      <calculatedColumnFormula>_xlfn.RANK.EQ(Complete_data[[#This Row],[Avg Temperature]],Complete_data[Avg Temperature],0)</calculatedColumnFormula>
    </tableColumn>
    <tableColumn id="25" xr3:uid="{09BFAC38-674A-495E-8016-6C315A928C22}" name="GENERAL ACUTE CARE" dataDxfId="46"/>
    <tableColumn id="26" xr3:uid="{185BA0BD-E828-4377-B04E-AABC8041977D}" name="SPECIAL" dataDxfId="45"/>
    <tableColumn id="27" xr3:uid="{AEF23390-E701-4D20-9A90-53F4E4EAEF00}" name="CHILDREN" dataDxfId="44"/>
    <tableColumn id="28" xr3:uid="{8E9937B0-B308-4385-9AFC-7D73C222115A}" name="LONG TERM CARE" dataDxfId="43"/>
    <tableColumn id="29" xr3:uid="{F55E8F0E-9465-469C-833C-8C11AD0F33F0}" name="PSYCHIATRIC" dataDxfId="42"/>
    <tableColumn id="30" xr3:uid="{BDD18717-0A41-4CFA-9595-212EDB2EC7F4}" name="REHABILITATION" dataDxfId="41"/>
    <tableColumn id="31" xr3:uid="{EC14CEC3-9E08-4116-AF03-9F63D2DCE309}" name="CRITICAL ACCESS" dataDxfId="40"/>
    <tableColumn id="32" xr3:uid="{EB83A681-E5E7-4680-A5E4-D7ACCBAF2D25}" name="MILITARY" dataDxfId="39"/>
    <tableColumn id="33" xr3:uid="{A60CC583-880E-4B5F-9845-8CC0E4794A69}" name="WOMEN" dataDxfId="38"/>
    <tableColumn id="34" xr3:uid="{80CDD748-8831-495D-A66A-F3444B1BB1F9}" name="CHRONIC DISEASE" dataDxfId="37"/>
    <tableColumn id="35" xr3:uid="{70EC9F25-B691-4802-88E7-05386F255F2D}" name="Hospital Count" dataDxfId="36">
      <calculatedColumnFormula>SUM(Complete_data[[#This Row],[GENERAL ACUTE CARE]:[CHRONIC DISEASE]])</calculatedColumnFormula>
    </tableColumn>
    <tableColumn id="36" xr3:uid="{85C95930-F57C-41D2-810D-639E0237581E}" name="Hos Rank" dataDxfId="35">
      <calculatedColumnFormula>_xlfn.RANK.EQ(Complete_data[[#This Row],[Hospital Count]],Complete_data[Hospital Count],0)</calculatedColumnFormula>
    </tableColumn>
    <tableColumn id="37" xr3:uid="{6C5B0CA0-2CEB-467D-A39F-F2E7E384E06A}" name="2009" dataDxfId="34"/>
    <tableColumn id="38" xr3:uid="{0EFD415F-9BC4-45FC-B33C-8FED992DF942}" name="2010" dataDxfId="33"/>
    <tableColumn id="39" xr3:uid="{0A11A108-3B3F-4C0C-B086-A412B80DE3D8}" name="2011" dataDxfId="32"/>
    <tableColumn id="40" xr3:uid="{D798FD6F-509D-4FED-8798-3C947E37E886}" name="2012" dataDxfId="31"/>
    <tableColumn id="41" xr3:uid="{C7C543C6-D634-475E-AB07-649C956ED809}" name="2013" dataDxfId="30"/>
    <tableColumn id="42" xr3:uid="{E428FF6F-A4E6-4764-836C-7C2412921F6C}" name="2014" dataDxfId="29"/>
    <tableColumn id="43" xr3:uid="{3725E381-F927-4AD5-9EF2-1C62000F199E}" name="2015" dataDxfId="28"/>
    <tableColumn id="44" xr3:uid="{0000311D-E9BC-474C-8D62-830989E4616A}" name="2017" dataDxfId="27"/>
    <tableColumn id="45" xr3:uid="{626C6139-7809-4905-9915-D2C531EF9C3A}" name="2018" dataDxfId="26"/>
    <tableColumn id="46" xr3:uid="{5A248076-2DA9-4392-9CBE-FB71DB21CBCB}" name="2019" dataDxfId="25"/>
    <tableColumn id="47" xr3:uid="{232FF0FA-FB48-4349-A77C-6C993FF325E7}" name="Average crime rate" dataDxfId="24">
      <calculatedColumnFormula>AVERAGE(Complete_data[[#This Row],[2009]:[2019]])</calculatedColumnFormula>
    </tableColumn>
    <tableColumn id="48" xr3:uid="{9770420F-ED1F-4049-9660-349D1E23984D}" name="Crime rank" dataDxfId="23">
      <calculatedColumnFormula>_xlfn.RANK.EQ(Complete_data[[#This Row],[Average crime rate]],Complete_data[Average crime rate],1)</calculatedColumnFormula>
    </tableColumn>
    <tableColumn id="49" xr3:uid="{F9F16EA6-C159-4A5A-A749-D7EAE54DF6E8}" name="January  " dataDxfId="22"/>
    <tableColumn id="50" xr3:uid="{F7876B72-FD64-4718-A498-AEEEF3B21922}" name="February" dataDxfId="21"/>
    <tableColumn id="51" xr3:uid="{A0EB8CE0-02A6-4A1B-88B9-1B1911B63DCF}" name="March" dataDxfId="20"/>
    <tableColumn id="52" xr3:uid="{D9D9B709-01A2-4831-B536-F037B61C862E}" name="April" dataDxfId="19"/>
    <tableColumn id="53" xr3:uid="{9AEC18BB-694D-4C18-90CF-011095EE1C7B}" name="May" dataDxfId="18"/>
    <tableColumn id="54" xr3:uid="{CA81734E-6C9C-45BE-AE16-307BE2827366}" name="June" dataDxfId="17"/>
    <tableColumn id="55" xr3:uid="{7027AD3A-09D6-4247-B2AE-E1C6C661CC45}" name="July" dataDxfId="16"/>
    <tableColumn id="56" xr3:uid="{3BC2D485-4755-4399-8353-72D4A1C6148B}" name="August" dataDxfId="15"/>
    <tableColumn id="57" xr3:uid="{18055935-CF52-46CE-8657-340BF0D3B969}" name="September" dataDxfId="14"/>
    <tableColumn id="58" xr3:uid="{E0D5C80C-6B30-4D30-AE92-AB8963909D46}" name="October" dataDxfId="13"/>
    <tableColumn id="59" xr3:uid="{41BBD8E3-5FFF-41AF-B64D-4E8712D36BFD}" name="November" dataDxfId="12"/>
    <tableColumn id="60" xr3:uid="{208E9C9F-397F-436E-9C1E-ABC518127971}" name="December" dataDxfId="11"/>
    <tableColumn id="61" xr3:uid="{1A6688B6-0A80-4EA1-ADE3-94EBAC8CADBB}" name="BOATING" dataDxfId="10"/>
    <tableColumn id="62" xr3:uid="{22D03A3F-F245-4D65-8370-A87BFB2005BE}" name="FISHING" dataDxfId="9"/>
    <tableColumn id="63" xr3:uid="{6C1A4047-684F-4109-A0BD-1F2A03B053D9}" name="PICNICKING" dataDxfId="8"/>
    <tableColumn id="64" xr3:uid="{059AA1A7-D34F-45DE-B89A-80B9378E370F}" name="WILDLIFE VIEWING" dataDxfId="7"/>
    <tableColumn id="65" xr3:uid="{7974B4AC-2CD0-44DA-B767-EE62F5542000}" name="HIKING" dataDxfId="6"/>
    <tableColumn id="66" xr3:uid="{3E0AAC4A-8AFD-4164-9F3A-1E9EC187ECE5}" name="BIKING" dataDxfId="5"/>
    <tableColumn id="67" xr3:uid="{5A48D1D6-D3A4-4177-8402-36FD2E4CCAB1}" name="CAMPING" dataDxfId="4"/>
    <tableColumn id="68" xr3:uid="{9492F535-47F5-4DDE-8AF3-F6CB48675A62}" name="WATER SPORTS" dataDxfId="3"/>
    <tableColumn id="69" xr3:uid="{1B5A2887-9B81-4243-A7A5-32FDFC403B21}" name="OFF HIGHWAY VEHICLE" dataDxfId="2"/>
    <tableColumn id="70" xr3:uid="{3F09E961-9688-430D-BCF8-7271D755B6F5}" name="HORSEBACK RIDING" dataDxfId="1"/>
    <tableColumn id="72" xr3:uid="{AF236F28-221F-4CFF-B0F9-52E70725257B}" name="Recrea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16804-E406-4520-A300-1756C7EEA736}">
  <sheetPr codeName="Sheet1">
    <pageSetUpPr autoPageBreaks="0"/>
  </sheetPr>
  <dimension ref="AB90:AN105"/>
  <sheetViews>
    <sheetView showGridLines="0" tabSelected="1" zoomScale="57" zoomScaleNormal="90" workbookViewId="0">
      <selection activeCell="AC7" sqref="AC7"/>
    </sheetView>
  </sheetViews>
  <sheetFormatPr defaultRowHeight="14.4" x14ac:dyDescent="0.3"/>
  <cols>
    <col min="7" max="7" width="14.88671875" bestFit="1" customWidth="1"/>
    <col min="8" max="8" width="20.109375" bestFit="1" customWidth="1"/>
    <col min="23" max="23" width="11.109375" customWidth="1"/>
    <col min="27" max="27" width="4.5546875" customWidth="1"/>
    <col min="28" max="28" width="8.88671875" hidden="1" customWidth="1"/>
    <col min="29" max="29" width="74.44140625" customWidth="1"/>
    <col min="30" max="30" width="67.88671875" customWidth="1"/>
    <col min="37" max="37" width="17.88671875" bestFit="1" customWidth="1"/>
    <col min="38" max="38" width="15.6640625" bestFit="1" customWidth="1"/>
    <col min="39" max="39" width="14" bestFit="1" customWidth="1"/>
    <col min="40" max="40" width="17.88671875" bestFit="1" customWidth="1"/>
  </cols>
  <sheetData>
    <row r="90" spans="34:40" x14ac:dyDescent="0.3">
      <c r="AH90" t="s">
        <v>11</v>
      </c>
      <c r="AI90" t="s">
        <v>12</v>
      </c>
      <c r="AK90" s="4" t="s">
        <v>13</v>
      </c>
    </row>
    <row r="91" spans="34:40" x14ac:dyDescent="0.3">
      <c r="AH91">
        <v>1</v>
      </c>
      <c r="AI91" t="s">
        <v>14</v>
      </c>
      <c r="AK91" s="12">
        <v>2</v>
      </c>
    </row>
    <row r="92" spans="34:40" x14ac:dyDescent="0.3">
      <c r="AH92">
        <v>2</v>
      </c>
      <c r="AI92" t="s">
        <v>15</v>
      </c>
      <c r="AK92" s="12" t="s">
        <v>16</v>
      </c>
    </row>
    <row r="93" spans="34:40" x14ac:dyDescent="0.3">
      <c r="AH93">
        <v>3</v>
      </c>
      <c r="AI93" t="s">
        <v>17</v>
      </c>
    </row>
    <row r="94" spans="34:40" x14ac:dyDescent="0.3">
      <c r="AH94">
        <v>4</v>
      </c>
      <c r="AI94" t="s">
        <v>18</v>
      </c>
      <c r="AL94" t="s">
        <v>11</v>
      </c>
      <c r="AM94" t="s">
        <v>19</v>
      </c>
      <c r="AN94" s="4" t="s">
        <v>13</v>
      </c>
    </row>
    <row r="95" spans="34:40" x14ac:dyDescent="0.3">
      <c r="AH95">
        <v>5</v>
      </c>
      <c r="AI95" t="s">
        <v>20</v>
      </c>
      <c r="AL95">
        <v>0</v>
      </c>
      <c r="AM95" t="s">
        <v>21</v>
      </c>
      <c r="AN95" s="12">
        <v>0</v>
      </c>
    </row>
    <row r="96" spans="34:40" x14ac:dyDescent="0.3">
      <c r="AL96">
        <v>1</v>
      </c>
      <c r="AM96" t="s">
        <v>22</v>
      </c>
      <c r="AN96" s="12" t="s">
        <v>16</v>
      </c>
    </row>
    <row r="99" spans="29:29" x14ac:dyDescent="0.3">
      <c r="AC99" t="s">
        <v>23</v>
      </c>
    </row>
    <row r="100" spans="29:29" ht="240.6" customHeight="1" x14ac:dyDescent="0.3"/>
    <row r="101" spans="29:29" ht="215.4" customHeight="1" x14ac:dyDescent="0.3"/>
    <row r="102" spans="29:29" ht="215.4" customHeight="1" x14ac:dyDescent="0.3"/>
    <row r="103" spans="29:29" ht="215.4" customHeight="1" x14ac:dyDescent="0.3"/>
    <row r="104" spans="29:29" ht="215.4" customHeight="1" x14ac:dyDescent="0.3"/>
    <row r="105" spans="29:29" ht="209.4" customHeight="1" x14ac:dyDescent="0.3"/>
  </sheetData>
  <pageMargins left="0.7" right="0.7" top="0.75" bottom="0.75" header="0.3" footer="0.3"/>
  <pageSetup orientation="portrait" r:id="rId3"/>
  <drawing r:id="rId4"/>
  <legacy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H149"/>
  <sheetViews>
    <sheetView workbookViewId="0">
      <selection activeCell="B2" sqref="B2:B149"/>
    </sheetView>
  </sheetViews>
  <sheetFormatPr defaultRowHeight="14.4" x14ac:dyDescent="0.3"/>
  <cols>
    <col min="1" max="1" width="7.33203125" customWidth="1"/>
    <col min="2" max="2" width="15.33203125" bestFit="1" customWidth="1"/>
    <col min="3" max="3" width="21.44140625" bestFit="1" customWidth="1"/>
    <col min="4" max="4" width="21.44140625" customWidth="1"/>
    <col min="5" max="5" width="10.88671875" customWidth="1"/>
    <col min="6" max="6" width="6.6640625" customWidth="1"/>
    <col min="7" max="7" width="9" customWidth="1"/>
    <col min="8" max="8" width="8.44140625" customWidth="1"/>
    <col min="9" max="9" width="8.109375" customWidth="1"/>
    <col min="10" max="10" width="10" customWidth="1"/>
    <col min="11" max="11" width="10.6640625" customWidth="1"/>
    <col min="12" max="12" width="13.109375" customWidth="1"/>
    <col min="13" max="13" width="9.33203125" customWidth="1"/>
    <col min="14" max="14" width="7.44140625" customWidth="1"/>
    <col min="15" max="15" width="9" customWidth="1"/>
    <col min="16" max="16" width="8.33203125" customWidth="1"/>
    <col min="17" max="17" width="17.5546875" customWidth="1"/>
    <col min="18" max="18" width="17.88671875" customWidth="1"/>
    <col min="19" max="19" width="17.44140625" style="1" customWidth="1"/>
    <col min="20" max="20" width="21.6640625" customWidth="1"/>
    <col min="21" max="21" width="16.5546875" bestFit="1" customWidth="1"/>
    <col min="22" max="22" width="16.44140625" bestFit="1" customWidth="1"/>
    <col min="23" max="23" width="17.88671875" customWidth="1"/>
    <col min="24" max="24" width="13.88671875" customWidth="1"/>
    <col min="25" max="25" width="17" customWidth="1"/>
    <col min="26" max="26" width="17.33203125" customWidth="1"/>
    <col min="27" max="27" width="11" customWidth="1"/>
    <col min="28" max="28" width="10.109375" customWidth="1"/>
    <col min="29" max="29" width="18.109375" customWidth="1"/>
    <col min="30" max="30" width="15.33203125" customWidth="1"/>
  </cols>
  <sheetData>
    <row r="1" spans="1:60" x14ac:dyDescent="0.3">
      <c r="A1" t="s">
        <v>24</v>
      </c>
      <c r="B1" t="s">
        <v>0</v>
      </c>
      <c r="C1" t="s">
        <v>25</v>
      </c>
      <c r="D1" t="s">
        <v>26</v>
      </c>
      <c r="E1" t="s">
        <v>27</v>
      </c>
      <c r="F1" t="s">
        <v>28</v>
      </c>
      <c r="G1" t="s">
        <v>29</v>
      </c>
      <c r="H1" t="s">
        <v>30</v>
      </c>
      <c r="I1" t="s">
        <v>31</v>
      </c>
      <c r="J1" t="s">
        <v>32</v>
      </c>
      <c r="K1" t="s">
        <v>33</v>
      </c>
      <c r="L1" t="s">
        <v>34</v>
      </c>
      <c r="M1" t="s">
        <v>35</v>
      </c>
      <c r="N1" t="s">
        <v>36</v>
      </c>
      <c r="O1" t="s">
        <v>37</v>
      </c>
      <c r="P1" t="s">
        <v>38</v>
      </c>
      <c r="Q1" t="s">
        <v>39</v>
      </c>
      <c r="R1" t="s">
        <v>40</v>
      </c>
      <c r="S1" t="s">
        <v>41</v>
      </c>
      <c r="T1" t="s">
        <v>42</v>
      </c>
      <c r="U1" s="1" t="s">
        <v>43</v>
      </c>
      <c r="V1" s="1" t="s">
        <v>44</v>
      </c>
      <c r="W1" s="1" t="s">
        <v>45</v>
      </c>
      <c r="X1" s="1" t="s">
        <v>46</v>
      </c>
      <c r="Y1" t="s">
        <v>47</v>
      </c>
      <c r="Z1" t="s">
        <v>48</v>
      </c>
      <c r="AA1" t="s">
        <v>49</v>
      </c>
      <c r="AB1" t="s">
        <v>50</v>
      </c>
      <c r="AC1" t="s">
        <v>51</v>
      </c>
      <c r="AD1" t="s">
        <v>52</v>
      </c>
      <c r="AE1" t="s">
        <v>53</v>
      </c>
      <c r="AF1" t="s">
        <v>54</v>
      </c>
      <c r="AG1" t="s">
        <v>55</v>
      </c>
      <c r="AH1" t="s">
        <v>56</v>
      </c>
      <c r="AI1" t="s">
        <v>57</v>
      </c>
      <c r="AJ1" t="s">
        <v>58</v>
      </c>
      <c r="AK1" t="s">
        <v>59</v>
      </c>
      <c r="AL1" t="s">
        <v>60</v>
      </c>
      <c r="AM1" t="s">
        <v>61</v>
      </c>
      <c r="AN1" t="s">
        <v>62</v>
      </c>
      <c r="AO1" t="s">
        <v>63</v>
      </c>
      <c r="AP1" t="s">
        <v>64</v>
      </c>
      <c r="AQ1" t="s">
        <v>65</v>
      </c>
      <c r="AR1" t="s">
        <v>66</v>
      </c>
      <c r="AS1" t="s">
        <v>67</v>
      </c>
      <c r="AT1" t="s">
        <v>68</v>
      </c>
      <c r="AU1" t="s">
        <v>69</v>
      </c>
      <c r="AV1" t="s">
        <v>70</v>
      </c>
      <c r="AW1" t="s">
        <v>71</v>
      </c>
      <c r="AX1" t="s">
        <v>72</v>
      </c>
      <c r="AY1" t="s">
        <v>73</v>
      </c>
      <c r="AZ1" t="s">
        <v>74</v>
      </c>
      <c r="BA1" t="s">
        <v>75</v>
      </c>
      <c r="BB1" t="s">
        <v>76</v>
      </c>
      <c r="BC1" t="s">
        <v>77</v>
      </c>
      <c r="BD1" t="s">
        <v>78</v>
      </c>
      <c r="BE1" t="s">
        <v>79</v>
      </c>
      <c r="BF1" t="s">
        <v>80</v>
      </c>
      <c r="BG1" t="s">
        <v>81</v>
      </c>
      <c r="BH1" t="s">
        <v>82</v>
      </c>
    </row>
    <row r="2" spans="1:60" x14ac:dyDescent="0.3">
      <c r="A2" t="s">
        <v>83</v>
      </c>
      <c r="B2" t="s">
        <v>1</v>
      </c>
      <c r="C2" t="s">
        <v>84</v>
      </c>
      <c r="D2">
        <v>2</v>
      </c>
      <c r="E2">
        <v>781</v>
      </c>
      <c r="F2">
        <v>218</v>
      </c>
      <c r="G2">
        <v>113</v>
      </c>
      <c r="H2">
        <v>864</v>
      </c>
      <c r="I2">
        <v>277</v>
      </c>
      <c r="J2">
        <v>405</v>
      </c>
      <c r="K2">
        <v>92</v>
      </c>
      <c r="L2">
        <v>150</v>
      </c>
      <c r="M2">
        <v>31</v>
      </c>
      <c r="N2">
        <v>360</v>
      </c>
      <c r="O2">
        <v>17</v>
      </c>
      <c r="P2">
        <v>45</v>
      </c>
      <c r="Q2">
        <f>SUM(Complete_data[[#This Row],[American]:[Indian]])</f>
        <v>3353</v>
      </c>
      <c r="R2">
        <f>_xlfn.RANK.EQ(Complete_data[[#This Row],[Restaurant count]],Complete_data[Restaurant count],0)</f>
        <v>23</v>
      </c>
      <c r="S2">
        <v>50</v>
      </c>
      <c r="T2">
        <v>85</v>
      </c>
      <c r="U2" s="1">
        <v>68.416666666666671</v>
      </c>
      <c r="V2" s="1">
        <f>_xlfn.RANK.EQ(Complete_data[[#This Row],[Max Temperature]],Complete_data[Max Temperature],0)</f>
        <v>8</v>
      </c>
      <c r="W2" s="1">
        <f>_xlfn.RANK.EQ(Complete_data[[#This Row],[Min Temperature]],Complete_data[Min Temperature],0)</f>
        <v>19</v>
      </c>
      <c r="X2" s="1">
        <f>_xlfn.RANK.EQ(Complete_data[[#This Row],[Avg Temperature]],Complete_data[Avg Temperature],0)</f>
        <v>17</v>
      </c>
      <c r="Y2">
        <v>12</v>
      </c>
      <c r="Z2">
        <v>2</v>
      </c>
      <c r="AA2">
        <v>1</v>
      </c>
      <c r="AB2">
        <v>2</v>
      </c>
      <c r="AC2">
        <v>6</v>
      </c>
      <c r="AD2">
        <v>3</v>
      </c>
      <c r="AE2">
        <v>0</v>
      </c>
      <c r="AF2">
        <v>1</v>
      </c>
      <c r="AG2">
        <v>0</v>
      </c>
      <c r="AH2">
        <v>0</v>
      </c>
      <c r="AI2">
        <f>SUM(Complete_data[[#This Row],[GENERAL ACUTE CARE]:[CHRONIC DISEASE]])</f>
        <v>27</v>
      </c>
      <c r="AJ2">
        <f>_xlfn.RANK.EQ(Complete_data[[#This Row],[Hospital Count]],Complete_data[Hospital Count],0)</f>
        <v>8</v>
      </c>
      <c r="AK2">
        <v>67.81</v>
      </c>
      <c r="AL2">
        <v>62.46</v>
      </c>
      <c r="AM2">
        <v>56.81</v>
      </c>
      <c r="AN2">
        <v>56.43</v>
      </c>
      <c r="AO2">
        <v>52.25</v>
      </c>
      <c r="AP2">
        <v>45.49</v>
      </c>
      <c r="AQ2">
        <v>41.53</v>
      </c>
      <c r="AR2">
        <v>36.119999999999997</v>
      </c>
      <c r="AS2">
        <v>38.46</v>
      </c>
      <c r="AT2">
        <v>41.22</v>
      </c>
      <c r="AU2">
        <f>AVERAGE(Complete_data[[#This Row],[2009]:[2019]])</f>
        <v>49.85799999999999</v>
      </c>
      <c r="AV2">
        <f>_xlfn.RANK.EQ(Complete_data[[#This Row],[Average crime rate]],Complete_data[Average crime rate],1)</f>
        <v>85</v>
      </c>
      <c r="AW2">
        <v>50</v>
      </c>
      <c r="AX2">
        <v>54</v>
      </c>
      <c r="AY2">
        <v>62</v>
      </c>
      <c r="AZ2">
        <v>69</v>
      </c>
      <c r="BA2">
        <v>75</v>
      </c>
      <c r="BB2">
        <v>82</v>
      </c>
      <c r="BC2">
        <v>84</v>
      </c>
      <c r="BD2">
        <v>85</v>
      </c>
      <c r="BE2">
        <v>79</v>
      </c>
      <c r="BF2">
        <v>70</v>
      </c>
      <c r="BG2">
        <v>59</v>
      </c>
      <c r="BH2">
        <v>52</v>
      </c>
    </row>
    <row r="3" spans="1:60" x14ac:dyDescent="0.3">
      <c r="A3" t="s">
        <v>85</v>
      </c>
      <c r="B3" t="s">
        <v>2</v>
      </c>
      <c r="C3" t="s">
        <v>86</v>
      </c>
      <c r="D3">
        <v>2.2000000000000002</v>
      </c>
      <c r="E3">
        <v>1813</v>
      </c>
      <c r="F3">
        <v>829</v>
      </c>
      <c r="G3">
        <v>350</v>
      </c>
      <c r="H3">
        <v>2756</v>
      </c>
      <c r="I3">
        <v>871</v>
      </c>
      <c r="J3">
        <v>620</v>
      </c>
      <c r="K3">
        <v>104</v>
      </c>
      <c r="L3">
        <v>304</v>
      </c>
      <c r="M3">
        <v>39</v>
      </c>
      <c r="N3">
        <v>1846</v>
      </c>
      <c r="O3">
        <v>52</v>
      </c>
      <c r="P3">
        <v>191</v>
      </c>
      <c r="Q3">
        <f>SUM(Complete_data[[#This Row],[American]:[Indian]])</f>
        <v>9775</v>
      </c>
      <c r="R3">
        <f>_xlfn.RANK.EQ(Complete_data[[#This Row],[Restaurant count]],Complete_data[Restaurant count],0)</f>
        <v>5</v>
      </c>
      <c r="S3">
        <v>52</v>
      </c>
      <c r="T3">
        <v>64</v>
      </c>
      <c r="U3" s="1">
        <v>57.916666666666664</v>
      </c>
      <c r="V3" s="1">
        <f>_xlfn.RANK.EQ(Complete_data[[#This Row],[Max Temperature]],Complete_data[Max Temperature],0)</f>
        <v>145</v>
      </c>
      <c r="W3" s="1">
        <f>_xlfn.RANK.EQ(Complete_data[[#This Row],[Min Temperature]],Complete_data[Min Temperature],0)</f>
        <v>15</v>
      </c>
      <c r="X3" s="1">
        <f>_xlfn.RANK.EQ(Complete_data[[#This Row],[Avg Temperature]],Complete_data[Avg Temperature],0)</f>
        <v>64</v>
      </c>
      <c r="Y3">
        <v>13</v>
      </c>
      <c r="Z3">
        <v>0</v>
      </c>
      <c r="AA3">
        <v>0</v>
      </c>
      <c r="AB3">
        <v>1</v>
      </c>
      <c r="AC3">
        <v>2</v>
      </c>
      <c r="AD3">
        <v>0</v>
      </c>
      <c r="AE3">
        <v>0</v>
      </c>
      <c r="AF3">
        <v>1</v>
      </c>
      <c r="AG3">
        <v>0</v>
      </c>
      <c r="AH3">
        <v>0</v>
      </c>
      <c r="AI3">
        <f>SUM(Complete_data[[#This Row],[GENERAL ACUTE CARE]:[CHRONIC DISEASE]])</f>
        <v>17</v>
      </c>
      <c r="AJ3">
        <f>_xlfn.RANK.EQ(Complete_data[[#This Row],[Hospital Count]],Complete_data[Hospital Count],0)</f>
        <v>21</v>
      </c>
      <c r="AK3">
        <v>50.22</v>
      </c>
      <c r="AL3">
        <v>46.75</v>
      </c>
      <c r="AM3">
        <v>47.16</v>
      </c>
      <c r="AN3">
        <v>54.71</v>
      </c>
      <c r="AO3">
        <v>66.7</v>
      </c>
      <c r="AP3">
        <v>61.27</v>
      </c>
      <c r="AQ3">
        <v>69.459999999999994</v>
      </c>
      <c r="AR3">
        <v>69.17</v>
      </c>
      <c r="AS3">
        <v>62.57</v>
      </c>
      <c r="AT3">
        <v>62.06</v>
      </c>
      <c r="AU3">
        <f>AVERAGE(Complete_data[[#This Row],[2009]:[2019]])</f>
        <v>59.006999999999991</v>
      </c>
      <c r="AV3">
        <f>_xlfn.RANK.EQ(Complete_data[[#This Row],[Average crime rate]],Complete_data[Average crime rate],1)</f>
        <v>117</v>
      </c>
      <c r="AW3">
        <v>52</v>
      </c>
      <c r="AX3">
        <v>53</v>
      </c>
      <c r="AY3">
        <v>55</v>
      </c>
      <c r="AZ3">
        <v>57</v>
      </c>
      <c r="BA3">
        <v>58</v>
      </c>
      <c r="BB3">
        <v>61</v>
      </c>
      <c r="BC3">
        <v>62</v>
      </c>
      <c r="BD3">
        <v>63</v>
      </c>
      <c r="BE3">
        <v>64</v>
      </c>
      <c r="BF3">
        <v>62</v>
      </c>
      <c r="BG3">
        <v>56</v>
      </c>
      <c r="BH3">
        <v>52</v>
      </c>
    </row>
    <row r="4" spans="1:60" x14ac:dyDescent="0.3">
      <c r="A4" t="s">
        <v>87</v>
      </c>
      <c r="B4" t="s">
        <v>3</v>
      </c>
      <c r="C4" t="s">
        <v>88</v>
      </c>
      <c r="D4">
        <v>2.4</v>
      </c>
      <c r="E4">
        <v>528</v>
      </c>
      <c r="F4">
        <v>154</v>
      </c>
      <c r="G4">
        <v>81</v>
      </c>
      <c r="H4">
        <v>545</v>
      </c>
      <c r="I4">
        <v>131</v>
      </c>
      <c r="J4">
        <v>62</v>
      </c>
      <c r="K4">
        <v>46</v>
      </c>
      <c r="L4">
        <v>59</v>
      </c>
      <c r="M4">
        <v>19</v>
      </c>
      <c r="N4">
        <v>673</v>
      </c>
      <c r="O4">
        <v>2</v>
      </c>
      <c r="P4">
        <v>15</v>
      </c>
      <c r="Q4">
        <f>SUM(Complete_data[[#This Row],[American]:[Indian]])</f>
        <v>2315</v>
      </c>
      <c r="R4">
        <f>_xlfn.RANK.EQ(Complete_data[[#This Row],[Restaurant count]],Complete_data[Restaurant count],0)</f>
        <v>33</v>
      </c>
      <c r="S4">
        <v>74</v>
      </c>
      <c r="T4">
        <v>81</v>
      </c>
      <c r="U4" s="1">
        <v>77.583333333333329</v>
      </c>
      <c r="V4" s="1">
        <f>_xlfn.RANK.EQ(Complete_data[[#This Row],[Max Temperature]],Complete_data[Max Temperature],0)</f>
        <v>39</v>
      </c>
      <c r="W4" s="1">
        <f>_xlfn.RANK.EQ(Complete_data[[#This Row],[Min Temperature]],Complete_data[Min Temperature],0)</f>
        <v>1</v>
      </c>
      <c r="X4" s="1">
        <f>_xlfn.RANK.EQ(Complete_data[[#This Row],[Avg Temperature]],Complete_data[Avg Temperature],0)</f>
        <v>1</v>
      </c>
      <c r="Y4">
        <v>4</v>
      </c>
      <c r="Z4">
        <v>1</v>
      </c>
      <c r="AA4">
        <v>2</v>
      </c>
      <c r="AB4">
        <v>0</v>
      </c>
      <c r="AC4">
        <v>0</v>
      </c>
      <c r="AD4">
        <v>1</v>
      </c>
      <c r="AE4">
        <v>0</v>
      </c>
      <c r="AF4">
        <v>1</v>
      </c>
      <c r="AG4">
        <v>0</v>
      </c>
      <c r="AH4">
        <v>0</v>
      </c>
      <c r="AI4">
        <f>SUM(Complete_data[[#This Row],[GENERAL ACUTE CARE]:[CHRONIC DISEASE]])</f>
        <v>9</v>
      </c>
      <c r="AJ4">
        <f>_xlfn.RANK.EQ(Complete_data[[#This Row],[Hospital Count]],Complete_data[Hospital Count],0)</f>
        <v>61</v>
      </c>
      <c r="AK4">
        <v>40.04</v>
      </c>
      <c r="AL4">
        <v>36.369999999999997</v>
      </c>
      <c r="AM4">
        <v>0</v>
      </c>
      <c r="AN4">
        <v>0</v>
      </c>
      <c r="AO4">
        <v>0</v>
      </c>
      <c r="AP4">
        <v>0</v>
      </c>
      <c r="AQ4">
        <v>33.78</v>
      </c>
      <c r="AR4">
        <v>30.54</v>
      </c>
      <c r="AS4">
        <v>32.17</v>
      </c>
      <c r="AT4">
        <v>33</v>
      </c>
      <c r="AU4">
        <f>AVERAGE(Complete_data[[#This Row],[2009]:[2019]])</f>
        <v>20.589999999999996</v>
      </c>
      <c r="AV4">
        <f>_xlfn.RANK.EQ(Complete_data[[#This Row],[Average crime rate]],Complete_data[Average crime rate],1)</f>
        <v>8</v>
      </c>
      <c r="AW4">
        <v>74</v>
      </c>
      <c r="AX4">
        <v>74</v>
      </c>
      <c r="AY4">
        <v>74</v>
      </c>
      <c r="AZ4">
        <v>76</v>
      </c>
      <c r="BA4">
        <v>78</v>
      </c>
      <c r="BB4">
        <v>79</v>
      </c>
      <c r="BC4">
        <v>81</v>
      </c>
      <c r="BD4">
        <v>81</v>
      </c>
      <c r="BE4">
        <v>81</v>
      </c>
      <c r="BF4">
        <v>80</v>
      </c>
      <c r="BG4">
        <v>78</v>
      </c>
      <c r="BH4">
        <v>75</v>
      </c>
    </row>
    <row r="5" spans="1:60" x14ac:dyDescent="0.3">
      <c r="A5" t="s">
        <v>89</v>
      </c>
      <c r="B5" t="s">
        <v>4</v>
      </c>
      <c r="C5" t="s">
        <v>90</v>
      </c>
      <c r="D5">
        <v>2.4</v>
      </c>
      <c r="E5">
        <v>1549</v>
      </c>
      <c r="F5">
        <v>545</v>
      </c>
      <c r="G5">
        <v>214</v>
      </c>
      <c r="H5">
        <v>1625</v>
      </c>
      <c r="I5">
        <v>584</v>
      </c>
      <c r="J5">
        <v>438</v>
      </c>
      <c r="K5">
        <v>60</v>
      </c>
      <c r="L5">
        <v>344</v>
      </c>
      <c r="M5">
        <v>35</v>
      </c>
      <c r="N5">
        <v>1364</v>
      </c>
      <c r="O5">
        <v>17</v>
      </c>
      <c r="P5">
        <v>107</v>
      </c>
      <c r="Q5">
        <f>SUM(Complete_data[[#This Row],[American]:[Indian]])</f>
        <v>6882</v>
      </c>
      <c r="R5">
        <f>_xlfn.RANK.EQ(Complete_data[[#This Row],[Restaurant count]],Complete_data[Restaurant count],0)</f>
        <v>11</v>
      </c>
      <c r="S5">
        <v>42</v>
      </c>
      <c r="T5">
        <v>68</v>
      </c>
      <c r="U5" s="1">
        <v>53.333333333333336</v>
      </c>
      <c r="V5" s="1">
        <f>_xlfn.RANK.EQ(Complete_data[[#This Row],[Max Temperature]],Complete_data[Max Temperature],0)</f>
        <v>141</v>
      </c>
      <c r="W5" s="1">
        <f>_xlfn.RANK.EQ(Complete_data[[#This Row],[Min Temperature]],Complete_data[Min Temperature],0)</f>
        <v>40</v>
      </c>
      <c r="X5" s="1">
        <f>_xlfn.RANK.EQ(Complete_data[[#This Row],[Avg Temperature]],Complete_data[Avg Temperature],0)</f>
        <v>90</v>
      </c>
      <c r="Y5">
        <v>8</v>
      </c>
      <c r="Z5">
        <v>1</v>
      </c>
      <c r="AA5">
        <v>1</v>
      </c>
      <c r="AB5">
        <v>1</v>
      </c>
      <c r="AC5">
        <v>2</v>
      </c>
      <c r="AD5">
        <v>0</v>
      </c>
      <c r="AE5">
        <v>0</v>
      </c>
      <c r="AF5">
        <v>2</v>
      </c>
      <c r="AG5">
        <v>0</v>
      </c>
      <c r="AH5">
        <v>0</v>
      </c>
      <c r="AI5">
        <f>SUM(Complete_data[[#This Row],[GENERAL ACUTE CARE]:[CHRONIC DISEASE]])</f>
        <v>15</v>
      </c>
      <c r="AJ5">
        <f>_xlfn.RANK.EQ(Complete_data[[#This Row],[Hospital Count]],Complete_data[Hospital Count],0)</f>
        <v>32</v>
      </c>
      <c r="AK5">
        <v>64.900000000000006</v>
      </c>
      <c r="AL5">
        <v>59.38</v>
      </c>
      <c r="AM5">
        <v>57.49</v>
      </c>
      <c r="AN5">
        <v>57.04</v>
      </c>
      <c r="AO5">
        <v>61.81</v>
      </c>
      <c r="AP5">
        <v>67.42</v>
      </c>
      <c r="AQ5">
        <v>61.34</v>
      </c>
      <c r="AR5">
        <v>59.12</v>
      </c>
      <c r="AS5">
        <v>58.44</v>
      </c>
      <c r="AT5">
        <v>50.94</v>
      </c>
      <c r="AU5">
        <f>AVERAGE(Complete_data[[#This Row],[2009]:[2019]])</f>
        <v>59.788000000000011</v>
      </c>
      <c r="AV5">
        <f>_xlfn.RANK.EQ(Complete_data[[#This Row],[Average crime rate]],Complete_data[Average crime rate],1)</f>
        <v>119</v>
      </c>
      <c r="AW5">
        <v>43</v>
      </c>
      <c r="AX5">
        <v>43</v>
      </c>
      <c r="AY5">
        <v>47</v>
      </c>
      <c r="AZ5">
        <v>51</v>
      </c>
      <c r="BA5">
        <v>57</v>
      </c>
      <c r="BB5">
        <v>61</v>
      </c>
      <c r="BC5">
        <v>67</v>
      </c>
      <c r="BD5">
        <v>68</v>
      </c>
      <c r="BE5">
        <v>62</v>
      </c>
      <c r="BF5">
        <v>53</v>
      </c>
      <c r="BG5">
        <v>46</v>
      </c>
      <c r="BH5">
        <v>42</v>
      </c>
    </row>
    <row r="6" spans="1:60" x14ac:dyDescent="0.3">
      <c r="A6" t="s">
        <v>91</v>
      </c>
      <c r="B6" t="s">
        <v>5</v>
      </c>
      <c r="C6" t="s">
        <v>92</v>
      </c>
      <c r="D6">
        <v>2.5</v>
      </c>
      <c r="E6">
        <v>990</v>
      </c>
      <c r="F6">
        <v>159</v>
      </c>
      <c r="G6">
        <v>107</v>
      </c>
      <c r="H6">
        <v>528</v>
      </c>
      <c r="I6">
        <v>252</v>
      </c>
      <c r="J6">
        <v>225</v>
      </c>
      <c r="K6">
        <v>60</v>
      </c>
      <c r="L6">
        <v>120</v>
      </c>
      <c r="M6">
        <v>21</v>
      </c>
      <c r="N6">
        <v>244</v>
      </c>
      <c r="O6">
        <v>10</v>
      </c>
      <c r="P6">
        <v>19</v>
      </c>
      <c r="Q6">
        <f>SUM(Complete_data[[#This Row],[American]:[Indian]])</f>
        <v>2735</v>
      </c>
      <c r="R6">
        <f>_xlfn.RANK.EQ(Complete_data[[#This Row],[Restaurant count]],Complete_data[Restaurant count],0)</f>
        <v>28</v>
      </c>
      <c r="S6">
        <v>39</v>
      </c>
      <c r="T6">
        <v>80</v>
      </c>
      <c r="U6" s="1">
        <v>60.833333333333336</v>
      </c>
      <c r="V6" s="1">
        <f>_xlfn.RANK.EQ(Complete_data[[#This Row],[Max Temperature]],Complete_data[Max Temperature],0)</f>
        <v>50</v>
      </c>
      <c r="W6" s="1">
        <f>_xlfn.RANK.EQ(Complete_data[[#This Row],[Min Temperature]],Complete_data[Min Temperature],0)</f>
        <v>53</v>
      </c>
      <c r="X6" s="1">
        <f>_xlfn.RANK.EQ(Complete_data[[#This Row],[Avg Temperature]],Complete_data[Avg Temperature],0)</f>
        <v>51</v>
      </c>
      <c r="Y6">
        <v>8</v>
      </c>
      <c r="Z6">
        <v>0</v>
      </c>
      <c r="AA6">
        <v>0</v>
      </c>
      <c r="AB6">
        <v>2</v>
      </c>
      <c r="AC6">
        <v>0</v>
      </c>
      <c r="AD6">
        <v>1</v>
      </c>
      <c r="AE6">
        <v>0</v>
      </c>
      <c r="AF6">
        <v>1</v>
      </c>
      <c r="AG6">
        <v>1</v>
      </c>
      <c r="AH6">
        <v>0</v>
      </c>
      <c r="AI6">
        <f>SUM(Complete_data[[#This Row],[GENERAL ACUTE CARE]:[CHRONIC DISEASE]])</f>
        <v>13</v>
      </c>
      <c r="AJ6">
        <f>_xlfn.RANK.EQ(Complete_data[[#This Row],[Hospital Count]],Complete_data[Hospital Count],0)</f>
        <v>41</v>
      </c>
      <c r="AK6">
        <v>59.3</v>
      </c>
      <c r="AL6">
        <v>60.99</v>
      </c>
      <c r="AM6">
        <v>59.72</v>
      </c>
      <c r="AN6">
        <v>54.27</v>
      </c>
      <c r="AO6">
        <v>49.02</v>
      </c>
      <c r="AP6">
        <v>47.68</v>
      </c>
      <c r="AQ6">
        <v>0</v>
      </c>
      <c r="AR6">
        <v>0</v>
      </c>
      <c r="AS6">
        <v>0</v>
      </c>
      <c r="AT6">
        <v>0</v>
      </c>
      <c r="AU6">
        <f>AVERAGE(Complete_data[[#This Row],[2009]:[2019]])</f>
        <v>33.097999999999999</v>
      </c>
      <c r="AV6">
        <f>_xlfn.RANK.EQ(Complete_data[[#This Row],[Average crime rate]],Complete_data[Average crime rate],1)</f>
        <v>26</v>
      </c>
      <c r="AW6">
        <v>39</v>
      </c>
      <c r="AX6">
        <v>43</v>
      </c>
      <c r="AY6">
        <v>52</v>
      </c>
      <c r="AZ6">
        <v>61</v>
      </c>
      <c r="BA6">
        <v>69</v>
      </c>
      <c r="BB6">
        <v>78</v>
      </c>
      <c r="BC6">
        <v>80</v>
      </c>
      <c r="BD6">
        <v>79</v>
      </c>
      <c r="BE6">
        <v>73</v>
      </c>
      <c r="BF6">
        <v>62</v>
      </c>
      <c r="BG6">
        <v>50</v>
      </c>
      <c r="BH6">
        <v>44</v>
      </c>
    </row>
    <row r="7" spans="1:60" x14ac:dyDescent="0.3">
      <c r="A7" t="s">
        <v>93</v>
      </c>
      <c r="B7" t="s">
        <v>6</v>
      </c>
      <c r="C7" t="s">
        <v>94</v>
      </c>
      <c r="D7">
        <v>2.6</v>
      </c>
      <c r="E7">
        <v>1371</v>
      </c>
      <c r="F7">
        <v>326</v>
      </c>
      <c r="G7">
        <v>195</v>
      </c>
      <c r="H7">
        <v>1105</v>
      </c>
      <c r="I7">
        <v>496</v>
      </c>
      <c r="J7">
        <v>552</v>
      </c>
      <c r="K7">
        <v>53</v>
      </c>
      <c r="L7">
        <v>239</v>
      </c>
      <c r="M7">
        <v>29</v>
      </c>
      <c r="N7">
        <v>636</v>
      </c>
      <c r="O7">
        <v>7</v>
      </c>
      <c r="P7">
        <v>68</v>
      </c>
      <c r="Q7">
        <f>SUM(Complete_data[[#This Row],[American]:[Indian]])</f>
        <v>5077</v>
      </c>
      <c r="R7">
        <f>_xlfn.RANK.EQ(Complete_data[[#This Row],[Restaurant count]],Complete_data[Restaurant count],0)</f>
        <v>15</v>
      </c>
      <c r="S7">
        <v>31</v>
      </c>
      <c r="T7">
        <v>75</v>
      </c>
      <c r="U7" s="1">
        <v>51.166666666666664</v>
      </c>
      <c r="V7" s="1">
        <f>_xlfn.RANK.EQ(Complete_data[[#This Row],[Max Temperature]],Complete_data[Max Temperature],0)</f>
        <v>94</v>
      </c>
      <c r="W7" s="1">
        <f>_xlfn.RANK.EQ(Complete_data[[#This Row],[Min Temperature]],Complete_data[Min Temperature],0)</f>
        <v>83</v>
      </c>
      <c r="X7" s="1">
        <f>_xlfn.RANK.EQ(Complete_data[[#This Row],[Avg Temperature]],Complete_data[Avg Temperature],0)</f>
        <v>105</v>
      </c>
      <c r="Y7">
        <v>7</v>
      </c>
      <c r="Z7">
        <v>1</v>
      </c>
      <c r="AA7">
        <v>0</v>
      </c>
      <c r="AB7">
        <v>2</v>
      </c>
      <c r="AC7">
        <v>4</v>
      </c>
      <c r="AD7">
        <v>0</v>
      </c>
      <c r="AE7">
        <v>0</v>
      </c>
      <c r="AF7">
        <v>1</v>
      </c>
      <c r="AG7">
        <v>0</v>
      </c>
      <c r="AH7">
        <v>0</v>
      </c>
      <c r="AI7">
        <f>SUM(Complete_data[[#This Row],[GENERAL ACUTE CARE]:[CHRONIC DISEASE]])</f>
        <v>15</v>
      </c>
      <c r="AJ7">
        <f>_xlfn.RANK.EQ(Complete_data[[#This Row],[Hospital Count]],Complete_data[Hospital Count],0)</f>
        <v>32</v>
      </c>
      <c r="AK7">
        <v>40.53</v>
      </c>
      <c r="AL7">
        <v>39.68</v>
      </c>
      <c r="AM7">
        <v>43.07</v>
      </c>
      <c r="AN7">
        <v>43.45</v>
      </c>
      <c r="AO7">
        <v>42.98</v>
      </c>
      <c r="AP7">
        <v>39.79</v>
      </c>
      <c r="AQ7">
        <v>42.2</v>
      </c>
      <c r="AR7">
        <v>43.61</v>
      </c>
      <c r="AS7">
        <v>44.18</v>
      </c>
      <c r="AT7">
        <v>45.07</v>
      </c>
      <c r="AU7">
        <f>AVERAGE(Complete_data[[#This Row],[2009]:[2019]])</f>
        <v>42.456000000000003</v>
      </c>
      <c r="AV7">
        <f>_xlfn.RANK.EQ(Complete_data[[#This Row],[Average crime rate]],Complete_data[Average crime rate],1)</f>
        <v>53</v>
      </c>
      <c r="AW7">
        <v>32</v>
      </c>
      <c r="AX7">
        <v>31</v>
      </c>
      <c r="AY7">
        <v>42</v>
      </c>
      <c r="AZ7">
        <v>48</v>
      </c>
      <c r="BA7">
        <v>55</v>
      </c>
      <c r="BB7">
        <v>70</v>
      </c>
      <c r="BC7">
        <v>75</v>
      </c>
      <c r="BD7">
        <v>73</v>
      </c>
      <c r="BE7">
        <v>66</v>
      </c>
      <c r="BF7">
        <v>51</v>
      </c>
      <c r="BG7">
        <v>40</v>
      </c>
      <c r="BH7">
        <v>31</v>
      </c>
    </row>
    <row r="8" spans="1:60" x14ac:dyDescent="0.3">
      <c r="A8" t="s">
        <v>95</v>
      </c>
      <c r="B8" t="s">
        <v>7</v>
      </c>
      <c r="C8" t="s">
        <v>96</v>
      </c>
      <c r="D8">
        <v>2.7</v>
      </c>
      <c r="E8">
        <v>2525</v>
      </c>
      <c r="F8">
        <v>583</v>
      </c>
      <c r="G8">
        <v>370</v>
      </c>
      <c r="H8">
        <v>1907</v>
      </c>
      <c r="I8">
        <v>1709</v>
      </c>
      <c r="J8">
        <v>366</v>
      </c>
      <c r="K8">
        <v>58</v>
      </c>
      <c r="L8">
        <v>244</v>
      </c>
      <c r="M8">
        <v>44</v>
      </c>
      <c r="N8">
        <v>1150</v>
      </c>
      <c r="O8">
        <v>36</v>
      </c>
      <c r="P8">
        <v>97</v>
      </c>
      <c r="Q8">
        <f>SUM(Complete_data[[#This Row],[American]:[Indian]])</f>
        <v>9089</v>
      </c>
      <c r="R8">
        <f>_xlfn.RANK.EQ(Complete_data[[#This Row],[Restaurant count]],Complete_data[Restaurant count],0)</f>
        <v>7</v>
      </c>
      <c r="S8">
        <v>31</v>
      </c>
      <c r="T8">
        <v>75</v>
      </c>
      <c r="U8" s="1">
        <v>52.5</v>
      </c>
      <c r="V8" s="1">
        <f>_xlfn.RANK.EQ(Complete_data[[#This Row],[Max Temperature]],Complete_data[Max Temperature],0)</f>
        <v>94</v>
      </c>
      <c r="W8" s="1">
        <f>_xlfn.RANK.EQ(Complete_data[[#This Row],[Min Temperature]],Complete_data[Min Temperature],0)</f>
        <v>83</v>
      </c>
      <c r="X8" s="1">
        <f>_xlfn.RANK.EQ(Complete_data[[#This Row],[Avg Temperature]],Complete_data[Avg Temperature],0)</f>
        <v>96</v>
      </c>
      <c r="Y8">
        <v>14</v>
      </c>
      <c r="Z8">
        <v>0</v>
      </c>
      <c r="AA8">
        <v>2</v>
      </c>
      <c r="AB8">
        <v>1</v>
      </c>
      <c r="AC8">
        <v>3</v>
      </c>
      <c r="AD8">
        <v>2</v>
      </c>
      <c r="AE8">
        <v>0</v>
      </c>
      <c r="AF8">
        <v>0</v>
      </c>
      <c r="AG8">
        <v>0</v>
      </c>
      <c r="AH8">
        <v>0</v>
      </c>
      <c r="AI8">
        <f>SUM(Complete_data[[#This Row],[GENERAL ACUTE CARE]:[CHRONIC DISEASE]])</f>
        <v>22</v>
      </c>
      <c r="AJ8">
        <f>_xlfn.RANK.EQ(Complete_data[[#This Row],[Hospital Count]],Complete_data[Hospital Count],0)</f>
        <v>14</v>
      </c>
      <c r="AK8">
        <v>43.16</v>
      </c>
      <c r="AL8">
        <v>41.06</v>
      </c>
      <c r="AM8">
        <v>39.75</v>
      </c>
      <c r="AN8">
        <v>37.450000000000003</v>
      </c>
      <c r="AO8">
        <v>35.549999999999997</v>
      </c>
      <c r="AP8">
        <v>33.65</v>
      </c>
      <c r="AQ8">
        <v>30.23</v>
      </c>
      <c r="AR8">
        <v>27.58</v>
      </c>
      <c r="AS8">
        <v>26.39</v>
      </c>
      <c r="AT8">
        <v>0</v>
      </c>
      <c r="AU8">
        <f>AVERAGE(Complete_data[[#This Row],[2009]:[2019]])</f>
        <v>31.481999999999999</v>
      </c>
      <c r="AV8">
        <f>_xlfn.RANK.EQ(Complete_data[[#This Row],[Average crime rate]],Complete_data[Average crime rate],1)</f>
        <v>22</v>
      </c>
      <c r="AW8">
        <v>31</v>
      </c>
      <c r="AX8">
        <v>33</v>
      </c>
      <c r="AY8">
        <v>39</v>
      </c>
      <c r="AZ8">
        <v>49</v>
      </c>
      <c r="BA8">
        <v>58</v>
      </c>
      <c r="BB8">
        <v>67</v>
      </c>
      <c r="BC8">
        <v>75</v>
      </c>
      <c r="BD8">
        <v>73</v>
      </c>
      <c r="BE8">
        <v>67</v>
      </c>
      <c r="BF8">
        <v>56</v>
      </c>
      <c r="BG8">
        <v>45</v>
      </c>
      <c r="BH8">
        <v>37</v>
      </c>
    </row>
    <row r="9" spans="1:60" x14ac:dyDescent="0.3">
      <c r="A9" t="s">
        <v>97</v>
      </c>
      <c r="B9" t="s">
        <v>8</v>
      </c>
      <c r="C9" t="s">
        <v>98</v>
      </c>
      <c r="D9">
        <v>2.8</v>
      </c>
      <c r="E9">
        <v>3061</v>
      </c>
      <c r="F9">
        <v>730</v>
      </c>
      <c r="G9">
        <v>556</v>
      </c>
      <c r="H9">
        <v>2798</v>
      </c>
      <c r="I9">
        <v>1549</v>
      </c>
      <c r="J9">
        <v>955</v>
      </c>
      <c r="K9">
        <v>118</v>
      </c>
      <c r="L9">
        <v>409</v>
      </c>
      <c r="M9">
        <v>159</v>
      </c>
      <c r="N9">
        <v>1160</v>
      </c>
      <c r="O9">
        <v>27</v>
      </c>
      <c r="P9">
        <v>67</v>
      </c>
      <c r="Q9">
        <f>SUM(Complete_data[[#This Row],[American]:[Indian]])</f>
        <v>11589</v>
      </c>
      <c r="R9">
        <f>_xlfn.RANK.EQ(Complete_data[[#This Row],[Restaurant count]],Complete_data[Restaurant count],0)</f>
        <v>4</v>
      </c>
      <c r="S9">
        <v>69</v>
      </c>
      <c r="T9">
        <v>84</v>
      </c>
      <c r="U9" s="1">
        <v>77.583333333333329</v>
      </c>
      <c r="V9" s="1">
        <f>_xlfn.RANK.EQ(Complete_data[[#This Row],[Max Temperature]],Complete_data[Max Temperature],0)</f>
        <v>15</v>
      </c>
      <c r="W9" s="1">
        <f>_xlfn.RANK.EQ(Complete_data[[#This Row],[Min Temperature]],Complete_data[Min Temperature],0)</f>
        <v>2</v>
      </c>
      <c r="X9" s="1">
        <f>_xlfn.RANK.EQ(Complete_data[[#This Row],[Avg Temperature]],Complete_data[Avg Temperature],0)</f>
        <v>1</v>
      </c>
      <c r="Y9">
        <v>1</v>
      </c>
      <c r="Z9">
        <v>0</v>
      </c>
      <c r="AA9">
        <v>0</v>
      </c>
      <c r="AB9">
        <v>0</v>
      </c>
      <c r="AC9">
        <v>0</v>
      </c>
      <c r="AD9">
        <v>0</v>
      </c>
      <c r="AE9">
        <v>0</v>
      </c>
      <c r="AF9">
        <v>0</v>
      </c>
      <c r="AG9">
        <v>0</v>
      </c>
      <c r="AH9">
        <v>0</v>
      </c>
      <c r="AI9">
        <f>SUM(Complete_data[[#This Row],[GENERAL ACUTE CARE]:[CHRONIC DISEASE]])</f>
        <v>1</v>
      </c>
      <c r="AJ9">
        <f>_xlfn.RANK.EQ(Complete_data[[#This Row],[Hospital Count]],Complete_data[Hospital Count],0)</f>
        <v>137</v>
      </c>
      <c r="AK9">
        <v>111.04</v>
      </c>
      <c r="AL9">
        <v>109.29</v>
      </c>
      <c r="AM9">
        <v>117.91</v>
      </c>
      <c r="AN9">
        <v>109.5</v>
      </c>
      <c r="AO9">
        <v>116.76</v>
      </c>
      <c r="AP9">
        <v>112.48</v>
      </c>
      <c r="AQ9">
        <v>108.09</v>
      </c>
      <c r="AR9">
        <v>91.53</v>
      </c>
      <c r="AS9">
        <v>84.25</v>
      </c>
      <c r="AT9">
        <v>85.04</v>
      </c>
      <c r="AU9">
        <f>AVERAGE(Complete_data[[#This Row],[2009]:[2019]])</f>
        <v>104.58900000000001</v>
      </c>
      <c r="AV9">
        <f>_xlfn.RANK.EQ(Complete_data[[#This Row],[Average crime rate]],Complete_data[Average crime rate],1)</f>
        <v>147</v>
      </c>
      <c r="AW9">
        <v>69</v>
      </c>
      <c r="AX9">
        <v>71</v>
      </c>
      <c r="AY9">
        <v>73</v>
      </c>
      <c r="AZ9">
        <v>77</v>
      </c>
      <c r="BA9">
        <v>80</v>
      </c>
      <c r="BB9">
        <v>83</v>
      </c>
      <c r="BC9">
        <v>84</v>
      </c>
      <c r="BD9">
        <v>84</v>
      </c>
      <c r="BE9">
        <v>83</v>
      </c>
      <c r="BF9">
        <v>80</v>
      </c>
      <c r="BG9">
        <v>75</v>
      </c>
      <c r="BH9">
        <v>72</v>
      </c>
    </row>
    <row r="10" spans="1:60" x14ac:dyDescent="0.3">
      <c r="A10" t="s">
        <v>99</v>
      </c>
      <c r="B10" t="s">
        <v>9</v>
      </c>
      <c r="C10" t="s">
        <v>100</v>
      </c>
      <c r="D10">
        <v>2.8</v>
      </c>
      <c r="E10">
        <v>1483</v>
      </c>
      <c r="F10">
        <v>256</v>
      </c>
      <c r="G10">
        <v>178</v>
      </c>
      <c r="H10">
        <v>729</v>
      </c>
      <c r="I10">
        <v>457</v>
      </c>
      <c r="J10">
        <v>251</v>
      </c>
      <c r="K10">
        <v>23</v>
      </c>
      <c r="L10">
        <v>143</v>
      </c>
      <c r="M10">
        <v>17</v>
      </c>
      <c r="N10">
        <v>570</v>
      </c>
      <c r="O10">
        <v>7</v>
      </c>
      <c r="P10">
        <v>41</v>
      </c>
      <c r="Q10">
        <f>SUM(Complete_data[[#This Row],[American]:[Indian]])</f>
        <v>4155</v>
      </c>
      <c r="R10">
        <f>_xlfn.RANK.EQ(Complete_data[[#This Row],[Restaurant count]],Complete_data[Restaurant count],0)</f>
        <v>18</v>
      </c>
      <c r="S10">
        <v>17</v>
      </c>
      <c r="T10">
        <v>76</v>
      </c>
      <c r="U10" s="1">
        <v>47.5</v>
      </c>
      <c r="V10" s="1">
        <f>_xlfn.RANK.EQ(Complete_data[[#This Row],[Max Temperature]],Complete_data[Max Temperature],0)</f>
        <v>82</v>
      </c>
      <c r="W10" s="1">
        <f>_xlfn.RANK.EQ(Complete_data[[#This Row],[Min Temperature]],Complete_data[Min Temperature],0)</f>
        <v>143</v>
      </c>
      <c r="X10" s="1">
        <f>_xlfn.RANK.EQ(Complete_data[[#This Row],[Avg Temperature]],Complete_data[Avg Temperature],0)</f>
        <v>132</v>
      </c>
      <c r="Y10">
        <v>6</v>
      </c>
      <c r="Z10">
        <v>0</v>
      </c>
      <c r="AA10">
        <v>1</v>
      </c>
      <c r="AB10">
        <v>0</v>
      </c>
      <c r="AC10">
        <v>0</v>
      </c>
      <c r="AD10">
        <v>0</v>
      </c>
      <c r="AE10">
        <v>0</v>
      </c>
      <c r="AF10">
        <v>0</v>
      </c>
      <c r="AG10">
        <v>0</v>
      </c>
      <c r="AH10">
        <v>0</v>
      </c>
      <c r="AI10">
        <f>SUM(Complete_data[[#This Row],[GENERAL ACUTE CARE]:[CHRONIC DISEASE]])</f>
        <v>7</v>
      </c>
      <c r="AJ10">
        <f>_xlfn.RANK.EQ(Complete_data[[#This Row],[Hospital Count]],Complete_data[Hospital Count],0)</f>
        <v>80</v>
      </c>
      <c r="AK10">
        <v>58.14</v>
      </c>
      <c r="AL10">
        <v>58.28</v>
      </c>
      <c r="AM10">
        <v>59.79</v>
      </c>
      <c r="AN10">
        <v>59.83</v>
      </c>
      <c r="AO10">
        <v>59.36</v>
      </c>
      <c r="AP10">
        <v>57.69</v>
      </c>
      <c r="AQ10">
        <v>52.85</v>
      </c>
      <c r="AR10">
        <v>57.68</v>
      </c>
      <c r="AS10">
        <v>47.22</v>
      </c>
      <c r="AT10">
        <v>54.6</v>
      </c>
      <c r="AU10">
        <f>AVERAGE(Complete_data[[#This Row],[2009]:[2019]])</f>
        <v>56.544000000000004</v>
      </c>
      <c r="AV10">
        <f>_xlfn.RANK.EQ(Complete_data[[#This Row],[Average crime rate]],Complete_data[Average crime rate],1)</f>
        <v>110</v>
      </c>
      <c r="AW10">
        <v>17</v>
      </c>
      <c r="AX10">
        <v>19</v>
      </c>
      <c r="AY10">
        <v>35</v>
      </c>
      <c r="AZ10">
        <v>47</v>
      </c>
      <c r="BA10">
        <v>60</v>
      </c>
      <c r="BB10">
        <v>70</v>
      </c>
      <c r="BC10">
        <v>76</v>
      </c>
      <c r="BD10">
        <v>73</v>
      </c>
      <c r="BE10">
        <v>65</v>
      </c>
      <c r="BF10">
        <v>50</v>
      </c>
      <c r="BG10">
        <v>35</v>
      </c>
      <c r="BH10">
        <v>23</v>
      </c>
    </row>
    <row r="11" spans="1:60" x14ac:dyDescent="0.3">
      <c r="A11" t="s">
        <v>101</v>
      </c>
      <c r="B11" t="s">
        <v>10</v>
      </c>
      <c r="C11" t="s">
        <v>102</v>
      </c>
      <c r="D11">
        <v>3</v>
      </c>
      <c r="E11">
        <v>508</v>
      </c>
      <c r="F11">
        <v>102</v>
      </c>
      <c r="G11">
        <v>55</v>
      </c>
      <c r="H11">
        <v>363</v>
      </c>
      <c r="I11">
        <v>153</v>
      </c>
      <c r="J11">
        <v>168</v>
      </c>
      <c r="K11">
        <v>29</v>
      </c>
      <c r="L11">
        <v>54</v>
      </c>
      <c r="M11">
        <v>8</v>
      </c>
      <c r="N11">
        <v>189</v>
      </c>
      <c r="P11">
        <v>14</v>
      </c>
      <c r="Q11">
        <f>SUM(Complete_data[[#This Row],[American]:[Indian]])</f>
        <v>1643</v>
      </c>
      <c r="R11">
        <f>_xlfn.RANK.EQ(Complete_data[[#This Row],[Restaurant count]],Complete_data[Restaurant count],0)</f>
        <v>46</v>
      </c>
      <c r="S11">
        <v>39</v>
      </c>
      <c r="T11">
        <v>83</v>
      </c>
      <c r="U11" s="1">
        <v>61.166666666666664</v>
      </c>
      <c r="V11" s="1">
        <f>_xlfn.RANK.EQ(Complete_data[[#This Row],[Max Temperature]],Complete_data[Max Temperature],0)</f>
        <v>21</v>
      </c>
      <c r="W11" s="1">
        <f>_xlfn.RANK.EQ(Complete_data[[#This Row],[Min Temperature]],Complete_data[Min Temperature],0)</f>
        <v>53</v>
      </c>
      <c r="X11" s="1">
        <f>_xlfn.RANK.EQ(Complete_data[[#This Row],[Avg Temperature]],Complete_data[Avg Temperature],0)</f>
        <v>48</v>
      </c>
      <c r="Y11">
        <v>11</v>
      </c>
      <c r="Z11">
        <v>6</v>
      </c>
      <c r="AA11">
        <v>1</v>
      </c>
      <c r="AB11">
        <v>1</v>
      </c>
      <c r="AC11">
        <v>2</v>
      </c>
      <c r="AD11">
        <v>2</v>
      </c>
      <c r="AE11">
        <v>0</v>
      </c>
      <c r="AF11">
        <v>1</v>
      </c>
      <c r="AG11">
        <v>0</v>
      </c>
      <c r="AH11">
        <v>0</v>
      </c>
      <c r="AI11">
        <f>SUM(Complete_data[[#This Row],[GENERAL ACUTE CARE]:[CHRONIC DISEASE]])</f>
        <v>24</v>
      </c>
      <c r="AJ11">
        <f>_xlfn.RANK.EQ(Complete_data[[#This Row],[Hospital Count]],Complete_data[Hospital Count],0)</f>
        <v>10</v>
      </c>
      <c r="AK11">
        <v>70.5</v>
      </c>
      <c r="AL11">
        <v>67.650000000000006</v>
      </c>
      <c r="AM11">
        <v>67.06</v>
      </c>
      <c r="AN11">
        <v>68.81</v>
      </c>
      <c r="AO11">
        <v>62.16</v>
      </c>
      <c r="AP11">
        <v>52</v>
      </c>
      <c r="AQ11">
        <v>47.36</v>
      </c>
      <c r="AR11">
        <v>45.52</v>
      </c>
      <c r="AS11">
        <v>49.05</v>
      </c>
      <c r="AT11">
        <v>48.28</v>
      </c>
      <c r="AU11">
        <f>AVERAGE(Complete_data[[#This Row],[2009]:[2019]])</f>
        <v>57.838999999999984</v>
      </c>
      <c r="AV11">
        <f>_xlfn.RANK.EQ(Complete_data[[#This Row],[Average crime rate]],Complete_data[Average crime rate],1)</f>
        <v>112</v>
      </c>
      <c r="AW11">
        <v>39</v>
      </c>
      <c r="AX11">
        <v>42</v>
      </c>
      <c r="AY11">
        <v>52</v>
      </c>
      <c r="AZ11">
        <v>61</v>
      </c>
      <c r="BA11">
        <v>68</v>
      </c>
      <c r="BB11">
        <v>79</v>
      </c>
      <c r="BC11">
        <v>83</v>
      </c>
      <c r="BD11">
        <v>82</v>
      </c>
      <c r="BE11">
        <v>75</v>
      </c>
      <c r="BF11">
        <v>62</v>
      </c>
      <c r="BG11">
        <v>50</v>
      </c>
      <c r="BH11">
        <v>41</v>
      </c>
    </row>
    <row r="12" spans="1:60" x14ac:dyDescent="0.3">
      <c r="A12" t="s">
        <v>103</v>
      </c>
      <c r="B12" t="s">
        <v>104</v>
      </c>
      <c r="C12" t="s">
        <v>105</v>
      </c>
      <c r="E12">
        <v>151</v>
      </c>
      <c r="F12">
        <v>20</v>
      </c>
      <c r="G12">
        <v>12</v>
      </c>
      <c r="H12">
        <v>80</v>
      </c>
      <c r="I12">
        <v>48</v>
      </c>
      <c r="J12">
        <v>31</v>
      </c>
      <c r="K12">
        <v>6</v>
      </c>
      <c r="L12">
        <v>23</v>
      </c>
      <c r="M12">
        <v>2</v>
      </c>
      <c r="N12">
        <v>90</v>
      </c>
      <c r="P12">
        <v>4</v>
      </c>
      <c r="Q12">
        <f>SUM(Complete_data[[#This Row],[American]:[Indian]])</f>
        <v>467</v>
      </c>
      <c r="R12">
        <f>_xlfn.RANK.EQ(Complete_data[[#This Row],[Restaurant count]],Complete_data[Restaurant count],0)</f>
        <v>97</v>
      </c>
      <c r="S12">
        <v>19</v>
      </c>
      <c r="T12">
        <v>60</v>
      </c>
      <c r="U12" s="1">
        <v>39</v>
      </c>
      <c r="V12" s="1">
        <f>_xlfn.RANK.EQ(Complete_data[[#This Row],[Max Temperature]],Complete_data[Max Temperature],0)</f>
        <v>147</v>
      </c>
      <c r="W12" s="1">
        <f>_xlfn.RANK.EQ(Complete_data[[#This Row],[Min Temperature]],Complete_data[Min Temperature],0)</f>
        <v>140</v>
      </c>
      <c r="X12" s="1">
        <f>_xlfn.RANK.EQ(Complete_data[[#This Row],[Avg Temperature]],Complete_data[Avg Temperature],0)</f>
        <v>147</v>
      </c>
      <c r="Y12">
        <v>3</v>
      </c>
      <c r="Z12">
        <v>0</v>
      </c>
      <c r="AA12">
        <v>0</v>
      </c>
      <c r="AB12">
        <v>1</v>
      </c>
      <c r="AC12">
        <v>3</v>
      </c>
      <c r="AD12">
        <v>0</v>
      </c>
      <c r="AE12">
        <v>0</v>
      </c>
      <c r="AF12">
        <v>2</v>
      </c>
      <c r="AG12">
        <v>0</v>
      </c>
      <c r="AH12">
        <v>0</v>
      </c>
      <c r="AI12">
        <f>SUM(Complete_data[[#This Row],[GENERAL ACUTE CARE]:[CHRONIC DISEASE]])</f>
        <v>9</v>
      </c>
      <c r="AJ12">
        <f>_xlfn.RANK.EQ(Complete_data[[#This Row],[Hospital Count]],Complete_data[Hospital Count],0)</f>
        <v>61</v>
      </c>
      <c r="AK12">
        <v>45.59</v>
      </c>
      <c r="AL12">
        <v>43.85</v>
      </c>
      <c r="AM12">
        <v>40.31</v>
      </c>
      <c r="AN12">
        <v>43.86</v>
      </c>
      <c r="AO12">
        <v>48.56</v>
      </c>
      <c r="AP12">
        <v>47.18</v>
      </c>
      <c r="AQ12">
        <v>50.24</v>
      </c>
      <c r="AR12">
        <v>66.400000000000006</v>
      </c>
      <c r="AS12">
        <v>62.57</v>
      </c>
      <c r="AT12">
        <v>55.38</v>
      </c>
      <c r="AU12">
        <f>AVERAGE(Complete_data[[#This Row],[2009]:[2019]])</f>
        <v>50.393999999999998</v>
      </c>
      <c r="AV12">
        <f>_xlfn.RANK.EQ(Complete_data[[#This Row],[Average crime rate]],Complete_data[Average crime rate],1)</f>
        <v>88</v>
      </c>
      <c r="AW12">
        <v>19</v>
      </c>
      <c r="AX12">
        <v>23</v>
      </c>
      <c r="AY12">
        <v>27</v>
      </c>
      <c r="AZ12">
        <v>38</v>
      </c>
      <c r="BA12">
        <v>49</v>
      </c>
      <c r="BB12">
        <v>57</v>
      </c>
      <c r="BC12">
        <v>60</v>
      </c>
      <c r="BD12">
        <v>58</v>
      </c>
      <c r="BE12">
        <v>51</v>
      </c>
      <c r="BF12">
        <v>39</v>
      </c>
      <c r="BG12">
        <v>26</v>
      </c>
      <c r="BH12">
        <v>21</v>
      </c>
    </row>
    <row r="13" spans="1:60" x14ac:dyDescent="0.3">
      <c r="A13" t="s">
        <v>103</v>
      </c>
      <c r="B13" t="s">
        <v>106</v>
      </c>
      <c r="C13" t="s">
        <v>107</v>
      </c>
      <c r="E13">
        <v>64</v>
      </c>
      <c r="F13">
        <v>16</v>
      </c>
      <c r="G13">
        <v>6</v>
      </c>
      <c r="H13">
        <v>32</v>
      </c>
      <c r="I13">
        <v>14</v>
      </c>
      <c r="J13">
        <v>12</v>
      </c>
      <c r="K13">
        <v>1</v>
      </c>
      <c r="L13">
        <v>5</v>
      </c>
      <c r="M13">
        <v>2</v>
      </c>
      <c r="N13">
        <v>36</v>
      </c>
      <c r="P13">
        <v>1</v>
      </c>
      <c r="Q13">
        <f>SUM(Complete_data[[#This Row],[American]:[Indian]])</f>
        <v>189</v>
      </c>
      <c r="R13">
        <f>_xlfn.RANK.EQ(Complete_data[[#This Row],[Restaurant count]],Complete_data[Restaurant count],0)</f>
        <v>130</v>
      </c>
      <c r="S13">
        <v>-7</v>
      </c>
      <c r="T13">
        <v>63</v>
      </c>
      <c r="U13" s="1">
        <v>29.666666666666668</v>
      </c>
      <c r="V13" s="1">
        <f>_xlfn.RANK.EQ(Complete_data[[#This Row],[Max Temperature]],Complete_data[Max Temperature],0)</f>
        <v>146</v>
      </c>
      <c r="W13" s="1">
        <f>_xlfn.RANK.EQ(Complete_data[[#This Row],[Min Temperature]],Complete_data[Min Temperature],0)</f>
        <v>148</v>
      </c>
      <c r="X13" s="1">
        <f>_xlfn.RANK.EQ(Complete_data[[#This Row],[Avg Temperature]],Complete_data[Avg Temperature],0)</f>
        <v>148</v>
      </c>
      <c r="Y13">
        <v>1</v>
      </c>
      <c r="Z13">
        <v>0</v>
      </c>
      <c r="AA13">
        <v>0</v>
      </c>
      <c r="AB13">
        <v>0</v>
      </c>
      <c r="AC13">
        <v>0</v>
      </c>
      <c r="AD13">
        <v>0</v>
      </c>
      <c r="AE13">
        <v>0</v>
      </c>
      <c r="AF13">
        <v>0</v>
      </c>
      <c r="AG13">
        <v>0</v>
      </c>
      <c r="AH13">
        <v>0</v>
      </c>
      <c r="AI13">
        <f>SUM(Complete_data[[#This Row],[GENERAL ACUTE CARE]:[CHRONIC DISEASE]])</f>
        <v>1</v>
      </c>
      <c r="AJ13">
        <f>_xlfn.RANK.EQ(Complete_data[[#This Row],[Hospital Count]],Complete_data[Hospital Count],0)</f>
        <v>137</v>
      </c>
      <c r="AK13">
        <v>46.84</v>
      </c>
      <c r="AL13">
        <v>45.99</v>
      </c>
      <c r="AM13">
        <v>44.06</v>
      </c>
      <c r="AN13">
        <v>47.84</v>
      </c>
      <c r="AO13">
        <v>45.72</v>
      </c>
      <c r="AP13">
        <v>45.02</v>
      </c>
      <c r="AQ13">
        <v>41.5</v>
      </c>
      <c r="AR13">
        <v>51.74</v>
      </c>
      <c r="AS13">
        <v>49.03</v>
      </c>
      <c r="AT13">
        <v>51.54</v>
      </c>
      <c r="AU13">
        <f>AVERAGE(Complete_data[[#This Row],[2009]:[2019]])</f>
        <v>46.928000000000004</v>
      </c>
      <c r="AV13">
        <f>_xlfn.RANK.EQ(Complete_data[[#This Row],[Average crime rate]],Complete_data[Average crime rate],1)</f>
        <v>77</v>
      </c>
      <c r="AW13">
        <v>-7</v>
      </c>
      <c r="AX13">
        <v>1</v>
      </c>
      <c r="AY13">
        <v>12</v>
      </c>
      <c r="AZ13">
        <v>35</v>
      </c>
      <c r="BA13">
        <v>52</v>
      </c>
      <c r="BB13">
        <v>62</v>
      </c>
      <c r="BC13">
        <v>63</v>
      </c>
      <c r="BD13">
        <v>58</v>
      </c>
      <c r="BE13">
        <v>47</v>
      </c>
      <c r="BF13">
        <v>30</v>
      </c>
      <c r="BG13">
        <v>6</v>
      </c>
      <c r="BH13">
        <v>-3</v>
      </c>
    </row>
    <row r="14" spans="1:60" x14ac:dyDescent="0.3">
      <c r="A14" t="s">
        <v>103</v>
      </c>
      <c r="B14" t="s">
        <v>108</v>
      </c>
      <c r="C14" t="s">
        <v>109</v>
      </c>
      <c r="E14">
        <v>31</v>
      </c>
      <c r="F14">
        <v>4</v>
      </c>
      <c r="G14">
        <v>1</v>
      </c>
      <c r="H14">
        <v>10</v>
      </c>
      <c r="I14">
        <v>7</v>
      </c>
      <c r="J14">
        <v>8</v>
      </c>
      <c r="K14">
        <v>2</v>
      </c>
      <c r="L14">
        <v>2</v>
      </c>
      <c r="N14">
        <v>10</v>
      </c>
      <c r="P14">
        <v>2</v>
      </c>
      <c r="Q14">
        <f>SUM(Complete_data[[#This Row],[American]:[Indian]])</f>
        <v>77</v>
      </c>
      <c r="R14">
        <f>_xlfn.RANK.EQ(Complete_data[[#This Row],[Restaurant count]],Complete_data[Restaurant count],0)</f>
        <v>142</v>
      </c>
      <c r="S14">
        <v>30</v>
      </c>
      <c r="T14">
        <v>57</v>
      </c>
      <c r="U14" s="1">
        <v>42.75</v>
      </c>
      <c r="V14" s="1">
        <f>_xlfn.RANK.EQ(Complete_data[[#This Row],[Max Temperature]],Complete_data[Max Temperature],0)</f>
        <v>148</v>
      </c>
      <c r="W14" s="1">
        <f>_xlfn.RANK.EQ(Complete_data[[#This Row],[Min Temperature]],Complete_data[Min Temperature],0)</f>
        <v>89</v>
      </c>
      <c r="X14" s="1">
        <f>_xlfn.RANK.EQ(Complete_data[[#This Row],[Avg Temperature]],Complete_data[Avg Temperature],0)</f>
        <v>143</v>
      </c>
      <c r="Y14">
        <v>0</v>
      </c>
      <c r="Z14">
        <v>0</v>
      </c>
      <c r="AA14">
        <v>0</v>
      </c>
      <c r="AB14">
        <v>0</v>
      </c>
      <c r="AC14">
        <v>0</v>
      </c>
      <c r="AD14">
        <v>0</v>
      </c>
      <c r="AE14">
        <v>1</v>
      </c>
      <c r="AF14">
        <v>0</v>
      </c>
      <c r="AG14">
        <v>0</v>
      </c>
      <c r="AH14">
        <v>0</v>
      </c>
      <c r="AI14">
        <f>SUM(Complete_data[[#This Row],[GENERAL ACUTE CARE]:[CHRONIC DISEASE]])</f>
        <v>1</v>
      </c>
      <c r="AJ14">
        <f>_xlfn.RANK.EQ(Complete_data[[#This Row],[Hospital Count]],Complete_data[Hospital Count],0)</f>
        <v>137</v>
      </c>
      <c r="AK14">
        <v>51.32</v>
      </c>
      <c r="AL14">
        <v>53.67</v>
      </c>
      <c r="AM14">
        <v>44.05</v>
      </c>
      <c r="AN14">
        <v>37.57</v>
      </c>
      <c r="AO14">
        <v>36.64</v>
      </c>
      <c r="AP14">
        <v>32.619999999999997</v>
      </c>
      <c r="AQ14">
        <v>46.67</v>
      </c>
      <c r="AR14">
        <v>61.65</v>
      </c>
      <c r="AS14">
        <v>56.98</v>
      </c>
      <c r="AT14">
        <v>50.2</v>
      </c>
      <c r="AU14">
        <f>AVERAGE(Complete_data[[#This Row],[2009]:[2019]])</f>
        <v>47.137</v>
      </c>
      <c r="AV14">
        <f>_xlfn.RANK.EQ(Complete_data[[#This Row],[Average crime rate]],Complete_data[Average crime rate],1)</f>
        <v>78</v>
      </c>
      <c r="AW14">
        <v>31</v>
      </c>
      <c r="AX14">
        <v>31</v>
      </c>
      <c r="AY14">
        <v>33</v>
      </c>
      <c r="AZ14">
        <v>41</v>
      </c>
      <c r="BA14">
        <v>50</v>
      </c>
      <c r="BB14">
        <v>55</v>
      </c>
      <c r="BC14">
        <v>57</v>
      </c>
      <c r="BD14">
        <v>57</v>
      </c>
      <c r="BE14">
        <v>51</v>
      </c>
      <c r="BF14">
        <v>43</v>
      </c>
      <c r="BG14">
        <v>34</v>
      </c>
      <c r="BH14">
        <v>30</v>
      </c>
    </row>
    <row r="15" spans="1:60" x14ac:dyDescent="0.3">
      <c r="A15" t="s">
        <v>110</v>
      </c>
      <c r="B15" t="s">
        <v>111</v>
      </c>
      <c r="C15" t="s">
        <v>112</v>
      </c>
      <c r="E15">
        <v>464</v>
      </c>
      <c r="F15">
        <v>71</v>
      </c>
      <c r="G15">
        <v>52</v>
      </c>
      <c r="H15">
        <v>267</v>
      </c>
      <c r="I15">
        <v>89</v>
      </c>
      <c r="J15">
        <v>105</v>
      </c>
      <c r="K15">
        <v>24</v>
      </c>
      <c r="L15">
        <v>49</v>
      </c>
      <c r="M15">
        <v>1</v>
      </c>
      <c r="N15">
        <v>118</v>
      </c>
      <c r="O15">
        <v>3</v>
      </c>
      <c r="P15">
        <v>9</v>
      </c>
      <c r="Q15">
        <f>SUM(Complete_data[[#This Row],[American]:[Indian]])</f>
        <v>1252</v>
      </c>
      <c r="R15">
        <f>_xlfn.RANK.EQ(Complete_data[[#This Row],[Restaurant count]],Complete_data[Restaurant count],0)</f>
        <v>55</v>
      </c>
      <c r="S15">
        <v>44</v>
      </c>
      <c r="T15">
        <v>81</v>
      </c>
      <c r="U15" s="1">
        <v>64.083333333333329</v>
      </c>
      <c r="V15" s="1">
        <f>_xlfn.RANK.EQ(Complete_data[[#This Row],[Max Temperature]],Complete_data[Max Temperature],0)</f>
        <v>39</v>
      </c>
      <c r="W15" s="1">
        <f>_xlfn.RANK.EQ(Complete_data[[#This Row],[Min Temperature]],Complete_data[Min Temperature],0)</f>
        <v>37</v>
      </c>
      <c r="X15" s="1">
        <f>_xlfn.RANK.EQ(Complete_data[[#This Row],[Avg Temperature]],Complete_data[Avg Temperature],0)</f>
        <v>35</v>
      </c>
      <c r="Y15">
        <v>9</v>
      </c>
      <c r="Z15">
        <v>0</v>
      </c>
      <c r="AA15">
        <v>1</v>
      </c>
      <c r="AB15">
        <v>1</v>
      </c>
      <c r="AC15">
        <v>1</v>
      </c>
      <c r="AD15">
        <v>1</v>
      </c>
      <c r="AE15">
        <v>0</v>
      </c>
      <c r="AF15">
        <v>1</v>
      </c>
      <c r="AG15">
        <v>0</v>
      </c>
      <c r="AH15">
        <v>0</v>
      </c>
      <c r="AI15">
        <f>SUM(Complete_data[[#This Row],[GENERAL ACUTE CARE]:[CHRONIC DISEASE]])</f>
        <v>14</v>
      </c>
      <c r="AJ15">
        <f>_xlfn.RANK.EQ(Complete_data[[#This Row],[Hospital Count]],Complete_data[Hospital Count],0)</f>
        <v>36</v>
      </c>
      <c r="AK15">
        <v>92.83</v>
      </c>
      <c r="AL15">
        <v>0</v>
      </c>
      <c r="AM15">
        <v>99.07</v>
      </c>
      <c r="AN15">
        <v>85.07</v>
      </c>
      <c r="AO15">
        <v>80.23</v>
      </c>
      <c r="AP15">
        <v>82.23</v>
      </c>
      <c r="AQ15">
        <v>81.73</v>
      </c>
      <c r="AR15">
        <v>0</v>
      </c>
      <c r="AS15">
        <v>82.94</v>
      </c>
      <c r="AT15">
        <v>0</v>
      </c>
      <c r="AU15">
        <f>AVERAGE(Complete_data[[#This Row],[2009]:[2019]])</f>
        <v>60.409999999999989</v>
      </c>
      <c r="AV15">
        <f>_xlfn.RANK.EQ(Complete_data[[#This Row],[Average crime rate]],Complete_data[Average crime rate],1)</f>
        <v>120</v>
      </c>
      <c r="AW15">
        <v>44</v>
      </c>
      <c r="AX15">
        <v>49</v>
      </c>
      <c r="AY15">
        <v>57</v>
      </c>
      <c r="AZ15">
        <v>65</v>
      </c>
      <c r="BA15">
        <v>71</v>
      </c>
      <c r="BB15">
        <v>79</v>
      </c>
      <c r="BC15">
        <v>81</v>
      </c>
      <c r="BD15">
        <v>80</v>
      </c>
      <c r="BE15">
        <v>76</v>
      </c>
      <c r="BF15">
        <v>65</v>
      </c>
      <c r="BG15">
        <v>53</v>
      </c>
      <c r="BH15">
        <v>49</v>
      </c>
    </row>
    <row r="16" spans="1:60" x14ac:dyDescent="0.3">
      <c r="A16" t="s">
        <v>110</v>
      </c>
      <c r="B16" t="s">
        <v>113</v>
      </c>
      <c r="C16" t="s">
        <v>114</v>
      </c>
      <c r="E16">
        <v>220</v>
      </c>
      <c r="F16">
        <v>30</v>
      </c>
      <c r="G16">
        <v>30</v>
      </c>
      <c r="H16">
        <v>95</v>
      </c>
      <c r="I16">
        <v>54</v>
      </c>
      <c r="J16">
        <v>54</v>
      </c>
      <c r="K16">
        <v>15</v>
      </c>
      <c r="L16">
        <v>21</v>
      </c>
      <c r="M16">
        <v>5</v>
      </c>
      <c r="N16">
        <v>61</v>
      </c>
      <c r="O16">
        <v>2</v>
      </c>
      <c r="P16">
        <v>1</v>
      </c>
      <c r="Q16">
        <f>SUM(Complete_data[[#This Row],[American]:[Indian]])</f>
        <v>588</v>
      </c>
      <c r="R16">
        <f>_xlfn.RANK.EQ(Complete_data[[#This Row],[Restaurant count]],Complete_data[Restaurant count],0)</f>
        <v>87</v>
      </c>
      <c r="S16">
        <v>42</v>
      </c>
      <c r="T16">
        <v>81</v>
      </c>
      <c r="U16" s="1">
        <v>62.75</v>
      </c>
      <c r="V16" s="1">
        <f>_xlfn.RANK.EQ(Complete_data[[#This Row],[Max Temperature]],Complete_data[Max Temperature],0)</f>
        <v>39</v>
      </c>
      <c r="W16" s="1">
        <f>_xlfn.RANK.EQ(Complete_data[[#This Row],[Min Temperature]],Complete_data[Min Temperature],0)</f>
        <v>40</v>
      </c>
      <c r="X16" s="1">
        <f>_xlfn.RANK.EQ(Complete_data[[#This Row],[Avg Temperature]],Complete_data[Avg Temperature],0)</f>
        <v>42</v>
      </c>
      <c r="Y16">
        <v>2</v>
      </c>
      <c r="Z16">
        <v>0</v>
      </c>
      <c r="AA16">
        <v>1</v>
      </c>
      <c r="AB16">
        <v>0</v>
      </c>
      <c r="AC16">
        <v>1</v>
      </c>
      <c r="AD16">
        <v>1</v>
      </c>
      <c r="AE16">
        <v>0</v>
      </c>
      <c r="AF16">
        <v>1</v>
      </c>
      <c r="AG16">
        <v>0</v>
      </c>
      <c r="AH16">
        <v>0</v>
      </c>
      <c r="AI16">
        <f>SUM(Complete_data[[#This Row],[GENERAL ACUTE CARE]:[CHRONIC DISEASE]])</f>
        <v>6</v>
      </c>
      <c r="AJ16">
        <f>_xlfn.RANK.EQ(Complete_data[[#This Row],[Hospital Count]],Complete_data[Hospital Count],0)</f>
        <v>90</v>
      </c>
      <c r="AK16">
        <v>61.33</v>
      </c>
      <c r="AL16">
        <v>59.83</v>
      </c>
      <c r="AM16">
        <v>62.39</v>
      </c>
      <c r="AN16">
        <v>59.76</v>
      </c>
      <c r="AO16">
        <v>58.04</v>
      </c>
      <c r="AP16">
        <v>56.79</v>
      </c>
      <c r="AQ16">
        <v>54.1</v>
      </c>
      <c r="AR16">
        <v>56.35</v>
      </c>
      <c r="AS16">
        <v>0</v>
      </c>
      <c r="AT16">
        <v>0</v>
      </c>
      <c r="AU16">
        <f>AVERAGE(Complete_data[[#This Row],[2009]:[2019]])</f>
        <v>46.859000000000009</v>
      </c>
      <c r="AV16">
        <f>_xlfn.RANK.EQ(Complete_data[[#This Row],[Average crime rate]],Complete_data[Average crime rate],1)</f>
        <v>76</v>
      </c>
      <c r="AW16">
        <v>42</v>
      </c>
      <c r="AX16">
        <v>47</v>
      </c>
      <c r="AY16">
        <v>54</v>
      </c>
      <c r="AZ16">
        <v>63</v>
      </c>
      <c r="BA16">
        <v>70</v>
      </c>
      <c r="BB16">
        <v>79</v>
      </c>
      <c r="BC16">
        <v>81</v>
      </c>
      <c r="BD16">
        <v>79</v>
      </c>
      <c r="BE16">
        <v>75</v>
      </c>
      <c r="BF16">
        <v>64</v>
      </c>
      <c r="BG16">
        <v>52</v>
      </c>
      <c r="BH16">
        <v>47</v>
      </c>
    </row>
    <row r="17" spans="1:60" x14ac:dyDescent="0.3">
      <c r="A17" t="s">
        <v>110</v>
      </c>
      <c r="B17" t="s">
        <v>115</v>
      </c>
      <c r="C17" t="s">
        <v>116</v>
      </c>
      <c r="E17">
        <v>178</v>
      </c>
      <c r="F17">
        <v>29</v>
      </c>
      <c r="G17">
        <v>16</v>
      </c>
      <c r="H17">
        <v>107</v>
      </c>
      <c r="I17">
        <v>35</v>
      </c>
      <c r="J17">
        <v>32</v>
      </c>
      <c r="K17">
        <v>17</v>
      </c>
      <c r="L17">
        <v>22</v>
      </c>
      <c r="M17">
        <v>3</v>
      </c>
      <c r="N17">
        <v>57</v>
      </c>
      <c r="P17">
        <v>3</v>
      </c>
      <c r="Q17">
        <f>SUM(Complete_data[[#This Row],[American]:[Indian]])</f>
        <v>499</v>
      </c>
      <c r="R17">
        <f>_xlfn.RANK.EQ(Complete_data[[#This Row],[Restaurant count]],Complete_data[Restaurant count],0)</f>
        <v>94</v>
      </c>
      <c r="S17">
        <v>50</v>
      </c>
      <c r="T17">
        <v>81</v>
      </c>
      <c r="U17" s="1">
        <v>67.333333333333329</v>
      </c>
      <c r="V17" s="1">
        <f>_xlfn.RANK.EQ(Complete_data[[#This Row],[Max Temperature]],Complete_data[Max Temperature],0)</f>
        <v>39</v>
      </c>
      <c r="W17" s="1">
        <f>_xlfn.RANK.EQ(Complete_data[[#This Row],[Min Temperature]],Complete_data[Min Temperature],0)</f>
        <v>19</v>
      </c>
      <c r="X17" s="1">
        <f>_xlfn.RANK.EQ(Complete_data[[#This Row],[Avg Temperature]],Complete_data[Avg Temperature],0)</f>
        <v>22</v>
      </c>
      <c r="Y17">
        <v>4</v>
      </c>
      <c r="Z17">
        <v>0</v>
      </c>
      <c r="AA17">
        <v>1</v>
      </c>
      <c r="AB17">
        <v>1</v>
      </c>
      <c r="AC17">
        <v>1</v>
      </c>
      <c r="AD17">
        <v>0</v>
      </c>
      <c r="AE17">
        <v>0</v>
      </c>
      <c r="AF17">
        <v>0</v>
      </c>
      <c r="AG17">
        <v>0</v>
      </c>
      <c r="AH17">
        <v>0</v>
      </c>
      <c r="AI17">
        <f>SUM(Complete_data[[#This Row],[GENERAL ACUTE CARE]:[CHRONIC DISEASE]])</f>
        <v>7</v>
      </c>
      <c r="AJ17">
        <f>_xlfn.RANK.EQ(Complete_data[[#This Row],[Hospital Count]],Complete_data[Hospital Count],0)</f>
        <v>80</v>
      </c>
      <c r="AK17">
        <v>65.84</v>
      </c>
      <c r="AL17">
        <v>62.54</v>
      </c>
      <c r="AM17">
        <v>60.9</v>
      </c>
      <c r="AN17">
        <v>53.61</v>
      </c>
      <c r="AO17">
        <v>58.08</v>
      </c>
      <c r="AP17">
        <v>52.23</v>
      </c>
      <c r="AQ17">
        <v>49.22</v>
      </c>
      <c r="AR17">
        <v>62.17</v>
      </c>
      <c r="AS17">
        <v>56.06</v>
      </c>
      <c r="AT17">
        <v>0</v>
      </c>
      <c r="AU17">
        <f>AVERAGE(Complete_data[[#This Row],[2009]:[2019]])</f>
        <v>52.064999999999998</v>
      </c>
      <c r="AV17">
        <f>_xlfn.RANK.EQ(Complete_data[[#This Row],[Average crime rate]],Complete_data[Average crime rate],1)</f>
        <v>95</v>
      </c>
      <c r="AW17">
        <v>50</v>
      </c>
      <c r="AX17">
        <v>55</v>
      </c>
      <c r="AY17">
        <v>61</v>
      </c>
      <c r="AZ17">
        <v>67</v>
      </c>
      <c r="BA17">
        <v>73</v>
      </c>
      <c r="BB17">
        <v>80</v>
      </c>
      <c r="BC17">
        <v>81</v>
      </c>
      <c r="BD17">
        <v>81</v>
      </c>
      <c r="BE17">
        <v>78</v>
      </c>
      <c r="BF17">
        <v>69</v>
      </c>
      <c r="BG17">
        <v>58</v>
      </c>
      <c r="BH17">
        <v>55</v>
      </c>
    </row>
    <row r="18" spans="1:60" x14ac:dyDescent="0.3">
      <c r="A18" t="s">
        <v>110</v>
      </c>
      <c r="B18" t="s">
        <v>117</v>
      </c>
      <c r="C18" t="s">
        <v>118</v>
      </c>
      <c r="E18">
        <v>181</v>
      </c>
      <c r="F18">
        <v>18</v>
      </c>
      <c r="G18">
        <v>18</v>
      </c>
      <c r="H18">
        <v>76</v>
      </c>
      <c r="I18">
        <v>34</v>
      </c>
      <c r="J18">
        <v>38</v>
      </c>
      <c r="K18">
        <v>8</v>
      </c>
      <c r="L18">
        <v>14</v>
      </c>
      <c r="M18">
        <v>3</v>
      </c>
      <c r="N18">
        <v>41</v>
      </c>
      <c r="P18">
        <v>2</v>
      </c>
      <c r="Q18">
        <f>SUM(Complete_data[[#This Row],[American]:[Indian]])</f>
        <v>433</v>
      </c>
      <c r="R18">
        <f>_xlfn.RANK.EQ(Complete_data[[#This Row],[Restaurant count]],Complete_data[Restaurant count],0)</f>
        <v>104</v>
      </c>
      <c r="S18">
        <v>48</v>
      </c>
      <c r="T18">
        <v>82</v>
      </c>
      <c r="U18" s="1">
        <v>66.333333333333329</v>
      </c>
      <c r="V18" s="1">
        <f>_xlfn.RANK.EQ(Complete_data[[#This Row],[Max Temperature]],Complete_data[Max Temperature],0)</f>
        <v>29</v>
      </c>
      <c r="W18" s="1">
        <f>_xlfn.RANK.EQ(Complete_data[[#This Row],[Min Temperature]],Complete_data[Min Temperature],0)</f>
        <v>24</v>
      </c>
      <c r="X18" s="1">
        <f>_xlfn.RANK.EQ(Complete_data[[#This Row],[Avg Temperature]],Complete_data[Avg Temperature],0)</f>
        <v>26</v>
      </c>
      <c r="Y18">
        <v>3</v>
      </c>
      <c r="Z18">
        <v>0</v>
      </c>
      <c r="AA18">
        <v>0</v>
      </c>
      <c r="AB18">
        <v>1</v>
      </c>
      <c r="AC18">
        <v>1</v>
      </c>
      <c r="AD18">
        <v>1</v>
      </c>
      <c r="AE18">
        <v>0</v>
      </c>
      <c r="AF18">
        <v>2</v>
      </c>
      <c r="AG18">
        <v>0</v>
      </c>
      <c r="AH18">
        <v>0</v>
      </c>
      <c r="AI18">
        <f>SUM(Complete_data[[#This Row],[GENERAL ACUTE CARE]:[CHRONIC DISEASE]])</f>
        <v>8</v>
      </c>
      <c r="AJ18">
        <f>_xlfn.RANK.EQ(Complete_data[[#This Row],[Hospital Count]],Complete_data[Hospital Count],0)</f>
        <v>69</v>
      </c>
      <c r="AK18">
        <v>58.85</v>
      </c>
      <c r="AL18">
        <v>59.36</v>
      </c>
      <c r="AM18">
        <v>55.53</v>
      </c>
      <c r="AN18">
        <v>61.95</v>
      </c>
      <c r="AO18">
        <v>0</v>
      </c>
      <c r="AP18">
        <v>50.31</v>
      </c>
      <c r="AQ18">
        <v>47.23</v>
      </c>
      <c r="AR18">
        <v>50.61</v>
      </c>
      <c r="AS18">
        <v>48.81</v>
      </c>
      <c r="AT18">
        <v>0</v>
      </c>
      <c r="AU18">
        <f>AVERAGE(Complete_data[[#This Row],[2009]:[2019]])</f>
        <v>43.265000000000001</v>
      </c>
      <c r="AV18">
        <f>_xlfn.RANK.EQ(Complete_data[[#This Row],[Average crime rate]],Complete_data[Average crime rate],1)</f>
        <v>57</v>
      </c>
      <c r="AW18">
        <v>48</v>
      </c>
      <c r="AX18">
        <v>53</v>
      </c>
      <c r="AY18">
        <v>60</v>
      </c>
      <c r="AZ18">
        <v>67</v>
      </c>
      <c r="BA18">
        <v>73</v>
      </c>
      <c r="BB18">
        <v>78</v>
      </c>
      <c r="BC18">
        <v>82</v>
      </c>
      <c r="BD18">
        <v>81</v>
      </c>
      <c r="BE18">
        <v>78</v>
      </c>
      <c r="BF18">
        <v>68</v>
      </c>
      <c r="BG18">
        <v>56</v>
      </c>
      <c r="BH18">
        <v>52</v>
      </c>
    </row>
    <row r="19" spans="1:60" x14ac:dyDescent="0.3">
      <c r="A19" t="s">
        <v>119</v>
      </c>
      <c r="B19" t="s">
        <v>120</v>
      </c>
      <c r="C19" t="s">
        <v>121</v>
      </c>
      <c r="E19">
        <v>93</v>
      </c>
      <c r="F19">
        <v>14</v>
      </c>
      <c r="G19">
        <v>13</v>
      </c>
      <c r="H19">
        <v>51</v>
      </c>
      <c r="I19">
        <v>29</v>
      </c>
      <c r="J19">
        <v>25</v>
      </c>
      <c r="K19">
        <v>5</v>
      </c>
      <c r="L19">
        <v>8</v>
      </c>
      <c r="M19">
        <v>3</v>
      </c>
      <c r="N19">
        <v>23</v>
      </c>
      <c r="P19">
        <v>1</v>
      </c>
      <c r="Q19">
        <f>SUM(Complete_data[[#This Row],[American]:[Indian]])</f>
        <v>265</v>
      </c>
      <c r="R19">
        <f>_xlfn.RANK.EQ(Complete_data[[#This Row],[Restaurant count]],Complete_data[Restaurant count],0)</f>
        <v>121</v>
      </c>
      <c r="S19">
        <v>40</v>
      </c>
      <c r="T19">
        <v>84</v>
      </c>
      <c r="U19" s="1">
        <v>62.75</v>
      </c>
      <c r="V19" s="1">
        <f>_xlfn.RANK.EQ(Complete_data[[#This Row],[Max Temperature]],Complete_data[Max Temperature],0)</f>
        <v>15</v>
      </c>
      <c r="W19" s="1">
        <f>_xlfn.RANK.EQ(Complete_data[[#This Row],[Min Temperature]],Complete_data[Min Temperature],0)</f>
        <v>51</v>
      </c>
      <c r="X19" s="1">
        <f>_xlfn.RANK.EQ(Complete_data[[#This Row],[Avg Temperature]],Complete_data[Avg Temperature],0)</f>
        <v>42</v>
      </c>
      <c r="Y19">
        <v>4</v>
      </c>
      <c r="Z19">
        <v>0</v>
      </c>
      <c r="AA19">
        <v>0</v>
      </c>
      <c r="AB19">
        <v>1</v>
      </c>
      <c r="AC19">
        <v>0</v>
      </c>
      <c r="AD19">
        <v>1</v>
      </c>
      <c r="AE19">
        <v>0</v>
      </c>
      <c r="AF19">
        <v>0</v>
      </c>
      <c r="AG19">
        <v>0</v>
      </c>
      <c r="AH19">
        <v>0</v>
      </c>
      <c r="AI19">
        <f>SUM(Complete_data[[#This Row],[GENERAL ACUTE CARE]:[CHRONIC DISEASE]])</f>
        <v>6</v>
      </c>
      <c r="AJ19">
        <f>_xlfn.RANK.EQ(Complete_data[[#This Row],[Hospital Count]],Complete_data[Hospital Count],0)</f>
        <v>90</v>
      </c>
      <c r="AK19">
        <v>67.069999999999993</v>
      </c>
      <c r="AL19">
        <v>63.84</v>
      </c>
      <c r="AM19">
        <v>61.29</v>
      </c>
      <c r="AN19">
        <v>62.5</v>
      </c>
      <c r="AO19">
        <v>59.62</v>
      </c>
      <c r="AP19">
        <v>60.73</v>
      </c>
      <c r="AQ19">
        <v>67.09</v>
      </c>
      <c r="AR19">
        <v>60.07</v>
      </c>
      <c r="AS19">
        <v>56.51</v>
      </c>
      <c r="AT19">
        <v>68.16</v>
      </c>
      <c r="AU19">
        <f>AVERAGE(Complete_data[[#This Row],[2009]:[2019]])</f>
        <v>62.688000000000002</v>
      </c>
      <c r="AV19">
        <f>_xlfn.RANK.EQ(Complete_data[[#This Row],[Average crime rate]],Complete_data[Average crime rate],1)</f>
        <v>126</v>
      </c>
      <c r="AW19">
        <v>40</v>
      </c>
      <c r="AX19">
        <v>44</v>
      </c>
      <c r="AY19">
        <v>54</v>
      </c>
      <c r="AZ19">
        <v>63</v>
      </c>
      <c r="BA19">
        <v>70</v>
      </c>
      <c r="BB19">
        <v>81</v>
      </c>
      <c r="BC19">
        <v>84</v>
      </c>
      <c r="BD19">
        <v>82</v>
      </c>
      <c r="BE19">
        <v>76</v>
      </c>
      <c r="BF19">
        <v>64</v>
      </c>
      <c r="BG19">
        <v>51</v>
      </c>
      <c r="BH19">
        <v>44</v>
      </c>
    </row>
    <row r="20" spans="1:60" x14ac:dyDescent="0.3">
      <c r="A20" t="s">
        <v>119</v>
      </c>
      <c r="B20" t="s">
        <v>122</v>
      </c>
      <c r="C20" t="s">
        <v>123</v>
      </c>
      <c r="E20">
        <v>338</v>
      </c>
      <c r="F20">
        <v>36</v>
      </c>
      <c r="G20">
        <v>30</v>
      </c>
      <c r="H20">
        <v>158</v>
      </c>
      <c r="I20">
        <v>79</v>
      </c>
      <c r="J20">
        <v>89</v>
      </c>
      <c r="K20">
        <v>16</v>
      </c>
      <c r="L20">
        <v>21</v>
      </c>
      <c r="M20">
        <v>3</v>
      </c>
      <c r="N20">
        <v>74</v>
      </c>
      <c r="O20">
        <v>1</v>
      </c>
      <c r="P20">
        <v>9</v>
      </c>
      <c r="Q20">
        <f>SUM(Complete_data[[#This Row],[American]:[Indian]])</f>
        <v>854</v>
      </c>
      <c r="R20">
        <f>_xlfn.RANK.EQ(Complete_data[[#This Row],[Restaurant count]],Complete_data[Restaurant count],0)</f>
        <v>73</v>
      </c>
      <c r="S20">
        <v>42</v>
      </c>
      <c r="T20">
        <v>83</v>
      </c>
      <c r="U20" s="1">
        <v>63</v>
      </c>
      <c r="V20" s="1">
        <f>_xlfn.RANK.EQ(Complete_data[[#This Row],[Max Temperature]],Complete_data[Max Temperature],0)</f>
        <v>21</v>
      </c>
      <c r="W20" s="1">
        <f>_xlfn.RANK.EQ(Complete_data[[#This Row],[Min Temperature]],Complete_data[Min Temperature],0)</f>
        <v>40</v>
      </c>
      <c r="X20" s="1">
        <f>_xlfn.RANK.EQ(Complete_data[[#This Row],[Avg Temperature]],Complete_data[Avg Temperature],0)</f>
        <v>40</v>
      </c>
      <c r="Y20">
        <v>5</v>
      </c>
      <c r="Z20">
        <v>0</v>
      </c>
      <c r="AA20">
        <v>1</v>
      </c>
      <c r="AB20">
        <v>2</v>
      </c>
      <c r="AC20">
        <v>3</v>
      </c>
      <c r="AD20">
        <v>1</v>
      </c>
      <c r="AE20">
        <v>0</v>
      </c>
      <c r="AF20">
        <v>2</v>
      </c>
      <c r="AG20">
        <v>0</v>
      </c>
      <c r="AH20">
        <v>0</v>
      </c>
      <c r="AI20">
        <f>SUM(Complete_data[[#This Row],[GENERAL ACUTE CARE]:[CHRONIC DISEASE]])</f>
        <v>14</v>
      </c>
      <c r="AJ20">
        <f>_xlfn.RANK.EQ(Complete_data[[#This Row],[Hospital Count]],Complete_data[Hospital Count],0)</f>
        <v>36</v>
      </c>
      <c r="AK20">
        <v>98.46</v>
      </c>
      <c r="AL20">
        <v>92.44</v>
      </c>
      <c r="AM20">
        <v>94.92</v>
      </c>
      <c r="AN20">
        <v>94.21</v>
      </c>
      <c r="AO20">
        <v>93.21</v>
      </c>
      <c r="AP20">
        <v>86.17</v>
      </c>
      <c r="AQ20">
        <v>80.02</v>
      </c>
      <c r="AR20">
        <v>85.91</v>
      </c>
      <c r="AS20">
        <v>80.23</v>
      </c>
      <c r="AT20">
        <v>76.61</v>
      </c>
      <c r="AU20">
        <f>AVERAGE(Complete_data[[#This Row],[2009]:[2019]])</f>
        <v>88.217999999999989</v>
      </c>
      <c r="AV20">
        <f>_xlfn.RANK.EQ(Complete_data[[#This Row],[Average crime rate]],Complete_data[Average crime rate],1)</f>
        <v>145</v>
      </c>
      <c r="AW20">
        <v>42</v>
      </c>
      <c r="AX20">
        <v>45</v>
      </c>
      <c r="AY20">
        <v>54</v>
      </c>
      <c r="AZ20">
        <v>63</v>
      </c>
      <c r="BA20">
        <v>71</v>
      </c>
      <c r="BB20">
        <v>80</v>
      </c>
      <c r="BC20">
        <v>83</v>
      </c>
      <c r="BD20">
        <v>81</v>
      </c>
      <c r="BE20">
        <v>76</v>
      </c>
      <c r="BF20">
        <v>64</v>
      </c>
      <c r="BG20">
        <v>52</v>
      </c>
      <c r="BH20">
        <v>45</v>
      </c>
    </row>
    <row r="21" spans="1:60" x14ac:dyDescent="0.3">
      <c r="A21" t="s">
        <v>124</v>
      </c>
      <c r="B21" t="s">
        <v>125</v>
      </c>
      <c r="C21" t="s">
        <v>126</v>
      </c>
      <c r="E21">
        <v>1330</v>
      </c>
      <c r="F21">
        <v>251</v>
      </c>
      <c r="G21">
        <v>150</v>
      </c>
      <c r="H21">
        <v>1265</v>
      </c>
      <c r="I21">
        <v>506</v>
      </c>
      <c r="J21">
        <v>599</v>
      </c>
      <c r="K21">
        <v>76</v>
      </c>
      <c r="L21">
        <v>235</v>
      </c>
      <c r="M21">
        <v>37</v>
      </c>
      <c r="N21">
        <v>620</v>
      </c>
      <c r="O21">
        <v>13</v>
      </c>
      <c r="P21">
        <v>44</v>
      </c>
      <c r="Q21">
        <f>SUM(Complete_data[[#This Row],[American]:[Indian]])</f>
        <v>5126</v>
      </c>
      <c r="R21">
        <f>_xlfn.RANK.EQ(Complete_data[[#This Row],[Restaurant count]],Complete_data[Restaurant count],0)</f>
        <v>14</v>
      </c>
      <c r="S21">
        <v>56</v>
      </c>
      <c r="T21">
        <v>96</v>
      </c>
      <c r="U21" s="1">
        <v>76.083333333333329</v>
      </c>
      <c r="V21" s="1">
        <f>_xlfn.RANK.EQ(Complete_data[[#This Row],[Max Temperature]],Complete_data[Max Temperature],0)</f>
        <v>1</v>
      </c>
      <c r="W21" s="1">
        <f>_xlfn.RANK.EQ(Complete_data[[#This Row],[Min Temperature]],Complete_data[Min Temperature],0)</f>
        <v>10</v>
      </c>
      <c r="X21" s="1">
        <f>_xlfn.RANK.EQ(Complete_data[[#This Row],[Avg Temperature]],Complete_data[Avg Temperature],0)</f>
        <v>4</v>
      </c>
      <c r="Y21">
        <v>14</v>
      </c>
      <c r="Z21">
        <v>3</v>
      </c>
      <c r="AA21">
        <v>1</v>
      </c>
      <c r="AB21">
        <v>2</v>
      </c>
      <c r="AC21">
        <v>6</v>
      </c>
      <c r="AD21">
        <v>0</v>
      </c>
      <c r="AE21">
        <v>1</v>
      </c>
      <c r="AF21">
        <v>1</v>
      </c>
      <c r="AG21">
        <v>0</v>
      </c>
      <c r="AH21">
        <v>0</v>
      </c>
      <c r="AI21">
        <f>SUM(Complete_data[[#This Row],[GENERAL ACUTE CARE]:[CHRONIC DISEASE]])</f>
        <v>28</v>
      </c>
      <c r="AJ21">
        <f>_xlfn.RANK.EQ(Complete_data[[#This Row],[Hospital Count]],Complete_data[Hospital Count],0)</f>
        <v>7</v>
      </c>
      <c r="AK21">
        <v>46.82</v>
      </c>
      <c r="AL21">
        <v>45.12</v>
      </c>
      <c r="AM21">
        <v>49.68</v>
      </c>
      <c r="AN21">
        <v>47.49</v>
      </c>
      <c r="AO21">
        <v>46.5</v>
      </c>
      <c r="AP21">
        <v>43.17</v>
      </c>
      <c r="AQ21">
        <v>40.85</v>
      </c>
      <c r="AR21">
        <v>44.43</v>
      </c>
      <c r="AS21">
        <v>42.4</v>
      </c>
      <c r="AT21">
        <v>40.25</v>
      </c>
      <c r="AU21">
        <f>AVERAGE(Complete_data[[#This Row],[2009]:[2019]])</f>
        <v>44.671000000000006</v>
      </c>
      <c r="AV21">
        <f>_xlfn.RANK.EQ(Complete_data[[#This Row],[Average crime rate]],Complete_data[Average crime rate],1)</f>
        <v>65</v>
      </c>
      <c r="AW21">
        <v>57</v>
      </c>
      <c r="AX21">
        <v>60</v>
      </c>
      <c r="AY21">
        <v>68</v>
      </c>
      <c r="AZ21">
        <v>75</v>
      </c>
      <c r="BA21">
        <v>82</v>
      </c>
      <c r="BB21">
        <v>94</v>
      </c>
      <c r="BC21">
        <v>96</v>
      </c>
      <c r="BD21">
        <v>95</v>
      </c>
      <c r="BE21">
        <v>90</v>
      </c>
      <c r="BF21">
        <v>75</v>
      </c>
      <c r="BG21">
        <v>65</v>
      </c>
      <c r="BH21">
        <v>56</v>
      </c>
    </row>
    <row r="22" spans="1:60" x14ac:dyDescent="0.3">
      <c r="A22" t="s">
        <v>124</v>
      </c>
      <c r="B22" t="s">
        <v>127</v>
      </c>
      <c r="C22" t="s">
        <v>128</v>
      </c>
      <c r="E22">
        <v>370</v>
      </c>
      <c r="F22">
        <v>70</v>
      </c>
      <c r="G22">
        <v>49</v>
      </c>
      <c r="H22">
        <v>259</v>
      </c>
      <c r="I22">
        <v>117</v>
      </c>
      <c r="J22">
        <v>181</v>
      </c>
      <c r="K22">
        <v>16</v>
      </c>
      <c r="L22">
        <v>59</v>
      </c>
      <c r="M22">
        <v>10</v>
      </c>
      <c r="N22">
        <v>136</v>
      </c>
      <c r="O22">
        <v>4</v>
      </c>
      <c r="P22">
        <v>11</v>
      </c>
      <c r="Q22">
        <f>SUM(Complete_data[[#This Row],[American]:[Indian]])</f>
        <v>1282</v>
      </c>
      <c r="R22">
        <f>_xlfn.RANK.EQ(Complete_data[[#This Row],[Restaurant count]],Complete_data[Restaurant count],0)</f>
        <v>54</v>
      </c>
      <c r="S22">
        <v>53</v>
      </c>
      <c r="T22">
        <v>89</v>
      </c>
      <c r="U22" s="1">
        <v>71</v>
      </c>
      <c r="V22" s="1">
        <f>_xlfn.RANK.EQ(Complete_data[[#This Row],[Max Temperature]],Complete_data[Max Temperature],0)</f>
        <v>3</v>
      </c>
      <c r="W22" s="1">
        <f>_xlfn.RANK.EQ(Complete_data[[#This Row],[Min Temperature]],Complete_data[Min Temperature],0)</f>
        <v>12</v>
      </c>
      <c r="X22" s="1">
        <f>_xlfn.RANK.EQ(Complete_data[[#This Row],[Avg Temperature]],Complete_data[Avg Temperature],0)</f>
        <v>9</v>
      </c>
      <c r="Y22">
        <v>6</v>
      </c>
      <c r="Z22">
        <v>2</v>
      </c>
      <c r="AA22">
        <v>0</v>
      </c>
      <c r="AB22">
        <v>2</v>
      </c>
      <c r="AC22">
        <v>3</v>
      </c>
      <c r="AD22">
        <v>2</v>
      </c>
      <c r="AE22">
        <v>0</v>
      </c>
      <c r="AF22">
        <v>2</v>
      </c>
      <c r="AG22">
        <v>0</v>
      </c>
      <c r="AH22">
        <v>0</v>
      </c>
      <c r="AI22">
        <f>SUM(Complete_data[[#This Row],[GENERAL ACUTE CARE]:[CHRONIC DISEASE]])</f>
        <v>17</v>
      </c>
      <c r="AJ22">
        <f>_xlfn.RANK.EQ(Complete_data[[#This Row],[Hospital Count]],Complete_data[Hospital Count],0)</f>
        <v>21</v>
      </c>
      <c r="AK22">
        <v>6.91</v>
      </c>
      <c r="AL22">
        <v>6.61</v>
      </c>
      <c r="AM22">
        <v>6.84</v>
      </c>
      <c r="AN22">
        <v>7.62</v>
      </c>
      <c r="AO22">
        <v>72.52</v>
      </c>
      <c r="AP22">
        <v>0</v>
      </c>
      <c r="AQ22">
        <v>73.2</v>
      </c>
      <c r="AR22">
        <v>60.83</v>
      </c>
      <c r="AS22">
        <v>57.2</v>
      </c>
      <c r="AT22">
        <v>39.86</v>
      </c>
      <c r="AU22">
        <f>AVERAGE(Complete_data[[#This Row],[2009]:[2019]])</f>
        <v>33.158999999999999</v>
      </c>
      <c r="AV22">
        <f>_xlfn.RANK.EQ(Complete_data[[#This Row],[Average crime rate]],Complete_data[Average crime rate],1)</f>
        <v>27</v>
      </c>
      <c r="AW22">
        <v>53</v>
      </c>
      <c r="AX22">
        <v>56</v>
      </c>
      <c r="AY22">
        <v>63</v>
      </c>
      <c r="AZ22">
        <v>70</v>
      </c>
      <c r="BA22">
        <v>77</v>
      </c>
      <c r="BB22">
        <v>89</v>
      </c>
      <c r="BC22">
        <v>88</v>
      </c>
      <c r="BD22">
        <v>86</v>
      </c>
      <c r="BE22">
        <v>82</v>
      </c>
      <c r="BF22">
        <v>73</v>
      </c>
      <c r="BG22">
        <v>62</v>
      </c>
      <c r="BH22">
        <v>53</v>
      </c>
    </row>
    <row r="23" spans="1:60" x14ac:dyDescent="0.3">
      <c r="A23" t="s">
        <v>85</v>
      </c>
      <c r="B23" t="s">
        <v>129</v>
      </c>
      <c r="C23" t="s">
        <v>130</v>
      </c>
      <c r="E23">
        <v>201</v>
      </c>
      <c r="F23">
        <v>46</v>
      </c>
      <c r="G23">
        <v>41</v>
      </c>
      <c r="H23">
        <v>264</v>
      </c>
      <c r="I23">
        <v>97</v>
      </c>
      <c r="J23">
        <v>114</v>
      </c>
      <c r="K23">
        <v>19</v>
      </c>
      <c r="L23">
        <v>27</v>
      </c>
      <c r="M23">
        <v>6</v>
      </c>
      <c r="N23">
        <v>148</v>
      </c>
      <c r="O23">
        <v>6</v>
      </c>
      <c r="P23">
        <v>13</v>
      </c>
      <c r="Q23">
        <f>SUM(Complete_data[[#This Row],[American]:[Indian]])</f>
        <v>982</v>
      </c>
      <c r="R23">
        <f>_xlfn.RANK.EQ(Complete_data[[#This Row],[Restaurant count]],Complete_data[Restaurant count],0)</f>
        <v>67</v>
      </c>
      <c r="S23">
        <v>48</v>
      </c>
      <c r="T23">
        <v>85</v>
      </c>
      <c r="U23" s="1">
        <v>66</v>
      </c>
      <c r="V23" s="1">
        <f>_xlfn.RANK.EQ(Complete_data[[#This Row],[Max Temperature]],Complete_data[Max Temperature],0)</f>
        <v>8</v>
      </c>
      <c r="W23" s="1">
        <f>_xlfn.RANK.EQ(Complete_data[[#This Row],[Min Temperature]],Complete_data[Min Temperature],0)</f>
        <v>24</v>
      </c>
      <c r="X23" s="1">
        <f>_xlfn.RANK.EQ(Complete_data[[#This Row],[Avg Temperature]],Complete_data[Avg Temperature],0)</f>
        <v>28</v>
      </c>
      <c r="Y23">
        <v>8</v>
      </c>
      <c r="Z23">
        <v>0</v>
      </c>
      <c r="AA23">
        <v>0</v>
      </c>
      <c r="AB23">
        <v>0</v>
      </c>
      <c r="AC23">
        <v>1</v>
      </c>
      <c r="AD23">
        <v>0</v>
      </c>
      <c r="AE23">
        <v>0</v>
      </c>
      <c r="AF23">
        <v>1</v>
      </c>
      <c r="AG23">
        <v>0</v>
      </c>
      <c r="AH23">
        <v>0</v>
      </c>
      <c r="AI23">
        <f>SUM(Complete_data[[#This Row],[GENERAL ACUTE CARE]:[CHRONIC DISEASE]])</f>
        <v>10</v>
      </c>
      <c r="AJ23">
        <f>_xlfn.RANK.EQ(Complete_data[[#This Row],[Hospital Count]],Complete_data[Hospital Count],0)</f>
        <v>56</v>
      </c>
      <c r="AK23">
        <v>50.1</v>
      </c>
      <c r="AL23">
        <v>57.02</v>
      </c>
      <c r="AM23">
        <v>56.89</v>
      </c>
      <c r="AN23">
        <v>56.56</v>
      </c>
      <c r="AO23">
        <v>49.76</v>
      </c>
      <c r="AP23">
        <v>46.26</v>
      </c>
      <c r="AQ23">
        <v>47.49</v>
      </c>
      <c r="AR23">
        <v>44.48</v>
      </c>
      <c r="AS23">
        <v>39.49</v>
      </c>
      <c r="AT23">
        <v>0</v>
      </c>
      <c r="AU23">
        <f>AVERAGE(Complete_data[[#This Row],[2009]:[2019]])</f>
        <v>44.805</v>
      </c>
      <c r="AV23">
        <f>_xlfn.RANK.EQ(Complete_data[[#This Row],[Average crime rate]],Complete_data[Average crime rate],1)</f>
        <v>66</v>
      </c>
      <c r="AW23">
        <v>49</v>
      </c>
      <c r="AX23">
        <v>53</v>
      </c>
      <c r="AY23">
        <v>58</v>
      </c>
      <c r="AZ23">
        <v>64</v>
      </c>
      <c r="BA23">
        <v>70</v>
      </c>
      <c r="BB23">
        <v>80</v>
      </c>
      <c r="BC23">
        <v>85</v>
      </c>
      <c r="BD23">
        <v>83</v>
      </c>
      <c r="BE23">
        <v>78</v>
      </c>
      <c r="BF23">
        <v>68</v>
      </c>
      <c r="BG23">
        <v>56</v>
      </c>
      <c r="BH23">
        <v>48</v>
      </c>
    </row>
    <row r="24" spans="1:60" x14ac:dyDescent="0.3">
      <c r="A24" t="s">
        <v>85</v>
      </c>
      <c r="B24" t="s">
        <v>131</v>
      </c>
      <c r="C24" t="s">
        <v>132</v>
      </c>
      <c r="E24">
        <v>4140</v>
      </c>
      <c r="F24">
        <v>1344</v>
      </c>
      <c r="G24">
        <v>805</v>
      </c>
      <c r="H24">
        <v>6424</v>
      </c>
      <c r="I24">
        <v>1811</v>
      </c>
      <c r="J24">
        <v>2019</v>
      </c>
      <c r="K24">
        <v>272</v>
      </c>
      <c r="L24">
        <v>503</v>
      </c>
      <c r="M24">
        <v>145</v>
      </c>
      <c r="N24">
        <v>3458</v>
      </c>
      <c r="O24">
        <v>126</v>
      </c>
      <c r="P24">
        <v>244</v>
      </c>
      <c r="Q24">
        <f>SUM(Complete_data[[#This Row],[American]:[Indian]])</f>
        <v>21291</v>
      </c>
      <c r="R24">
        <f>_xlfn.RANK.EQ(Complete_data[[#This Row],[Restaurant count]],Complete_data[Restaurant count],0)</f>
        <v>2</v>
      </c>
      <c r="S24">
        <v>58</v>
      </c>
      <c r="T24">
        <v>70</v>
      </c>
      <c r="U24" s="1">
        <v>63.5</v>
      </c>
      <c r="V24" s="1">
        <f>_xlfn.RANK.EQ(Complete_data[[#This Row],[Max Temperature]],Complete_data[Max Temperature],0)</f>
        <v>134</v>
      </c>
      <c r="W24" s="1">
        <f>_xlfn.RANK.EQ(Complete_data[[#This Row],[Min Temperature]],Complete_data[Min Temperature],0)</f>
        <v>7</v>
      </c>
      <c r="X24" s="1">
        <f>_xlfn.RANK.EQ(Complete_data[[#This Row],[Avg Temperature]],Complete_data[Avg Temperature],0)</f>
        <v>39</v>
      </c>
      <c r="Y24">
        <v>25</v>
      </c>
      <c r="Z24">
        <v>0</v>
      </c>
      <c r="AA24">
        <v>1</v>
      </c>
      <c r="AB24">
        <v>1</v>
      </c>
      <c r="AC24">
        <v>3</v>
      </c>
      <c r="AD24">
        <v>0</v>
      </c>
      <c r="AE24">
        <v>0</v>
      </c>
      <c r="AF24">
        <v>3</v>
      </c>
      <c r="AG24">
        <v>0</v>
      </c>
      <c r="AH24">
        <v>0</v>
      </c>
      <c r="AI24">
        <f>SUM(Complete_data[[#This Row],[GENERAL ACUTE CARE]:[CHRONIC DISEASE]])</f>
        <v>33</v>
      </c>
      <c r="AJ24">
        <f>_xlfn.RANK.EQ(Complete_data[[#This Row],[Hospital Count]],Complete_data[Hospital Count],0)</f>
        <v>5</v>
      </c>
      <c r="AK24">
        <v>31.15</v>
      </c>
      <c r="AL24">
        <v>29.29</v>
      </c>
      <c r="AM24">
        <v>28.08</v>
      </c>
      <c r="AN24">
        <v>27.83</v>
      </c>
      <c r="AO24">
        <v>26.76</v>
      </c>
      <c r="AP24">
        <v>26.48</v>
      </c>
      <c r="AQ24">
        <v>30.23</v>
      </c>
      <c r="AR24">
        <v>33.33</v>
      </c>
      <c r="AS24">
        <v>33.020000000000003</v>
      </c>
      <c r="AT24">
        <v>31.57</v>
      </c>
      <c r="AU24">
        <f>AVERAGE(Complete_data[[#This Row],[2009]:[2019]])</f>
        <v>29.773999999999994</v>
      </c>
      <c r="AV24">
        <f>_xlfn.RANK.EQ(Complete_data[[#This Row],[Average crime rate]],Complete_data[Average crime rate],1)</f>
        <v>20</v>
      </c>
      <c r="AW24">
        <v>58</v>
      </c>
      <c r="AX24">
        <v>58</v>
      </c>
      <c r="AY24">
        <v>59</v>
      </c>
      <c r="AZ24">
        <v>61</v>
      </c>
      <c r="BA24">
        <v>63</v>
      </c>
      <c r="BB24">
        <v>65</v>
      </c>
      <c r="BC24">
        <v>69</v>
      </c>
      <c r="BD24">
        <v>70</v>
      </c>
      <c r="BE24">
        <v>70</v>
      </c>
      <c r="BF24">
        <v>68</v>
      </c>
      <c r="BG24">
        <v>63</v>
      </c>
      <c r="BH24">
        <v>58</v>
      </c>
    </row>
    <row r="25" spans="1:60" x14ac:dyDescent="0.3">
      <c r="A25" t="s">
        <v>85</v>
      </c>
      <c r="B25" t="s">
        <v>133</v>
      </c>
      <c r="C25" t="s">
        <v>134</v>
      </c>
      <c r="E25">
        <v>624</v>
      </c>
      <c r="F25">
        <v>199</v>
      </c>
      <c r="G25">
        <v>104</v>
      </c>
      <c r="H25">
        <v>713</v>
      </c>
      <c r="I25">
        <v>278</v>
      </c>
      <c r="J25">
        <v>287</v>
      </c>
      <c r="K25">
        <v>55</v>
      </c>
      <c r="L25">
        <v>97</v>
      </c>
      <c r="M25">
        <v>20</v>
      </c>
      <c r="N25">
        <v>441</v>
      </c>
      <c r="O25">
        <v>15</v>
      </c>
      <c r="P25">
        <v>57</v>
      </c>
      <c r="Q25">
        <f>SUM(Complete_data[[#This Row],[American]:[Indian]])</f>
        <v>2890</v>
      </c>
      <c r="R25">
        <f>_xlfn.RANK.EQ(Complete_data[[#This Row],[Restaurant count]],Complete_data[Restaurant count],0)</f>
        <v>26</v>
      </c>
      <c r="S25">
        <v>47</v>
      </c>
      <c r="T25">
        <v>74</v>
      </c>
      <c r="U25" s="1">
        <v>61.083333333333336</v>
      </c>
      <c r="V25" s="1">
        <f>_xlfn.RANK.EQ(Complete_data[[#This Row],[Max Temperature]],Complete_data[Max Temperature],0)</f>
        <v>103</v>
      </c>
      <c r="W25" s="1">
        <f>_xlfn.RANK.EQ(Complete_data[[#This Row],[Min Temperature]],Complete_data[Min Temperature],0)</f>
        <v>26</v>
      </c>
      <c r="X25" s="1">
        <f>_xlfn.RANK.EQ(Complete_data[[#This Row],[Avg Temperature]],Complete_data[Avg Temperature],0)</f>
        <v>50</v>
      </c>
      <c r="Y25">
        <v>7</v>
      </c>
      <c r="Z25">
        <v>0</v>
      </c>
      <c r="AA25">
        <v>0</v>
      </c>
      <c r="AB25">
        <v>0</v>
      </c>
      <c r="AC25">
        <v>5</v>
      </c>
      <c r="AD25">
        <v>1</v>
      </c>
      <c r="AE25">
        <v>0</v>
      </c>
      <c r="AF25">
        <v>0</v>
      </c>
      <c r="AG25">
        <v>0</v>
      </c>
      <c r="AH25">
        <v>0</v>
      </c>
      <c r="AI25">
        <f>SUM(Complete_data[[#This Row],[GENERAL ACUTE CARE]:[CHRONIC DISEASE]])</f>
        <v>13</v>
      </c>
      <c r="AJ25">
        <f>_xlfn.RANK.EQ(Complete_data[[#This Row],[Hospital Count]],Complete_data[Hospital Count],0)</f>
        <v>41</v>
      </c>
      <c r="AK25">
        <v>53.87</v>
      </c>
      <c r="AL25">
        <v>51.88</v>
      </c>
      <c r="AM25">
        <v>46.75</v>
      </c>
      <c r="AN25">
        <v>49.56</v>
      </c>
      <c r="AO25">
        <v>44.5</v>
      </c>
      <c r="AP25">
        <v>37.729999999999997</v>
      </c>
      <c r="AQ25">
        <v>41.35</v>
      </c>
      <c r="AR25">
        <v>36.54</v>
      </c>
      <c r="AS25">
        <v>37.26</v>
      </c>
      <c r="AT25">
        <v>38.44</v>
      </c>
      <c r="AU25">
        <f>AVERAGE(Complete_data[[#This Row],[2009]:[2019]])</f>
        <v>43.788000000000004</v>
      </c>
      <c r="AV25">
        <f>_xlfn.RANK.EQ(Complete_data[[#This Row],[Average crime rate]],Complete_data[Average crime rate],1)</f>
        <v>61</v>
      </c>
      <c r="AW25">
        <v>48</v>
      </c>
      <c r="AX25">
        <v>51</v>
      </c>
      <c r="AY25">
        <v>55</v>
      </c>
      <c r="AZ25">
        <v>60</v>
      </c>
      <c r="BA25">
        <v>65</v>
      </c>
      <c r="BB25">
        <v>72</v>
      </c>
      <c r="BC25">
        <v>74</v>
      </c>
      <c r="BD25">
        <v>73</v>
      </c>
      <c r="BE25">
        <v>71</v>
      </c>
      <c r="BF25">
        <v>64</v>
      </c>
      <c r="BG25">
        <v>53</v>
      </c>
      <c r="BH25">
        <v>47</v>
      </c>
    </row>
    <row r="26" spans="1:60" x14ac:dyDescent="0.3">
      <c r="A26" t="s">
        <v>85</v>
      </c>
      <c r="B26" t="s">
        <v>135</v>
      </c>
      <c r="C26" t="s">
        <v>136</v>
      </c>
      <c r="E26">
        <v>1339</v>
      </c>
      <c r="F26">
        <v>363</v>
      </c>
      <c r="G26">
        <v>181</v>
      </c>
      <c r="H26">
        <v>1482</v>
      </c>
      <c r="I26">
        <v>602</v>
      </c>
      <c r="J26">
        <v>725</v>
      </c>
      <c r="K26">
        <v>62</v>
      </c>
      <c r="L26">
        <v>204</v>
      </c>
      <c r="M26">
        <v>41</v>
      </c>
      <c r="N26">
        <v>753</v>
      </c>
      <c r="O26">
        <v>25</v>
      </c>
      <c r="P26">
        <v>47</v>
      </c>
      <c r="Q26">
        <f>SUM(Complete_data[[#This Row],[American]:[Indian]])</f>
        <v>5824</v>
      </c>
      <c r="R26">
        <f>_xlfn.RANK.EQ(Complete_data[[#This Row],[Restaurant count]],Complete_data[Restaurant count],0)</f>
        <v>12</v>
      </c>
      <c r="S26">
        <v>58</v>
      </c>
      <c r="T26">
        <v>72</v>
      </c>
      <c r="U26" s="1">
        <v>64.666666666666671</v>
      </c>
      <c r="V26" s="1">
        <f>_xlfn.RANK.EQ(Complete_data[[#This Row],[Max Temperature]],Complete_data[Max Temperature],0)</f>
        <v>124</v>
      </c>
      <c r="W26" s="1">
        <f>_xlfn.RANK.EQ(Complete_data[[#This Row],[Min Temperature]],Complete_data[Min Temperature],0)</f>
        <v>7</v>
      </c>
      <c r="X26" s="1">
        <f>_xlfn.RANK.EQ(Complete_data[[#This Row],[Avg Temperature]],Complete_data[Avg Temperature],0)</f>
        <v>33</v>
      </c>
      <c r="Y26">
        <v>8</v>
      </c>
      <c r="Z26">
        <v>0</v>
      </c>
      <c r="AA26">
        <v>1</v>
      </c>
      <c r="AB26">
        <v>1</v>
      </c>
      <c r="AC26">
        <v>3</v>
      </c>
      <c r="AD26">
        <v>1</v>
      </c>
      <c r="AE26">
        <v>0</v>
      </c>
      <c r="AF26">
        <v>2</v>
      </c>
      <c r="AG26">
        <v>1</v>
      </c>
      <c r="AH26">
        <v>0</v>
      </c>
      <c r="AI26">
        <f>SUM(Complete_data[[#This Row],[GENERAL ACUTE CARE]:[CHRONIC DISEASE]])</f>
        <v>17</v>
      </c>
      <c r="AJ26">
        <f>_xlfn.RANK.EQ(Complete_data[[#This Row],[Hospital Count]],Complete_data[Hospital Count],0)</f>
        <v>21</v>
      </c>
      <c r="AK26">
        <v>29.18</v>
      </c>
      <c r="AL26">
        <v>27.81</v>
      </c>
      <c r="AM26">
        <v>26.55</v>
      </c>
      <c r="AN26">
        <v>27.95</v>
      </c>
      <c r="AO26">
        <v>27.58</v>
      </c>
      <c r="AP26">
        <v>23.55</v>
      </c>
      <c r="AQ26">
        <v>24.93</v>
      </c>
      <c r="AR26">
        <v>22.21</v>
      </c>
      <c r="AS26">
        <v>22.95</v>
      </c>
      <c r="AT26">
        <v>22.53</v>
      </c>
      <c r="AU26">
        <f>AVERAGE(Complete_data[[#This Row],[2009]:[2019]])</f>
        <v>25.524000000000001</v>
      </c>
      <c r="AV26">
        <f>_xlfn.RANK.EQ(Complete_data[[#This Row],[Average crime rate]],Complete_data[Average crime rate],1)</f>
        <v>12</v>
      </c>
      <c r="AW26">
        <v>59</v>
      </c>
      <c r="AX26">
        <v>59</v>
      </c>
      <c r="AY26">
        <v>61</v>
      </c>
      <c r="AZ26">
        <v>63</v>
      </c>
      <c r="BA26">
        <v>64</v>
      </c>
      <c r="BB26">
        <v>66</v>
      </c>
      <c r="BC26">
        <v>70</v>
      </c>
      <c r="BD26">
        <v>72</v>
      </c>
      <c r="BE26">
        <v>72</v>
      </c>
      <c r="BF26">
        <v>69</v>
      </c>
      <c r="BG26">
        <v>63</v>
      </c>
      <c r="BH26">
        <v>58</v>
      </c>
    </row>
    <row r="27" spans="1:60" x14ac:dyDescent="0.3">
      <c r="A27" t="s">
        <v>93</v>
      </c>
      <c r="B27" t="s">
        <v>137</v>
      </c>
      <c r="C27" t="s">
        <v>138</v>
      </c>
      <c r="E27">
        <v>341</v>
      </c>
      <c r="F27">
        <v>77</v>
      </c>
      <c r="G27">
        <v>33</v>
      </c>
      <c r="H27">
        <v>199</v>
      </c>
      <c r="I27">
        <v>104</v>
      </c>
      <c r="J27">
        <v>114</v>
      </c>
      <c r="K27">
        <v>12</v>
      </c>
      <c r="L27">
        <v>39</v>
      </c>
      <c r="M27">
        <v>8</v>
      </c>
      <c r="N27">
        <v>144</v>
      </c>
      <c r="O27">
        <v>1</v>
      </c>
      <c r="P27">
        <v>6</v>
      </c>
      <c r="Q27">
        <f>SUM(Complete_data[[#This Row],[American]:[Indian]])</f>
        <v>1078</v>
      </c>
      <c r="R27">
        <f>_xlfn.RANK.EQ(Complete_data[[#This Row],[Restaurant count]],Complete_data[Restaurant count],0)</f>
        <v>62</v>
      </c>
      <c r="S27">
        <v>32</v>
      </c>
      <c r="T27">
        <v>72</v>
      </c>
      <c r="U27" s="1">
        <v>50.833333333333336</v>
      </c>
      <c r="V27" s="1">
        <f>_xlfn.RANK.EQ(Complete_data[[#This Row],[Max Temperature]],Complete_data[Max Temperature],0)</f>
        <v>124</v>
      </c>
      <c r="W27" s="1">
        <f>_xlfn.RANK.EQ(Complete_data[[#This Row],[Min Temperature]],Complete_data[Min Temperature],0)</f>
        <v>81</v>
      </c>
      <c r="X27" s="1">
        <f>_xlfn.RANK.EQ(Complete_data[[#This Row],[Avg Temperature]],Complete_data[Avg Temperature],0)</f>
        <v>111</v>
      </c>
      <c r="Y27">
        <v>4</v>
      </c>
      <c r="Z27">
        <v>0</v>
      </c>
      <c r="AA27">
        <v>1</v>
      </c>
      <c r="AB27">
        <v>1</v>
      </c>
      <c r="AC27">
        <v>3</v>
      </c>
      <c r="AD27">
        <v>1</v>
      </c>
      <c r="AE27">
        <v>0</v>
      </c>
      <c r="AF27">
        <v>0</v>
      </c>
      <c r="AG27">
        <v>0</v>
      </c>
      <c r="AH27">
        <v>0</v>
      </c>
      <c r="AI27">
        <f>SUM(Complete_data[[#This Row],[GENERAL ACUTE CARE]:[CHRONIC DISEASE]])</f>
        <v>10</v>
      </c>
      <c r="AJ27">
        <f>_xlfn.RANK.EQ(Complete_data[[#This Row],[Hospital Count]],Complete_data[Hospital Count],0)</f>
        <v>56</v>
      </c>
      <c r="AK27">
        <v>41.81</v>
      </c>
      <c r="AL27">
        <v>47.38</v>
      </c>
      <c r="AM27">
        <v>42.1</v>
      </c>
      <c r="AN27">
        <v>46.13</v>
      </c>
      <c r="AO27">
        <v>46.16</v>
      </c>
      <c r="AP27">
        <v>41.47</v>
      </c>
      <c r="AQ27">
        <v>41.14</v>
      </c>
      <c r="AR27">
        <v>37.65</v>
      </c>
      <c r="AS27">
        <v>39.26</v>
      </c>
      <c r="AT27">
        <v>42.76</v>
      </c>
      <c r="AU27">
        <f>AVERAGE(Complete_data[[#This Row],[2009]:[2019]])</f>
        <v>42.585999999999991</v>
      </c>
      <c r="AV27">
        <f>_xlfn.RANK.EQ(Complete_data[[#This Row],[Average crime rate]],Complete_data[Average crime rate],1)</f>
        <v>54</v>
      </c>
      <c r="AW27">
        <v>32</v>
      </c>
      <c r="AX27">
        <v>32</v>
      </c>
      <c r="AY27">
        <v>42</v>
      </c>
      <c r="AZ27">
        <v>48</v>
      </c>
      <c r="BA27">
        <v>56</v>
      </c>
      <c r="BB27">
        <v>70</v>
      </c>
      <c r="BC27">
        <v>72</v>
      </c>
      <c r="BD27">
        <v>70</v>
      </c>
      <c r="BE27">
        <v>65</v>
      </c>
      <c r="BF27">
        <v>51</v>
      </c>
      <c r="BG27">
        <v>40</v>
      </c>
      <c r="BH27">
        <v>32</v>
      </c>
    </row>
    <row r="28" spans="1:60" x14ac:dyDescent="0.3">
      <c r="A28" t="s">
        <v>93</v>
      </c>
      <c r="B28" t="s">
        <v>139</v>
      </c>
      <c r="C28" t="s">
        <v>140</v>
      </c>
      <c r="E28">
        <v>92</v>
      </c>
      <c r="F28">
        <v>21</v>
      </c>
      <c r="G28">
        <v>10</v>
      </c>
      <c r="H28">
        <v>35</v>
      </c>
      <c r="I28">
        <v>23</v>
      </c>
      <c r="J28">
        <v>36</v>
      </c>
      <c r="K28">
        <v>3</v>
      </c>
      <c r="L28">
        <v>14</v>
      </c>
      <c r="N28">
        <v>25</v>
      </c>
      <c r="P28">
        <v>1</v>
      </c>
      <c r="Q28">
        <f>SUM(Complete_data[[#This Row],[American]:[Indian]])</f>
        <v>260</v>
      </c>
      <c r="R28">
        <f>_xlfn.RANK.EQ(Complete_data[[#This Row],[Restaurant count]],Complete_data[Restaurant count],0)</f>
        <v>122</v>
      </c>
      <c r="S28">
        <v>25</v>
      </c>
      <c r="T28">
        <v>79</v>
      </c>
      <c r="U28" s="1">
        <v>53.166666666666664</v>
      </c>
      <c r="V28" s="1">
        <f>_xlfn.RANK.EQ(Complete_data[[#This Row],[Max Temperature]],Complete_data[Max Temperature],0)</f>
        <v>61</v>
      </c>
      <c r="W28" s="1">
        <f>_xlfn.RANK.EQ(Complete_data[[#This Row],[Min Temperature]],Complete_data[Min Temperature],0)</f>
        <v>118</v>
      </c>
      <c r="X28" s="1">
        <f>_xlfn.RANK.EQ(Complete_data[[#This Row],[Avg Temperature]],Complete_data[Avg Temperature],0)</f>
        <v>92</v>
      </c>
      <c r="Y28">
        <v>2</v>
      </c>
      <c r="Z28">
        <v>0</v>
      </c>
      <c r="AA28">
        <v>0</v>
      </c>
      <c r="AB28">
        <v>0</v>
      </c>
      <c r="AC28">
        <v>1</v>
      </c>
      <c r="AD28">
        <v>0</v>
      </c>
      <c r="AE28">
        <v>0</v>
      </c>
      <c r="AF28">
        <v>0</v>
      </c>
      <c r="AG28">
        <v>0</v>
      </c>
      <c r="AH28">
        <v>0</v>
      </c>
      <c r="AI28">
        <f>SUM(Complete_data[[#This Row],[GENERAL ACUTE CARE]:[CHRONIC DISEASE]])</f>
        <v>3</v>
      </c>
      <c r="AJ28">
        <f>_xlfn.RANK.EQ(Complete_data[[#This Row],[Hospital Count]],Complete_data[Hospital Count],0)</f>
        <v>117</v>
      </c>
      <c r="AK28">
        <v>57.58</v>
      </c>
      <c r="AL28">
        <v>40.35</v>
      </c>
      <c r="AM28">
        <v>48.15</v>
      </c>
      <c r="AN28">
        <v>50.46</v>
      </c>
      <c r="AO28">
        <v>47.2</v>
      </c>
      <c r="AP28">
        <v>47.31</v>
      </c>
      <c r="AQ28">
        <v>48.7</v>
      </c>
      <c r="AR28">
        <v>52</v>
      </c>
      <c r="AS28">
        <v>48.12</v>
      </c>
      <c r="AT28">
        <v>42.5</v>
      </c>
      <c r="AU28">
        <f>AVERAGE(Complete_data[[#This Row],[2009]:[2019]])</f>
        <v>48.237000000000002</v>
      </c>
      <c r="AV28">
        <f>_xlfn.RANK.EQ(Complete_data[[#This Row],[Average crime rate]],Complete_data[Average crime rate],1)</f>
        <v>79</v>
      </c>
      <c r="AW28">
        <v>25</v>
      </c>
      <c r="AX28">
        <v>34</v>
      </c>
      <c r="AY28">
        <v>45</v>
      </c>
      <c r="AZ28">
        <v>52</v>
      </c>
      <c r="BA28">
        <v>61</v>
      </c>
      <c r="BB28">
        <v>76</v>
      </c>
      <c r="BC28">
        <v>79</v>
      </c>
      <c r="BD28">
        <v>76</v>
      </c>
      <c r="BE28">
        <v>69</v>
      </c>
      <c r="BF28">
        <v>53</v>
      </c>
      <c r="BG28">
        <v>40</v>
      </c>
      <c r="BH28">
        <v>28</v>
      </c>
    </row>
    <row r="29" spans="1:60" x14ac:dyDescent="0.3">
      <c r="A29" t="s">
        <v>93</v>
      </c>
      <c r="B29" t="s">
        <v>141</v>
      </c>
      <c r="C29" t="s">
        <v>142</v>
      </c>
      <c r="E29">
        <v>81</v>
      </c>
      <c r="F29">
        <v>7</v>
      </c>
      <c r="G29">
        <v>9</v>
      </c>
      <c r="H29">
        <v>36</v>
      </c>
      <c r="I29">
        <v>26</v>
      </c>
      <c r="J29">
        <v>51</v>
      </c>
      <c r="K29">
        <v>3</v>
      </c>
      <c r="L29">
        <v>7</v>
      </c>
      <c r="M29">
        <v>1</v>
      </c>
      <c r="N29">
        <v>24</v>
      </c>
      <c r="P29">
        <v>1</v>
      </c>
      <c r="Q29">
        <f>SUM(Complete_data[[#This Row],[American]:[Indian]])</f>
        <v>246</v>
      </c>
      <c r="R29">
        <f>_xlfn.RANK.EQ(Complete_data[[#This Row],[Restaurant count]],Complete_data[Restaurant count],0)</f>
        <v>124</v>
      </c>
      <c r="S29">
        <v>31</v>
      </c>
      <c r="T29">
        <v>78</v>
      </c>
      <c r="U29" s="1">
        <v>53.416666666666664</v>
      </c>
      <c r="V29" s="1">
        <f>_xlfn.RANK.EQ(Complete_data[[#This Row],[Max Temperature]],Complete_data[Max Temperature],0)</f>
        <v>71</v>
      </c>
      <c r="W29" s="1">
        <f>_xlfn.RANK.EQ(Complete_data[[#This Row],[Min Temperature]],Complete_data[Min Temperature],0)</f>
        <v>83</v>
      </c>
      <c r="X29" s="1">
        <f>_xlfn.RANK.EQ(Complete_data[[#This Row],[Avg Temperature]],Complete_data[Avg Temperature],0)</f>
        <v>88</v>
      </c>
      <c r="Y29">
        <v>2</v>
      </c>
      <c r="Z29">
        <v>0</v>
      </c>
      <c r="AA29">
        <v>0</v>
      </c>
      <c r="AB29">
        <v>0</v>
      </c>
      <c r="AC29">
        <v>2</v>
      </c>
      <c r="AD29">
        <v>0</v>
      </c>
      <c r="AE29">
        <v>0</v>
      </c>
      <c r="AF29">
        <v>0</v>
      </c>
      <c r="AG29">
        <v>0</v>
      </c>
      <c r="AH29">
        <v>0</v>
      </c>
      <c r="AI29">
        <f>SUM(Complete_data[[#This Row],[GENERAL ACUTE CARE]:[CHRONIC DISEASE]])</f>
        <v>4</v>
      </c>
      <c r="AJ29">
        <f>_xlfn.RANK.EQ(Complete_data[[#This Row],[Hospital Count]],Complete_data[Hospital Count],0)</f>
        <v>108</v>
      </c>
      <c r="AK29">
        <v>41.16</v>
      </c>
      <c r="AL29">
        <v>57.02</v>
      </c>
      <c r="AM29">
        <v>58.78</v>
      </c>
      <c r="AN29">
        <v>72.16</v>
      </c>
      <c r="AO29">
        <v>79.930000000000007</v>
      </c>
      <c r="AP29">
        <v>73.64</v>
      </c>
      <c r="AQ29">
        <v>76.25</v>
      </c>
      <c r="AR29">
        <v>72.650000000000006</v>
      </c>
      <c r="AS29">
        <v>66.37</v>
      </c>
      <c r="AT29">
        <v>43.26</v>
      </c>
      <c r="AU29">
        <f>AVERAGE(Complete_data[[#This Row],[2009]:[2019]])</f>
        <v>64.122</v>
      </c>
      <c r="AV29">
        <f>_xlfn.RANK.EQ(Complete_data[[#This Row],[Average crime rate]],Complete_data[Average crime rate],1)</f>
        <v>132</v>
      </c>
      <c r="AW29">
        <v>31</v>
      </c>
      <c r="AX29">
        <v>33</v>
      </c>
      <c r="AY29">
        <v>45</v>
      </c>
      <c r="AZ29">
        <v>52</v>
      </c>
      <c r="BA29">
        <v>60</v>
      </c>
      <c r="BB29">
        <v>74</v>
      </c>
      <c r="BC29">
        <v>78</v>
      </c>
      <c r="BD29">
        <v>75</v>
      </c>
      <c r="BE29">
        <v>69</v>
      </c>
      <c r="BF29">
        <v>53</v>
      </c>
      <c r="BG29">
        <v>40</v>
      </c>
      <c r="BH29">
        <v>31</v>
      </c>
    </row>
    <row r="30" spans="1:60" x14ac:dyDescent="0.3">
      <c r="A30" t="s">
        <v>143</v>
      </c>
      <c r="B30" t="s">
        <v>144</v>
      </c>
      <c r="C30" t="s">
        <v>145</v>
      </c>
      <c r="E30">
        <v>531</v>
      </c>
      <c r="F30">
        <v>108</v>
      </c>
      <c r="G30">
        <v>82</v>
      </c>
      <c r="H30">
        <v>524</v>
      </c>
      <c r="I30">
        <v>426</v>
      </c>
      <c r="J30">
        <v>108</v>
      </c>
      <c r="K30">
        <v>5</v>
      </c>
      <c r="L30">
        <v>55</v>
      </c>
      <c r="M30">
        <v>17</v>
      </c>
      <c r="N30">
        <v>212</v>
      </c>
      <c r="O30">
        <v>2</v>
      </c>
      <c r="P30">
        <v>23</v>
      </c>
      <c r="Q30">
        <f>SUM(Complete_data[[#This Row],[American]:[Indian]])</f>
        <v>2093</v>
      </c>
      <c r="R30">
        <f>_xlfn.RANK.EQ(Complete_data[[#This Row],[Restaurant count]],Complete_data[Restaurant count],0)</f>
        <v>38</v>
      </c>
      <c r="S30">
        <v>32</v>
      </c>
      <c r="T30">
        <v>76</v>
      </c>
      <c r="U30" s="1">
        <v>53.666666666666664</v>
      </c>
      <c r="V30" s="1">
        <f>_xlfn.RANK.EQ(Complete_data[[#This Row],[Max Temperature]],Complete_data[Max Temperature],0)</f>
        <v>82</v>
      </c>
      <c r="W30" s="1">
        <f>_xlfn.RANK.EQ(Complete_data[[#This Row],[Min Temperature]],Complete_data[Min Temperature],0)</f>
        <v>81</v>
      </c>
      <c r="X30" s="1">
        <f>_xlfn.RANK.EQ(Complete_data[[#This Row],[Avg Temperature]],Complete_data[Avg Temperature],0)</f>
        <v>86</v>
      </c>
      <c r="Y30">
        <v>2</v>
      </c>
      <c r="Z30">
        <v>0</v>
      </c>
      <c r="AA30">
        <v>0</v>
      </c>
      <c r="AB30">
        <v>0</v>
      </c>
      <c r="AC30">
        <v>0</v>
      </c>
      <c r="AD30">
        <v>0</v>
      </c>
      <c r="AE30">
        <v>0</v>
      </c>
      <c r="AF30">
        <v>0</v>
      </c>
      <c r="AG30">
        <v>0</v>
      </c>
      <c r="AH30">
        <v>0</v>
      </c>
      <c r="AI30">
        <f>SUM(Complete_data[[#This Row],[GENERAL ACUTE CARE]:[CHRONIC DISEASE]])</f>
        <v>2</v>
      </c>
      <c r="AJ30">
        <f>_xlfn.RANK.EQ(Complete_data[[#This Row],[Hospital Count]],Complete_data[Hospital Count],0)</f>
        <v>124</v>
      </c>
      <c r="AK30">
        <v>52.8</v>
      </c>
      <c r="AL30">
        <v>44.05</v>
      </c>
      <c r="AM30">
        <v>48.98</v>
      </c>
      <c r="AN30">
        <v>47.51</v>
      </c>
      <c r="AO30">
        <v>40.06</v>
      </c>
      <c r="AP30">
        <v>38.26</v>
      </c>
      <c r="AQ30">
        <v>30.34</v>
      </c>
      <c r="AR30">
        <v>32.479999999999997</v>
      </c>
      <c r="AS30">
        <v>25.84</v>
      </c>
      <c r="AT30">
        <v>22.92</v>
      </c>
      <c r="AU30">
        <f>AVERAGE(Complete_data[[#This Row],[2009]:[2019]])</f>
        <v>38.323999999999998</v>
      </c>
      <c r="AV30">
        <f>_xlfn.RANK.EQ(Complete_data[[#This Row],[Average crime rate]],Complete_data[Average crime rate],1)</f>
        <v>43</v>
      </c>
      <c r="AW30">
        <v>32</v>
      </c>
      <c r="AX30">
        <v>33</v>
      </c>
      <c r="AY30">
        <v>40</v>
      </c>
      <c r="AZ30">
        <v>50</v>
      </c>
      <c r="BA30">
        <v>60</v>
      </c>
      <c r="BB30">
        <v>69</v>
      </c>
      <c r="BC30">
        <v>76</v>
      </c>
      <c r="BD30">
        <v>75</v>
      </c>
      <c r="BE30">
        <v>69</v>
      </c>
      <c r="BF30">
        <v>56</v>
      </c>
      <c r="BG30">
        <v>46</v>
      </c>
      <c r="BH30">
        <v>38</v>
      </c>
    </row>
    <row r="31" spans="1:60" x14ac:dyDescent="0.3">
      <c r="A31" t="s">
        <v>143</v>
      </c>
      <c r="B31" t="s">
        <v>146</v>
      </c>
      <c r="C31" t="s">
        <v>147</v>
      </c>
      <c r="E31">
        <v>501</v>
      </c>
      <c r="F31">
        <v>96</v>
      </c>
      <c r="G31">
        <v>92</v>
      </c>
      <c r="H31">
        <v>350</v>
      </c>
      <c r="I31">
        <v>381</v>
      </c>
      <c r="J31">
        <v>88</v>
      </c>
      <c r="K31">
        <v>7</v>
      </c>
      <c r="L31">
        <v>59</v>
      </c>
      <c r="M31">
        <v>6</v>
      </c>
      <c r="N31">
        <v>233</v>
      </c>
      <c r="O31">
        <v>3</v>
      </c>
      <c r="P31">
        <v>21</v>
      </c>
      <c r="Q31">
        <f>SUM(Complete_data[[#This Row],[American]:[Indian]])</f>
        <v>1837</v>
      </c>
      <c r="R31">
        <f>_xlfn.RANK.EQ(Complete_data[[#This Row],[Restaurant count]],Complete_data[Restaurant count],0)</f>
        <v>41</v>
      </c>
      <c r="S31">
        <v>28</v>
      </c>
      <c r="T31">
        <v>76</v>
      </c>
      <c r="U31" s="1">
        <v>51.75</v>
      </c>
      <c r="V31" s="1">
        <f>_xlfn.RANK.EQ(Complete_data[[#This Row],[Max Temperature]],Complete_data[Max Temperature],0)</f>
        <v>82</v>
      </c>
      <c r="W31" s="1">
        <f>_xlfn.RANK.EQ(Complete_data[[#This Row],[Min Temperature]],Complete_data[Min Temperature],0)</f>
        <v>98</v>
      </c>
      <c r="X31" s="1">
        <f>_xlfn.RANK.EQ(Complete_data[[#This Row],[Avg Temperature]],Complete_data[Avg Temperature],0)</f>
        <v>102</v>
      </c>
      <c r="Y31">
        <v>2</v>
      </c>
      <c r="Z31">
        <v>0</v>
      </c>
      <c r="AA31">
        <v>1</v>
      </c>
      <c r="AB31">
        <v>0</v>
      </c>
      <c r="AC31">
        <v>0</v>
      </c>
      <c r="AD31">
        <v>0</v>
      </c>
      <c r="AE31">
        <v>0</v>
      </c>
      <c r="AF31">
        <v>0</v>
      </c>
      <c r="AG31">
        <v>0</v>
      </c>
      <c r="AH31">
        <v>1</v>
      </c>
      <c r="AI31">
        <f>SUM(Complete_data[[#This Row],[GENERAL ACUTE CARE]:[CHRONIC DISEASE]])</f>
        <v>4</v>
      </c>
      <c r="AJ31">
        <f>_xlfn.RANK.EQ(Complete_data[[#This Row],[Hospital Count]],Complete_data[Hospital Count],0)</f>
        <v>108</v>
      </c>
      <c r="AK31">
        <v>63.49</v>
      </c>
      <c r="AL31">
        <v>57.42</v>
      </c>
      <c r="AM31">
        <v>57.85</v>
      </c>
      <c r="AN31">
        <v>56.4</v>
      </c>
      <c r="AO31">
        <v>52.46</v>
      </c>
      <c r="AP31">
        <v>53.66</v>
      </c>
      <c r="AQ31">
        <v>55.75</v>
      </c>
      <c r="AR31">
        <v>51.57</v>
      </c>
      <c r="AS31">
        <v>47.26</v>
      </c>
      <c r="AT31">
        <v>37</v>
      </c>
      <c r="AU31">
        <f>AVERAGE(Complete_data[[#This Row],[2009]:[2019]])</f>
        <v>53.285999999999987</v>
      </c>
      <c r="AV31">
        <f>_xlfn.RANK.EQ(Complete_data[[#This Row],[Average crime rate]],Complete_data[Average crime rate],1)</f>
        <v>98</v>
      </c>
      <c r="AW31">
        <v>28</v>
      </c>
      <c r="AX31">
        <v>30</v>
      </c>
      <c r="AY31">
        <v>38</v>
      </c>
      <c r="AZ31">
        <v>50</v>
      </c>
      <c r="BA31">
        <v>61</v>
      </c>
      <c r="BB31">
        <v>69</v>
      </c>
      <c r="BC31">
        <v>76</v>
      </c>
      <c r="BD31">
        <v>73</v>
      </c>
      <c r="BE31">
        <v>66</v>
      </c>
      <c r="BF31">
        <v>54</v>
      </c>
      <c r="BG31">
        <v>42</v>
      </c>
      <c r="BH31">
        <v>34</v>
      </c>
    </row>
    <row r="32" spans="1:60" x14ac:dyDescent="0.3">
      <c r="A32" t="s">
        <v>148</v>
      </c>
      <c r="B32" t="s">
        <v>149</v>
      </c>
      <c r="C32" t="s">
        <v>150</v>
      </c>
      <c r="E32">
        <v>696</v>
      </c>
      <c r="F32">
        <v>161</v>
      </c>
      <c r="G32">
        <v>67</v>
      </c>
      <c r="H32">
        <v>566</v>
      </c>
      <c r="I32">
        <v>246</v>
      </c>
      <c r="J32">
        <v>119</v>
      </c>
      <c r="K32">
        <v>9</v>
      </c>
      <c r="L32">
        <v>107</v>
      </c>
      <c r="M32">
        <v>13</v>
      </c>
      <c r="N32">
        <v>229</v>
      </c>
      <c r="O32">
        <v>17</v>
      </c>
      <c r="P32">
        <v>34</v>
      </c>
      <c r="Q32">
        <f>SUM(Complete_data[[#This Row],[American]:[Indian]])</f>
        <v>2264</v>
      </c>
      <c r="R32">
        <f>_xlfn.RANK.EQ(Complete_data[[#This Row],[Restaurant count]],Complete_data[Restaurant count],0)</f>
        <v>34</v>
      </c>
      <c r="S32">
        <v>37</v>
      </c>
      <c r="T32">
        <v>82</v>
      </c>
      <c r="U32" s="1">
        <v>59.583333333333336</v>
      </c>
      <c r="V32" s="1">
        <f>_xlfn.RANK.EQ(Complete_data[[#This Row],[Max Temperature]],Complete_data[Max Temperature],0)</f>
        <v>29</v>
      </c>
      <c r="W32" s="1">
        <f>_xlfn.RANK.EQ(Complete_data[[#This Row],[Min Temperature]],Complete_data[Min Temperature],0)</f>
        <v>61</v>
      </c>
      <c r="X32" s="1">
        <f>_xlfn.RANK.EQ(Complete_data[[#This Row],[Avg Temperature]],Complete_data[Avg Temperature],0)</f>
        <v>55</v>
      </c>
      <c r="Y32">
        <v>8</v>
      </c>
      <c r="Z32">
        <v>0</v>
      </c>
      <c r="AA32">
        <v>2</v>
      </c>
      <c r="AB32">
        <v>1</v>
      </c>
      <c r="AC32">
        <v>2</v>
      </c>
      <c r="AD32">
        <v>1</v>
      </c>
      <c r="AE32">
        <v>0</v>
      </c>
      <c r="AF32">
        <v>1</v>
      </c>
      <c r="AG32">
        <v>0</v>
      </c>
      <c r="AH32">
        <v>0</v>
      </c>
      <c r="AI32">
        <f>SUM(Complete_data[[#This Row],[GENERAL ACUTE CARE]:[CHRONIC DISEASE]])</f>
        <v>15</v>
      </c>
      <c r="AJ32">
        <f>_xlfn.RANK.EQ(Complete_data[[#This Row],[Hospital Count]],Complete_data[Hospital Count],0)</f>
        <v>32</v>
      </c>
      <c r="AK32">
        <v>57.78</v>
      </c>
      <c r="AL32">
        <v>57.59</v>
      </c>
      <c r="AM32">
        <v>57.21</v>
      </c>
      <c r="AN32">
        <v>58.14</v>
      </c>
      <c r="AO32">
        <v>57.93</v>
      </c>
      <c r="AP32">
        <v>61.98</v>
      </c>
      <c r="AQ32">
        <v>57.19</v>
      </c>
      <c r="AR32">
        <v>51.05</v>
      </c>
      <c r="AS32">
        <v>52.11</v>
      </c>
      <c r="AT32">
        <v>52.23</v>
      </c>
      <c r="AU32">
        <f>AVERAGE(Complete_data[[#This Row],[2009]:[2019]])</f>
        <v>56.321000000000005</v>
      </c>
      <c r="AV32">
        <f>_xlfn.RANK.EQ(Complete_data[[#This Row],[Average crime rate]],Complete_data[Average crime rate],1)</f>
        <v>109</v>
      </c>
      <c r="AW32">
        <v>37</v>
      </c>
      <c r="AX32">
        <v>40</v>
      </c>
      <c r="AY32">
        <v>48</v>
      </c>
      <c r="AZ32">
        <v>58</v>
      </c>
      <c r="BA32">
        <v>67</v>
      </c>
      <c r="BB32">
        <v>77</v>
      </c>
      <c r="BC32">
        <v>82</v>
      </c>
      <c r="BD32">
        <v>79</v>
      </c>
      <c r="BE32">
        <v>73</v>
      </c>
      <c r="BF32">
        <v>62</v>
      </c>
      <c r="BG32">
        <v>49</v>
      </c>
      <c r="BH32">
        <v>43</v>
      </c>
    </row>
    <row r="33" spans="1:60" x14ac:dyDescent="0.3">
      <c r="A33" t="s">
        <v>97</v>
      </c>
      <c r="B33" t="s">
        <v>151</v>
      </c>
      <c r="C33" t="s">
        <v>152</v>
      </c>
      <c r="E33">
        <v>585</v>
      </c>
      <c r="F33">
        <v>73</v>
      </c>
      <c r="G33">
        <v>59</v>
      </c>
      <c r="H33">
        <v>331</v>
      </c>
      <c r="I33">
        <v>166</v>
      </c>
      <c r="J33">
        <v>120</v>
      </c>
      <c r="K33">
        <v>35</v>
      </c>
      <c r="L33">
        <v>78</v>
      </c>
      <c r="M33">
        <v>14</v>
      </c>
      <c r="N33">
        <v>241</v>
      </c>
      <c r="O33">
        <v>3</v>
      </c>
      <c r="P33">
        <v>5</v>
      </c>
      <c r="Q33">
        <f>SUM(Complete_data[[#This Row],[American]:[Indian]])</f>
        <v>1710</v>
      </c>
      <c r="R33">
        <f>_xlfn.RANK.EQ(Complete_data[[#This Row],[Restaurant count]],Complete_data[Restaurant count],0)</f>
        <v>45</v>
      </c>
      <c r="S33">
        <v>53</v>
      </c>
      <c r="T33">
        <v>81</v>
      </c>
      <c r="U33" s="1">
        <v>68.583333333333329</v>
      </c>
      <c r="V33" s="1">
        <f>_xlfn.RANK.EQ(Complete_data[[#This Row],[Max Temperature]],Complete_data[Max Temperature],0)</f>
        <v>39</v>
      </c>
      <c r="W33" s="1">
        <f>_xlfn.RANK.EQ(Complete_data[[#This Row],[Min Temperature]],Complete_data[Min Temperature],0)</f>
        <v>12</v>
      </c>
      <c r="X33" s="1">
        <f>_xlfn.RANK.EQ(Complete_data[[#This Row],[Avg Temperature]],Complete_data[Avg Temperature],0)</f>
        <v>16</v>
      </c>
      <c r="Y33">
        <v>9</v>
      </c>
      <c r="Z33">
        <v>0</v>
      </c>
      <c r="AA33">
        <v>1</v>
      </c>
      <c r="AB33">
        <v>0</v>
      </c>
      <c r="AC33">
        <v>2</v>
      </c>
      <c r="AD33">
        <v>1</v>
      </c>
      <c r="AE33">
        <v>0</v>
      </c>
      <c r="AF33">
        <v>1</v>
      </c>
      <c r="AG33">
        <v>0</v>
      </c>
      <c r="AH33">
        <v>0</v>
      </c>
      <c r="AI33">
        <f>SUM(Complete_data[[#This Row],[GENERAL ACUTE CARE]:[CHRONIC DISEASE]])</f>
        <v>14</v>
      </c>
      <c r="AJ33">
        <f>_xlfn.RANK.EQ(Complete_data[[#This Row],[Hospital Count]],Complete_data[Hospital Count],0)</f>
        <v>36</v>
      </c>
      <c r="AK33">
        <v>60.06</v>
      </c>
      <c r="AL33">
        <v>52.28</v>
      </c>
      <c r="AM33">
        <v>49.62</v>
      </c>
      <c r="AN33">
        <v>47.51</v>
      </c>
      <c r="AO33">
        <v>45.34</v>
      </c>
      <c r="AP33">
        <v>46.35</v>
      </c>
      <c r="AQ33">
        <v>43.29</v>
      </c>
      <c r="AR33">
        <v>41.69</v>
      </c>
      <c r="AS33">
        <v>39.380000000000003</v>
      </c>
      <c r="AT33">
        <v>39.659999999999997</v>
      </c>
      <c r="AU33">
        <f>AVERAGE(Complete_data[[#This Row],[2009]:[2019]])</f>
        <v>46.518000000000008</v>
      </c>
      <c r="AV33">
        <f>_xlfn.RANK.EQ(Complete_data[[#This Row],[Average crime rate]],Complete_data[Average crime rate],1)</f>
        <v>75</v>
      </c>
      <c r="AW33">
        <v>53</v>
      </c>
      <c r="AX33">
        <v>57</v>
      </c>
      <c r="AY33">
        <v>62</v>
      </c>
      <c r="AZ33">
        <v>69</v>
      </c>
      <c r="BA33">
        <v>74</v>
      </c>
      <c r="BB33">
        <v>79</v>
      </c>
      <c r="BC33">
        <v>81</v>
      </c>
      <c r="BD33">
        <v>81</v>
      </c>
      <c r="BE33">
        <v>78</v>
      </c>
      <c r="BF33">
        <v>70</v>
      </c>
      <c r="BG33">
        <v>61</v>
      </c>
      <c r="BH33">
        <v>58</v>
      </c>
    </row>
    <row r="34" spans="1:60" x14ac:dyDescent="0.3">
      <c r="A34" t="s">
        <v>97</v>
      </c>
      <c r="B34" t="s">
        <v>153</v>
      </c>
      <c r="C34" t="s">
        <v>154</v>
      </c>
      <c r="E34">
        <v>1134</v>
      </c>
      <c r="F34">
        <v>166</v>
      </c>
      <c r="G34">
        <v>153</v>
      </c>
      <c r="H34">
        <v>669</v>
      </c>
      <c r="I34">
        <v>383</v>
      </c>
      <c r="J34">
        <v>261</v>
      </c>
      <c r="K34">
        <v>35</v>
      </c>
      <c r="L34">
        <v>152</v>
      </c>
      <c r="M34">
        <v>29</v>
      </c>
      <c r="N34">
        <v>449</v>
      </c>
      <c r="O34">
        <v>14</v>
      </c>
      <c r="P34">
        <v>37</v>
      </c>
      <c r="Q34">
        <f>SUM(Complete_data[[#This Row],[American]:[Indian]])</f>
        <v>3482</v>
      </c>
      <c r="R34">
        <f>_xlfn.RANK.EQ(Complete_data[[#This Row],[Restaurant count]],Complete_data[Restaurant count],0)</f>
        <v>21</v>
      </c>
      <c r="S34">
        <v>60</v>
      </c>
      <c r="T34">
        <v>81</v>
      </c>
      <c r="U34" s="1">
        <v>72.583333333333329</v>
      </c>
      <c r="V34" s="1">
        <f>_xlfn.RANK.EQ(Complete_data[[#This Row],[Max Temperature]],Complete_data[Max Temperature],0)</f>
        <v>39</v>
      </c>
      <c r="W34" s="1">
        <f>_xlfn.RANK.EQ(Complete_data[[#This Row],[Min Temperature]],Complete_data[Min Temperature],0)</f>
        <v>6</v>
      </c>
      <c r="X34" s="1">
        <f>_xlfn.RANK.EQ(Complete_data[[#This Row],[Avg Temperature]],Complete_data[Avg Temperature],0)</f>
        <v>7</v>
      </c>
      <c r="Y34">
        <v>7</v>
      </c>
      <c r="Z34">
        <v>0</v>
      </c>
      <c r="AA34">
        <v>1</v>
      </c>
      <c r="AB34">
        <v>1</v>
      </c>
      <c r="AC34">
        <v>3</v>
      </c>
      <c r="AD34">
        <v>0</v>
      </c>
      <c r="AE34">
        <v>0</v>
      </c>
      <c r="AF34">
        <v>2</v>
      </c>
      <c r="AG34">
        <v>0</v>
      </c>
      <c r="AH34">
        <v>0</v>
      </c>
      <c r="AI34">
        <f>SUM(Complete_data[[#This Row],[GENERAL ACUTE CARE]:[CHRONIC DISEASE]])</f>
        <v>14</v>
      </c>
      <c r="AJ34">
        <f>_xlfn.RANK.EQ(Complete_data[[#This Row],[Hospital Count]],Complete_data[Hospital Count],0)</f>
        <v>36</v>
      </c>
      <c r="AK34">
        <v>86.06</v>
      </c>
      <c r="AL34">
        <v>75.680000000000007</v>
      </c>
      <c r="AM34">
        <v>81.89</v>
      </c>
      <c r="AN34">
        <v>76.459999999999994</v>
      </c>
      <c r="AO34">
        <v>74.37</v>
      </c>
      <c r="AP34">
        <v>72.819999999999993</v>
      </c>
      <c r="AQ34">
        <v>69.709999999999994</v>
      </c>
      <c r="AR34">
        <v>62.06</v>
      </c>
      <c r="AS34">
        <v>56.15</v>
      </c>
      <c r="AT34">
        <v>55.7</v>
      </c>
      <c r="AU34">
        <f>AVERAGE(Complete_data[[#This Row],[2009]:[2019]])</f>
        <v>71.09</v>
      </c>
      <c r="AV34">
        <f>_xlfn.RANK.EQ(Complete_data[[#This Row],[Average crime rate]],Complete_data[Average crime rate],1)</f>
        <v>139</v>
      </c>
      <c r="AW34">
        <v>60</v>
      </c>
      <c r="AX34">
        <v>64</v>
      </c>
      <c r="AY34">
        <v>68</v>
      </c>
      <c r="AZ34">
        <v>73</v>
      </c>
      <c r="BA34">
        <v>77</v>
      </c>
      <c r="BB34">
        <v>80</v>
      </c>
      <c r="BC34">
        <v>81</v>
      </c>
      <c r="BD34">
        <v>81</v>
      </c>
      <c r="BE34">
        <v>80</v>
      </c>
      <c r="BF34">
        <v>75</v>
      </c>
      <c r="BG34">
        <v>68</v>
      </c>
      <c r="BH34">
        <v>64</v>
      </c>
    </row>
    <row r="35" spans="1:60" x14ac:dyDescent="0.3">
      <c r="A35" t="s">
        <v>97</v>
      </c>
      <c r="B35" t="s">
        <v>155</v>
      </c>
      <c r="C35" t="s">
        <v>156</v>
      </c>
      <c r="E35">
        <v>199</v>
      </c>
      <c r="F35">
        <v>39</v>
      </c>
      <c r="G35">
        <v>19</v>
      </c>
      <c r="H35">
        <v>103</v>
      </c>
      <c r="I35">
        <v>49</v>
      </c>
      <c r="J35">
        <v>37</v>
      </c>
      <c r="K35">
        <v>10</v>
      </c>
      <c r="L35">
        <v>22</v>
      </c>
      <c r="M35">
        <v>2</v>
      </c>
      <c r="N35">
        <v>65</v>
      </c>
      <c r="O35">
        <v>1</v>
      </c>
      <c r="P35">
        <v>3</v>
      </c>
      <c r="Q35">
        <f>SUM(Complete_data[[#This Row],[American]:[Indian]])</f>
        <v>549</v>
      </c>
      <c r="R35">
        <f>_xlfn.RANK.EQ(Complete_data[[#This Row],[Restaurant count]],Complete_data[Restaurant count],0)</f>
        <v>90</v>
      </c>
      <c r="S35">
        <v>52</v>
      </c>
      <c r="T35">
        <v>82</v>
      </c>
      <c r="U35" s="1">
        <v>68.833333333333329</v>
      </c>
      <c r="V35" s="1">
        <f>_xlfn.RANK.EQ(Complete_data[[#This Row],[Max Temperature]],Complete_data[Max Temperature],0)</f>
        <v>29</v>
      </c>
      <c r="W35" s="1">
        <f>_xlfn.RANK.EQ(Complete_data[[#This Row],[Min Temperature]],Complete_data[Min Temperature],0)</f>
        <v>15</v>
      </c>
      <c r="X35" s="1">
        <f>_xlfn.RANK.EQ(Complete_data[[#This Row],[Avg Temperature]],Complete_data[Avg Temperature],0)</f>
        <v>15</v>
      </c>
      <c r="Y35">
        <v>3</v>
      </c>
      <c r="Z35">
        <v>0</v>
      </c>
      <c r="AA35">
        <v>0</v>
      </c>
      <c r="AB35">
        <v>0</v>
      </c>
      <c r="AC35">
        <v>1</v>
      </c>
      <c r="AD35">
        <v>1</v>
      </c>
      <c r="AE35">
        <v>0</v>
      </c>
      <c r="AF35">
        <v>0</v>
      </c>
      <c r="AG35">
        <v>0</v>
      </c>
      <c r="AH35">
        <v>0</v>
      </c>
      <c r="AI35">
        <f>SUM(Complete_data[[#This Row],[GENERAL ACUTE CARE]:[CHRONIC DISEASE]])</f>
        <v>5</v>
      </c>
      <c r="AJ35">
        <f>_xlfn.RANK.EQ(Complete_data[[#This Row],[Hospital Count]],Complete_data[Hospital Count],0)</f>
        <v>99</v>
      </c>
      <c r="AK35">
        <v>58.08</v>
      </c>
      <c r="AL35">
        <v>59.6</v>
      </c>
      <c r="AM35">
        <v>60.07</v>
      </c>
      <c r="AN35">
        <v>55.04</v>
      </c>
      <c r="AO35">
        <v>50.45</v>
      </c>
      <c r="AP35">
        <v>57.82</v>
      </c>
      <c r="AQ35">
        <v>61.59</v>
      </c>
      <c r="AR35">
        <v>56.86</v>
      </c>
      <c r="AS35">
        <v>52.51</v>
      </c>
      <c r="AT35">
        <v>46.8</v>
      </c>
      <c r="AU35">
        <f>AVERAGE(Complete_data[[#This Row],[2009]:[2019]])</f>
        <v>55.881999999999991</v>
      </c>
      <c r="AV35">
        <f>_xlfn.RANK.EQ(Complete_data[[#This Row],[Average crime rate]],Complete_data[Average crime rate],1)</f>
        <v>107</v>
      </c>
      <c r="AW35">
        <v>52</v>
      </c>
      <c r="AX35">
        <v>57</v>
      </c>
      <c r="AY35">
        <v>62</v>
      </c>
      <c r="AZ35">
        <v>69</v>
      </c>
      <c r="BA35">
        <v>75</v>
      </c>
      <c r="BB35">
        <v>81</v>
      </c>
      <c r="BC35">
        <v>82</v>
      </c>
      <c r="BD35">
        <v>82</v>
      </c>
      <c r="BE35">
        <v>79</v>
      </c>
      <c r="BF35">
        <v>71</v>
      </c>
      <c r="BG35">
        <v>60</v>
      </c>
      <c r="BH35">
        <v>56</v>
      </c>
    </row>
    <row r="36" spans="1:60" x14ac:dyDescent="0.3">
      <c r="A36" t="s">
        <v>97</v>
      </c>
      <c r="B36" t="s">
        <v>157</v>
      </c>
      <c r="C36" t="s">
        <v>158</v>
      </c>
      <c r="E36">
        <v>1705</v>
      </c>
      <c r="F36">
        <v>265</v>
      </c>
      <c r="G36">
        <v>215</v>
      </c>
      <c r="H36">
        <v>876</v>
      </c>
      <c r="I36">
        <v>573</v>
      </c>
      <c r="J36">
        <v>342</v>
      </c>
      <c r="K36">
        <v>81</v>
      </c>
      <c r="L36">
        <v>211</v>
      </c>
      <c r="M36">
        <v>50</v>
      </c>
      <c r="N36">
        <v>518</v>
      </c>
      <c r="O36">
        <v>5</v>
      </c>
      <c r="P36">
        <v>51</v>
      </c>
      <c r="Q36">
        <f>SUM(Complete_data[[#This Row],[American]:[Indian]])</f>
        <v>4892</v>
      </c>
      <c r="R36">
        <f>_xlfn.RANK.EQ(Complete_data[[#This Row],[Restaurant count]],Complete_data[Restaurant count],0)</f>
        <v>16</v>
      </c>
      <c r="S36">
        <v>61</v>
      </c>
      <c r="T36">
        <v>83</v>
      </c>
      <c r="U36" s="1">
        <v>74</v>
      </c>
      <c r="V36" s="1">
        <f>_xlfn.RANK.EQ(Complete_data[[#This Row],[Max Temperature]],Complete_data[Max Temperature],0)</f>
        <v>21</v>
      </c>
      <c r="W36" s="1">
        <f>_xlfn.RANK.EQ(Complete_data[[#This Row],[Min Temperature]],Complete_data[Min Temperature],0)</f>
        <v>4</v>
      </c>
      <c r="X36" s="1">
        <f>_xlfn.RANK.EQ(Complete_data[[#This Row],[Avg Temperature]],Complete_data[Avg Temperature],0)</f>
        <v>6</v>
      </c>
      <c r="Y36">
        <v>11</v>
      </c>
      <c r="Z36">
        <v>0</v>
      </c>
      <c r="AA36">
        <v>1</v>
      </c>
      <c r="AB36">
        <v>0</v>
      </c>
      <c r="AC36">
        <v>2</v>
      </c>
      <c r="AD36">
        <v>0</v>
      </c>
      <c r="AE36">
        <v>0</v>
      </c>
      <c r="AF36">
        <v>2</v>
      </c>
      <c r="AG36">
        <v>0</v>
      </c>
      <c r="AH36">
        <v>0</v>
      </c>
      <c r="AI36">
        <f>SUM(Complete_data[[#This Row],[GENERAL ACUTE CARE]:[CHRONIC DISEASE]])</f>
        <v>16</v>
      </c>
      <c r="AJ36">
        <f>_xlfn.RANK.EQ(Complete_data[[#This Row],[Hospital Count]],Complete_data[Hospital Count],0)</f>
        <v>28</v>
      </c>
      <c r="AK36">
        <v>45.5</v>
      </c>
      <c r="AL36">
        <v>39.47</v>
      </c>
      <c r="AM36">
        <v>37.39</v>
      </c>
      <c r="AN36">
        <v>34.76</v>
      </c>
      <c r="AO36">
        <v>31.31</v>
      </c>
      <c r="AP36">
        <v>30.22</v>
      </c>
      <c r="AQ36">
        <v>29.41</v>
      </c>
      <c r="AR36">
        <v>22.18</v>
      </c>
      <c r="AS36">
        <v>20.91</v>
      </c>
      <c r="AT36">
        <v>20.43</v>
      </c>
      <c r="AU36">
        <f>AVERAGE(Complete_data[[#This Row],[2009]:[2019]])</f>
        <v>31.158000000000005</v>
      </c>
      <c r="AV36">
        <f>_xlfn.RANK.EQ(Complete_data[[#This Row],[Average crime rate]],Complete_data[Average crime rate],1)</f>
        <v>21</v>
      </c>
      <c r="AW36">
        <v>61</v>
      </c>
      <c r="AX36">
        <v>65</v>
      </c>
      <c r="AY36">
        <v>68</v>
      </c>
      <c r="AZ36">
        <v>74</v>
      </c>
      <c r="BA36">
        <v>78</v>
      </c>
      <c r="BB36">
        <v>82</v>
      </c>
      <c r="BC36">
        <v>83</v>
      </c>
      <c r="BD36">
        <v>83</v>
      </c>
      <c r="BE36">
        <v>82</v>
      </c>
      <c r="BF36">
        <v>77</v>
      </c>
      <c r="BG36">
        <v>69</v>
      </c>
      <c r="BH36">
        <v>66</v>
      </c>
    </row>
    <row r="37" spans="1:60" x14ac:dyDescent="0.3">
      <c r="A37" t="s">
        <v>97</v>
      </c>
      <c r="B37" t="s">
        <v>159</v>
      </c>
      <c r="C37" t="s">
        <v>160</v>
      </c>
      <c r="E37">
        <v>781</v>
      </c>
      <c r="F37">
        <v>75</v>
      </c>
      <c r="G37">
        <v>73</v>
      </c>
      <c r="H37">
        <v>228</v>
      </c>
      <c r="I37">
        <v>251</v>
      </c>
      <c r="J37">
        <v>134</v>
      </c>
      <c r="K37">
        <v>22</v>
      </c>
      <c r="L37">
        <v>79</v>
      </c>
      <c r="M37">
        <v>15</v>
      </c>
      <c r="N37">
        <v>185</v>
      </c>
      <c r="O37">
        <v>2</v>
      </c>
      <c r="P37">
        <v>11</v>
      </c>
      <c r="Q37">
        <f>SUM(Complete_data[[#This Row],[American]:[Indian]])</f>
        <v>1856</v>
      </c>
      <c r="R37">
        <f>_xlfn.RANK.EQ(Complete_data[[#This Row],[Restaurant count]],Complete_data[Restaurant count],0)</f>
        <v>40</v>
      </c>
      <c r="S37">
        <v>67</v>
      </c>
      <c r="T37">
        <v>83</v>
      </c>
      <c r="U37" s="1">
        <v>76.416666666666671</v>
      </c>
      <c r="V37" s="1">
        <f>_xlfn.RANK.EQ(Complete_data[[#This Row],[Max Temperature]],Complete_data[Max Temperature],0)</f>
        <v>21</v>
      </c>
      <c r="W37" s="1">
        <f>_xlfn.RANK.EQ(Complete_data[[#This Row],[Min Temperature]],Complete_data[Min Temperature],0)</f>
        <v>3</v>
      </c>
      <c r="X37" s="1">
        <f>_xlfn.RANK.EQ(Complete_data[[#This Row],[Avg Temperature]],Complete_data[Avg Temperature],0)</f>
        <v>3</v>
      </c>
      <c r="Y37">
        <v>3</v>
      </c>
      <c r="Z37">
        <v>0</v>
      </c>
      <c r="AA37">
        <v>0</v>
      </c>
      <c r="AB37">
        <v>0</v>
      </c>
      <c r="AC37">
        <v>1</v>
      </c>
      <c r="AD37">
        <v>0</v>
      </c>
      <c r="AE37">
        <v>0</v>
      </c>
      <c r="AF37">
        <v>1</v>
      </c>
      <c r="AG37">
        <v>0</v>
      </c>
      <c r="AH37">
        <v>0</v>
      </c>
      <c r="AI37">
        <f>SUM(Complete_data[[#This Row],[GENERAL ACUTE CARE]:[CHRONIC DISEASE]])</f>
        <v>5</v>
      </c>
      <c r="AJ37">
        <f>_xlfn.RANK.EQ(Complete_data[[#This Row],[Hospital Count]],Complete_data[Hospital Count],0)</f>
        <v>99</v>
      </c>
      <c r="AK37">
        <v>62.33</v>
      </c>
      <c r="AL37">
        <v>57.85</v>
      </c>
      <c r="AM37">
        <v>60.87</v>
      </c>
      <c r="AN37">
        <v>60.98</v>
      </c>
      <c r="AO37">
        <v>54.48</v>
      </c>
      <c r="AP37">
        <v>54.94</v>
      </c>
      <c r="AQ37">
        <v>57.5</v>
      </c>
      <c r="AR37">
        <v>56.72</v>
      </c>
      <c r="AS37">
        <v>47.42</v>
      </c>
      <c r="AT37">
        <v>45.28</v>
      </c>
      <c r="AU37">
        <f>AVERAGE(Complete_data[[#This Row],[2009]:[2019]])</f>
        <v>55.836999999999989</v>
      </c>
      <c r="AV37">
        <f>_xlfn.RANK.EQ(Complete_data[[#This Row],[Average crime rate]],Complete_data[Average crime rate],1)</f>
        <v>106</v>
      </c>
      <c r="AW37">
        <v>67</v>
      </c>
      <c r="AX37">
        <v>70</v>
      </c>
      <c r="AY37">
        <v>71</v>
      </c>
      <c r="AZ37">
        <v>76</v>
      </c>
      <c r="BA37">
        <v>79</v>
      </c>
      <c r="BB37">
        <v>82</v>
      </c>
      <c r="BC37">
        <v>83</v>
      </c>
      <c r="BD37">
        <v>83</v>
      </c>
      <c r="BE37">
        <v>82</v>
      </c>
      <c r="BF37">
        <v>79</v>
      </c>
      <c r="BG37">
        <v>74</v>
      </c>
      <c r="BH37">
        <v>71</v>
      </c>
    </row>
    <row r="38" spans="1:60" x14ac:dyDescent="0.3">
      <c r="A38" t="s">
        <v>161</v>
      </c>
      <c r="B38" t="s">
        <v>162</v>
      </c>
      <c r="C38" t="s">
        <v>163</v>
      </c>
      <c r="E38">
        <v>2812</v>
      </c>
      <c r="F38">
        <v>500</v>
      </c>
      <c r="G38">
        <v>420</v>
      </c>
      <c r="H38">
        <v>2190</v>
      </c>
      <c r="I38">
        <v>798</v>
      </c>
      <c r="J38">
        <v>795</v>
      </c>
      <c r="K38">
        <v>172</v>
      </c>
      <c r="L38">
        <v>420</v>
      </c>
      <c r="M38">
        <v>58</v>
      </c>
      <c r="N38">
        <v>1048</v>
      </c>
      <c r="O38">
        <v>25</v>
      </c>
      <c r="P38">
        <v>101</v>
      </c>
      <c r="Q38">
        <f>SUM(Complete_data[[#This Row],[American]:[Indian]])</f>
        <v>9339</v>
      </c>
      <c r="R38">
        <f>_xlfn.RANK.EQ(Complete_data[[#This Row],[Restaurant count]],Complete_data[Restaurant count],0)</f>
        <v>6</v>
      </c>
      <c r="S38">
        <v>44</v>
      </c>
      <c r="T38">
        <v>80</v>
      </c>
      <c r="U38" s="1">
        <v>63.666666666666664</v>
      </c>
      <c r="V38" s="1">
        <f>_xlfn.RANK.EQ(Complete_data[[#This Row],[Max Temperature]],Complete_data[Max Temperature],0)</f>
        <v>50</v>
      </c>
      <c r="W38" s="1">
        <f>_xlfn.RANK.EQ(Complete_data[[#This Row],[Min Temperature]],Complete_data[Min Temperature],0)</f>
        <v>37</v>
      </c>
      <c r="X38" s="1">
        <f>_xlfn.RANK.EQ(Complete_data[[#This Row],[Avg Temperature]],Complete_data[Avg Temperature],0)</f>
        <v>38</v>
      </c>
      <c r="Y38">
        <v>10</v>
      </c>
      <c r="Z38">
        <v>0</v>
      </c>
      <c r="AA38">
        <v>2</v>
      </c>
      <c r="AB38">
        <v>2</v>
      </c>
      <c r="AC38">
        <v>2</v>
      </c>
      <c r="AD38">
        <v>2</v>
      </c>
      <c r="AE38">
        <v>0</v>
      </c>
      <c r="AF38">
        <v>0</v>
      </c>
      <c r="AG38">
        <v>0</v>
      </c>
      <c r="AH38">
        <v>0</v>
      </c>
      <c r="AI38">
        <f>SUM(Complete_data[[#This Row],[GENERAL ACUTE CARE]:[CHRONIC DISEASE]])</f>
        <v>18</v>
      </c>
      <c r="AJ38">
        <f>_xlfn.RANK.EQ(Complete_data[[#This Row],[Hospital Count]],Complete_data[Hospital Count],0)</f>
        <v>19</v>
      </c>
      <c r="AK38">
        <v>73.91</v>
      </c>
      <c r="AL38">
        <v>68.31</v>
      </c>
      <c r="AM38">
        <v>85.45</v>
      </c>
      <c r="AN38">
        <v>79.36</v>
      </c>
      <c r="AO38">
        <v>73.42</v>
      </c>
      <c r="AP38">
        <v>69.91</v>
      </c>
      <c r="AQ38">
        <v>66.3</v>
      </c>
      <c r="AR38">
        <v>57.28</v>
      </c>
      <c r="AS38">
        <v>54.41</v>
      </c>
      <c r="AT38">
        <v>0</v>
      </c>
      <c r="AU38">
        <f>AVERAGE(Complete_data[[#This Row],[2009]:[2019]])</f>
        <v>62.834999999999994</v>
      </c>
      <c r="AV38">
        <f>_xlfn.RANK.EQ(Complete_data[[#This Row],[Average crime rate]],Complete_data[Average crime rate],1)</f>
        <v>127</v>
      </c>
      <c r="AW38">
        <v>44</v>
      </c>
      <c r="AX38">
        <v>49</v>
      </c>
      <c r="AY38">
        <v>56</v>
      </c>
      <c r="AZ38">
        <v>64</v>
      </c>
      <c r="BA38">
        <v>71</v>
      </c>
      <c r="BB38">
        <v>78</v>
      </c>
      <c r="BC38">
        <v>80</v>
      </c>
      <c r="BD38">
        <v>79</v>
      </c>
      <c r="BE38">
        <v>76</v>
      </c>
      <c r="BF38">
        <v>65</v>
      </c>
      <c r="BG38">
        <v>53</v>
      </c>
      <c r="BH38">
        <v>49</v>
      </c>
    </row>
    <row r="39" spans="1:60" x14ac:dyDescent="0.3">
      <c r="A39" t="s">
        <v>161</v>
      </c>
      <c r="B39" t="s">
        <v>164</v>
      </c>
      <c r="C39" t="s">
        <v>165</v>
      </c>
      <c r="E39">
        <v>134</v>
      </c>
      <c r="F39">
        <v>15</v>
      </c>
      <c r="G39">
        <v>18</v>
      </c>
      <c r="H39">
        <v>89</v>
      </c>
      <c r="I39">
        <v>35</v>
      </c>
      <c r="J39">
        <v>32</v>
      </c>
      <c r="K39">
        <v>8</v>
      </c>
      <c r="L39">
        <v>15</v>
      </c>
      <c r="M39">
        <v>2</v>
      </c>
      <c r="N39">
        <v>42</v>
      </c>
      <c r="P39">
        <v>1</v>
      </c>
      <c r="Q39">
        <f>SUM(Complete_data[[#This Row],[American]:[Indian]])</f>
        <v>391</v>
      </c>
      <c r="R39">
        <f>_xlfn.RANK.EQ(Complete_data[[#This Row],[Restaurant count]],Complete_data[Restaurant count],0)</f>
        <v>108</v>
      </c>
      <c r="S39">
        <v>47</v>
      </c>
      <c r="T39">
        <v>82</v>
      </c>
      <c r="U39" s="1">
        <v>66.166666666666671</v>
      </c>
      <c r="V39" s="1">
        <f>_xlfn.RANK.EQ(Complete_data[[#This Row],[Max Temperature]],Complete_data[Max Temperature],0)</f>
        <v>29</v>
      </c>
      <c r="W39" s="1">
        <f>_xlfn.RANK.EQ(Complete_data[[#This Row],[Min Temperature]],Complete_data[Min Temperature],0)</f>
        <v>26</v>
      </c>
      <c r="X39" s="1">
        <f>_xlfn.RANK.EQ(Complete_data[[#This Row],[Avg Temperature]],Complete_data[Avg Temperature],0)</f>
        <v>27</v>
      </c>
      <c r="Y39">
        <v>4</v>
      </c>
      <c r="Z39">
        <v>0</v>
      </c>
      <c r="AA39">
        <v>0</v>
      </c>
      <c r="AB39">
        <v>1</v>
      </c>
      <c r="AC39">
        <v>2</v>
      </c>
      <c r="AD39">
        <v>0</v>
      </c>
      <c r="AE39">
        <v>0</v>
      </c>
      <c r="AF39">
        <v>0</v>
      </c>
      <c r="AG39">
        <v>0</v>
      </c>
      <c r="AH39">
        <v>0</v>
      </c>
      <c r="AI39">
        <f>SUM(Complete_data[[#This Row],[GENERAL ACUTE CARE]:[CHRONIC DISEASE]])</f>
        <v>7</v>
      </c>
      <c r="AJ39">
        <f>_xlfn.RANK.EQ(Complete_data[[#This Row],[Hospital Count]],Complete_data[Hospital Count],0)</f>
        <v>80</v>
      </c>
      <c r="AK39">
        <v>85.31</v>
      </c>
      <c r="AL39">
        <v>78.62</v>
      </c>
      <c r="AM39">
        <v>69.77</v>
      </c>
      <c r="AN39">
        <v>62.64</v>
      </c>
      <c r="AO39">
        <v>67.28</v>
      </c>
      <c r="AP39">
        <v>70.27</v>
      </c>
      <c r="AQ39">
        <v>61.16</v>
      </c>
      <c r="AR39">
        <v>51.09</v>
      </c>
      <c r="AS39">
        <v>0</v>
      </c>
      <c r="AT39">
        <v>0</v>
      </c>
      <c r="AU39">
        <f>AVERAGE(Complete_data[[#This Row],[2009]:[2019]])</f>
        <v>54.613999999999997</v>
      </c>
      <c r="AV39">
        <f>_xlfn.RANK.EQ(Complete_data[[#This Row],[Average crime rate]],Complete_data[Average crime rate],1)</f>
        <v>103</v>
      </c>
      <c r="AW39">
        <v>47</v>
      </c>
      <c r="AX39">
        <v>52</v>
      </c>
      <c r="AY39">
        <v>59</v>
      </c>
      <c r="AZ39">
        <v>66</v>
      </c>
      <c r="BA39">
        <v>73</v>
      </c>
      <c r="BB39">
        <v>80</v>
      </c>
      <c r="BC39">
        <v>82</v>
      </c>
      <c r="BD39">
        <v>81</v>
      </c>
      <c r="BE39">
        <v>78</v>
      </c>
      <c r="BF39">
        <v>68</v>
      </c>
      <c r="BG39">
        <v>56</v>
      </c>
      <c r="BH39">
        <v>52</v>
      </c>
    </row>
    <row r="40" spans="1:60" x14ac:dyDescent="0.3">
      <c r="A40" t="s">
        <v>161</v>
      </c>
      <c r="B40" t="s">
        <v>166</v>
      </c>
      <c r="C40" t="s">
        <v>167</v>
      </c>
      <c r="E40">
        <v>97</v>
      </c>
      <c r="F40">
        <v>10</v>
      </c>
      <c r="G40">
        <v>7</v>
      </c>
      <c r="H40">
        <v>47</v>
      </c>
      <c r="I40">
        <v>14</v>
      </c>
      <c r="J40">
        <v>20</v>
      </c>
      <c r="K40">
        <v>4</v>
      </c>
      <c r="L40">
        <v>11</v>
      </c>
      <c r="M40">
        <v>1</v>
      </c>
      <c r="N40">
        <v>26</v>
      </c>
      <c r="P40">
        <v>4</v>
      </c>
      <c r="Q40">
        <f>SUM(Complete_data[[#This Row],[American]:[Indian]])</f>
        <v>241</v>
      </c>
      <c r="R40">
        <f>_xlfn.RANK.EQ(Complete_data[[#This Row],[Restaurant count]],Complete_data[Restaurant count],0)</f>
        <v>125</v>
      </c>
      <c r="S40">
        <v>46</v>
      </c>
      <c r="T40">
        <v>81</v>
      </c>
      <c r="U40" s="1">
        <v>64.5</v>
      </c>
      <c r="V40" s="1">
        <f>_xlfn.RANK.EQ(Complete_data[[#This Row],[Max Temperature]],Complete_data[Max Temperature],0)</f>
        <v>39</v>
      </c>
      <c r="W40" s="1">
        <f>_xlfn.RANK.EQ(Complete_data[[#This Row],[Min Temperature]],Complete_data[Min Temperature],0)</f>
        <v>31</v>
      </c>
      <c r="X40" s="1">
        <f>_xlfn.RANK.EQ(Complete_data[[#This Row],[Avg Temperature]],Complete_data[Avg Temperature],0)</f>
        <v>34</v>
      </c>
      <c r="Y40">
        <v>4</v>
      </c>
      <c r="Z40">
        <v>0</v>
      </c>
      <c r="AA40">
        <v>0</v>
      </c>
      <c r="AB40">
        <v>0</v>
      </c>
      <c r="AC40">
        <v>2</v>
      </c>
      <c r="AD40">
        <v>1</v>
      </c>
      <c r="AE40">
        <v>0</v>
      </c>
      <c r="AF40">
        <v>0</v>
      </c>
      <c r="AG40">
        <v>0</v>
      </c>
      <c r="AH40">
        <v>0</v>
      </c>
      <c r="AI40">
        <f>SUM(Complete_data[[#This Row],[GENERAL ACUTE CARE]:[CHRONIC DISEASE]])</f>
        <v>7</v>
      </c>
      <c r="AJ40">
        <f>_xlfn.RANK.EQ(Complete_data[[#This Row],[Hospital Count]],Complete_data[Hospital Count],0)</f>
        <v>80</v>
      </c>
      <c r="AK40">
        <v>85.61</v>
      </c>
      <c r="AL40">
        <v>90.4</v>
      </c>
      <c r="AM40">
        <v>91.14</v>
      </c>
      <c r="AN40">
        <v>79.040000000000006</v>
      </c>
      <c r="AO40">
        <v>81.45</v>
      </c>
      <c r="AP40">
        <v>0</v>
      </c>
      <c r="AQ40">
        <v>0</v>
      </c>
      <c r="AR40">
        <v>0</v>
      </c>
      <c r="AS40">
        <v>0</v>
      </c>
      <c r="AT40">
        <v>0</v>
      </c>
      <c r="AU40">
        <f>AVERAGE(Complete_data[[#This Row],[2009]:[2019]])</f>
        <v>42.763999999999996</v>
      </c>
      <c r="AV40">
        <f>_xlfn.RANK.EQ(Complete_data[[#This Row],[Average crime rate]],Complete_data[Average crime rate],1)</f>
        <v>55</v>
      </c>
      <c r="AW40">
        <v>46</v>
      </c>
      <c r="AX40">
        <v>51</v>
      </c>
      <c r="AY40">
        <v>57</v>
      </c>
      <c r="AZ40">
        <v>64</v>
      </c>
      <c r="BA40">
        <v>72</v>
      </c>
      <c r="BB40">
        <v>79</v>
      </c>
      <c r="BC40">
        <v>81</v>
      </c>
      <c r="BD40">
        <v>80</v>
      </c>
      <c r="BE40">
        <v>75</v>
      </c>
      <c r="BF40">
        <v>65</v>
      </c>
      <c r="BG40">
        <v>54</v>
      </c>
      <c r="BH40">
        <v>50</v>
      </c>
    </row>
    <row r="41" spans="1:60" x14ac:dyDescent="0.3">
      <c r="A41" t="s">
        <v>161</v>
      </c>
      <c r="B41" t="s">
        <v>168</v>
      </c>
      <c r="C41" t="s">
        <v>169</v>
      </c>
      <c r="E41">
        <v>337</v>
      </c>
      <c r="F41">
        <v>37</v>
      </c>
      <c r="G41">
        <v>33</v>
      </c>
      <c r="H41">
        <v>137</v>
      </c>
      <c r="I41">
        <v>72</v>
      </c>
      <c r="J41">
        <v>56</v>
      </c>
      <c r="K41">
        <v>15</v>
      </c>
      <c r="L41">
        <v>42</v>
      </c>
      <c r="M41">
        <v>3</v>
      </c>
      <c r="N41">
        <v>82</v>
      </c>
      <c r="P41">
        <v>6</v>
      </c>
      <c r="Q41">
        <f>SUM(Complete_data[[#This Row],[American]:[Indian]])</f>
        <v>820</v>
      </c>
      <c r="R41">
        <f>_xlfn.RANK.EQ(Complete_data[[#This Row],[Restaurant count]],Complete_data[Restaurant count],0)</f>
        <v>75</v>
      </c>
      <c r="S41">
        <v>50</v>
      </c>
      <c r="T41">
        <v>82</v>
      </c>
      <c r="U41" s="1">
        <v>67.416666666666671</v>
      </c>
      <c r="V41" s="1">
        <f>_xlfn.RANK.EQ(Complete_data[[#This Row],[Max Temperature]],Complete_data[Max Temperature],0)</f>
        <v>29</v>
      </c>
      <c r="W41" s="1">
        <f>_xlfn.RANK.EQ(Complete_data[[#This Row],[Min Temperature]],Complete_data[Min Temperature],0)</f>
        <v>19</v>
      </c>
      <c r="X41" s="1">
        <f>_xlfn.RANK.EQ(Complete_data[[#This Row],[Avg Temperature]],Complete_data[Avg Temperature],0)</f>
        <v>19</v>
      </c>
      <c r="Y41">
        <v>3</v>
      </c>
      <c r="Z41">
        <v>0</v>
      </c>
      <c r="AA41">
        <v>0</v>
      </c>
      <c r="AB41">
        <v>2</v>
      </c>
      <c r="AC41">
        <v>3</v>
      </c>
      <c r="AD41">
        <v>1</v>
      </c>
      <c r="AE41">
        <v>0</v>
      </c>
      <c r="AF41">
        <v>0</v>
      </c>
      <c r="AG41">
        <v>0</v>
      </c>
      <c r="AH41">
        <v>0</v>
      </c>
      <c r="AI41">
        <f>SUM(Complete_data[[#This Row],[GENERAL ACUTE CARE]:[CHRONIC DISEASE]])</f>
        <v>9</v>
      </c>
      <c r="AJ41">
        <f>_xlfn.RANK.EQ(Complete_data[[#This Row],[Hospital Count]],Complete_data[Hospital Count],0)</f>
        <v>61</v>
      </c>
      <c r="AK41">
        <v>55.62</v>
      </c>
      <c r="AL41">
        <v>47.87</v>
      </c>
      <c r="AM41">
        <v>46.4</v>
      </c>
      <c r="AN41">
        <v>39.94</v>
      </c>
      <c r="AO41">
        <v>39.71</v>
      </c>
      <c r="AP41">
        <v>39.99</v>
      </c>
      <c r="AQ41">
        <v>43.4</v>
      </c>
      <c r="AR41">
        <v>39.01</v>
      </c>
      <c r="AS41">
        <v>28.7</v>
      </c>
      <c r="AT41">
        <v>0</v>
      </c>
      <c r="AU41">
        <f>AVERAGE(Complete_data[[#This Row],[2009]:[2019]])</f>
        <v>38.063999999999993</v>
      </c>
      <c r="AV41">
        <f>_xlfn.RANK.EQ(Complete_data[[#This Row],[Average crime rate]],Complete_data[Average crime rate],1)</f>
        <v>41</v>
      </c>
      <c r="AW41">
        <v>50</v>
      </c>
      <c r="AX41">
        <v>55</v>
      </c>
      <c r="AY41">
        <v>60</v>
      </c>
      <c r="AZ41">
        <v>67</v>
      </c>
      <c r="BA41">
        <v>74</v>
      </c>
      <c r="BB41">
        <v>80</v>
      </c>
      <c r="BC41">
        <v>82</v>
      </c>
      <c r="BD41">
        <v>81</v>
      </c>
      <c r="BE41">
        <v>78</v>
      </c>
      <c r="BF41">
        <v>69</v>
      </c>
      <c r="BG41">
        <v>58</v>
      </c>
      <c r="BH41">
        <v>55</v>
      </c>
    </row>
    <row r="42" spans="1:60" x14ac:dyDescent="0.3">
      <c r="A42" t="s">
        <v>170</v>
      </c>
      <c r="B42" t="s">
        <v>171</v>
      </c>
      <c r="C42" t="s">
        <v>172</v>
      </c>
      <c r="E42">
        <v>317</v>
      </c>
      <c r="F42">
        <v>50</v>
      </c>
      <c r="G42">
        <v>42</v>
      </c>
      <c r="H42">
        <v>162</v>
      </c>
      <c r="I42">
        <v>87</v>
      </c>
      <c r="J42">
        <v>96</v>
      </c>
      <c r="K42">
        <v>19</v>
      </c>
      <c r="L42">
        <v>44</v>
      </c>
      <c r="M42">
        <v>4</v>
      </c>
      <c r="N42">
        <v>97</v>
      </c>
      <c r="P42">
        <v>8</v>
      </c>
      <c r="Q42">
        <f>SUM(Complete_data[[#This Row],[American]:[Indian]])</f>
        <v>926</v>
      </c>
      <c r="R42">
        <f>_xlfn.RANK.EQ(Complete_data[[#This Row],[Restaurant count]],Complete_data[Restaurant count],0)</f>
        <v>69</v>
      </c>
      <c r="S42">
        <v>23</v>
      </c>
      <c r="T42">
        <v>78</v>
      </c>
      <c r="U42" s="1">
        <v>52.166666666666664</v>
      </c>
      <c r="V42" s="1">
        <f>_xlfn.RANK.EQ(Complete_data[[#This Row],[Max Temperature]],Complete_data[Max Temperature],0)</f>
        <v>71</v>
      </c>
      <c r="W42" s="1">
        <f>_xlfn.RANK.EQ(Complete_data[[#This Row],[Min Temperature]],Complete_data[Min Temperature],0)</f>
        <v>134</v>
      </c>
      <c r="X42" s="1">
        <f>_xlfn.RANK.EQ(Complete_data[[#This Row],[Avg Temperature]],Complete_data[Avg Temperature],0)</f>
        <v>101</v>
      </c>
      <c r="Y42">
        <v>4</v>
      </c>
      <c r="Z42">
        <v>0</v>
      </c>
      <c r="AA42">
        <v>0</v>
      </c>
      <c r="AB42">
        <v>1</v>
      </c>
      <c r="AC42">
        <v>1</v>
      </c>
      <c r="AD42">
        <v>0</v>
      </c>
      <c r="AE42">
        <v>0</v>
      </c>
      <c r="AF42">
        <v>1</v>
      </c>
      <c r="AG42">
        <v>0</v>
      </c>
      <c r="AH42">
        <v>0</v>
      </c>
      <c r="AI42">
        <f>SUM(Complete_data[[#This Row],[GENERAL ACUTE CARE]:[CHRONIC DISEASE]])</f>
        <v>7</v>
      </c>
      <c r="AJ42">
        <f>_xlfn.RANK.EQ(Complete_data[[#This Row],[Hospital Count]],Complete_data[Hospital Count],0)</f>
        <v>80</v>
      </c>
      <c r="AK42">
        <v>49.85</v>
      </c>
      <c r="AL42">
        <v>53.86</v>
      </c>
      <c r="AM42">
        <v>57.9</v>
      </c>
      <c r="AN42">
        <v>54.75</v>
      </c>
      <c r="AO42">
        <v>53.4</v>
      </c>
      <c r="AP42">
        <v>48.54</v>
      </c>
      <c r="AQ42">
        <v>47.44</v>
      </c>
      <c r="AR42">
        <v>51.03</v>
      </c>
      <c r="AS42">
        <v>0</v>
      </c>
      <c r="AT42">
        <v>48.27</v>
      </c>
      <c r="AU42">
        <f>AVERAGE(Complete_data[[#This Row],[2009]:[2019]])</f>
        <v>46.503999999999998</v>
      </c>
      <c r="AV42">
        <f>_xlfn.RANK.EQ(Complete_data[[#This Row],[Average crime rate]],Complete_data[Average crime rate],1)</f>
        <v>74</v>
      </c>
      <c r="AW42">
        <v>23</v>
      </c>
      <c r="AX42">
        <v>26</v>
      </c>
      <c r="AY42">
        <v>41</v>
      </c>
      <c r="AZ42">
        <v>53</v>
      </c>
      <c r="BA42">
        <v>63</v>
      </c>
      <c r="BB42">
        <v>74</v>
      </c>
      <c r="BC42">
        <v>78</v>
      </c>
      <c r="BD42">
        <v>75</v>
      </c>
      <c r="BE42">
        <v>68</v>
      </c>
      <c r="BF42">
        <v>55</v>
      </c>
      <c r="BG42">
        <v>40</v>
      </c>
      <c r="BH42">
        <v>30</v>
      </c>
    </row>
    <row r="43" spans="1:60" x14ac:dyDescent="0.3">
      <c r="A43" t="s">
        <v>170</v>
      </c>
      <c r="B43" t="s">
        <v>173</v>
      </c>
      <c r="C43" t="s">
        <v>174</v>
      </c>
      <c r="E43">
        <v>60</v>
      </c>
      <c r="F43">
        <v>9</v>
      </c>
      <c r="G43">
        <v>7</v>
      </c>
      <c r="H43">
        <v>26</v>
      </c>
      <c r="I43">
        <v>15</v>
      </c>
      <c r="J43">
        <v>14</v>
      </c>
      <c r="L43">
        <v>11</v>
      </c>
      <c r="N43">
        <v>18</v>
      </c>
      <c r="P43">
        <v>1</v>
      </c>
      <c r="Q43">
        <f>SUM(Complete_data[[#This Row],[American]:[Indian]])</f>
        <v>161</v>
      </c>
      <c r="R43">
        <f>_xlfn.RANK.EQ(Complete_data[[#This Row],[Restaurant count]],Complete_data[Restaurant count],0)</f>
        <v>134</v>
      </c>
      <c r="S43">
        <v>20</v>
      </c>
      <c r="T43">
        <v>76</v>
      </c>
      <c r="U43" s="1">
        <v>49.25</v>
      </c>
      <c r="V43" s="1">
        <f>_xlfn.RANK.EQ(Complete_data[[#This Row],[Max Temperature]],Complete_data[Max Temperature],0)</f>
        <v>82</v>
      </c>
      <c r="W43" s="1">
        <f>_xlfn.RANK.EQ(Complete_data[[#This Row],[Min Temperature]],Complete_data[Min Temperature],0)</f>
        <v>137</v>
      </c>
      <c r="X43" s="1">
        <f>_xlfn.RANK.EQ(Complete_data[[#This Row],[Avg Temperature]],Complete_data[Avg Temperature],0)</f>
        <v>122</v>
      </c>
      <c r="Y43">
        <v>2</v>
      </c>
      <c r="Z43">
        <v>0</v>
      </c>
      <c r="AA43">
        <v>0</v>
      </c>
      <c r="AB43">
        <v>0</v>
      </c>
      <c r="AC43">
        <v>0</v>
      </c>
      <c r="AD43">
        <v>0</v>
      </c>
      <c r="AE43">
        <v>0</v>
      </c>
      <c r="AF43">
        <v>0</v>
      </c>
      <c r="AG43">
        <v>0</v>
      </c>
      <c r="AH43">
        <v>0</v>
      </c>
      <c r="AI43">
        <f>SUM(Complete_data[[#This Row],[GENERAL ACUTE CARE]:[CHRONIC DISEASE]])</f>
        <v>2</v>
      </c>
      <c r="AJ43">
        <f>_xlfn.RANK.EQ(Complete_data[[#This Row],[Hospital Count]],Complete_data[Hospital Count],0)</f>
        <v>124</v>
      </c>
      <c r="AK43">
        <v>38.68</v>
      </c>
      <c r="AL43">
        <v>40.770000000000003</v>
      </c>
      <c r="AM43">
        <v>46.4</v>
      </c>
      <c r="AN43">
        <v>45.16</v>
      </c>
      <c r="AO43">
        <v>48.25</v>
      </c>
      <c r="AP43">
        <v>42.16</v>
      </c>
      <c r="AQ43">
        <v>46.9</v>
      </c>
      <c r="AR43">
        <v>47.5</v>
      </c>
      <c r="AS43">
        <v>0</v>
      </c>
      <c r="AT43">
        <v>43.53</v>
      </c>
      <c r="AU43">
        <f>AVERAGE(Complete_data[[#This Row],[2009]:[2019]])</f>
        <v>39.934999999999988</v>
      </c>
      <c r="AV43">
        <f>_xlfn.RANK.EQ(Complete_data[[#This Row],[Average crime rate]],Complete_data[Average crime rate],1)</f>
        <v>47</v>
      </c>
      <c r="AW43">
        <v>20</v>
      </c>
      <c r="AX43">
        <v>23</v>
      </c>
      <c r="AY43">
        <v>38</v>
      </c>
      <c r="AZ43">
        <v>50</v>
      </c>
      <c r="BA43">
        <v>61</v>
      </c>
      <c r="BB43">
        <v>72</v>
      </c>
      <c r="BC43">
        <v>76</v>
      </c>
      <c r="BD43">
        <v>72</v>
      </c>
      <c r="BE43">
        <v>66</v>
      </c>
      <c r="BF43">
        <v>51</v>
      </c>
      <c r="BG43">
        <v>36</v>
      </c>
      <c r="BH43">
        <v>26</v>
      </c>
    </row>
    <row r="44" spans="1:60" x14ac:dyDescent="0.3">
      <c r="A44" t="s">
        <v>175</v>
      </c>
      <c r="B44" t="s">
        <v>176</v>
      </c>
      <c r="C44" t="s">
        <v>177</v>
      </c>
      <c r="E44">
        <v>264</v>
      </c>
      <c r="F44">
        <v>50</v>
      </c>
      <c r="G44">
        <v>27</v>
      </c>
      <c r="H44">
        <v>170</v>
      </c>
      <c r="I44">
        <v>80</v>
      </c>
      <c r="J44">
        <v>69</v>
      </c>
      <c r="K44">
        <v>9</v>
      </c>
      <c r="L44">
        <v>41</v>
      </c>
      <c r="M44">
        <v>2</v>
      </c>
      <c r="N44">
        <v>83</v>
      </c>
      <c r="O44">
        <v>3</v>
      </c>
      <c r="P44">
        <v>5</v>
      </c>
      <c r="Q44">
        <f>SUM(Complete_data[[#This Row],[American]:[Indian]])</f>
        <v>803</v>
      </c>
      <c r="R44">
        <f>_xlfn.RANK.EQ(Complete_data[[#This Row],[Restaurant count]],Complete_data[Restaurant count],0)</f>
        <v>77</v>
      </c>
      <c r="S44">
        <v>31</v>
      </c>
      <c r="T44">
        <v>79</v>
      </c>
      <c r="U44" s="1">
        <v>53.5</v>
      </c>
      <c r="V44" s="1">
        <f>_xlfn.RANK.EQ(Complete_data[[#This Row],[Max Temperature]],Complete_data[Max Temperature],0)</f>
        <v>61</v>
      </c>
      <c r="W44" s="1">
        <f>_xlfn.RANK.EQ(Complete_data[[#This Row],[Min Temperature]],Complete_data[Min Temperature],0)</f>
        <v>83</v>
      </c>
      <c r="X44" s="1">
        <f>_xlfn.RANK.EQ(Complete_data[[#This Row],[Avg Temperature]],Complete_data[Avg Temperature],0)</f>
        <v>87</v>
      </c>
      <c r="Y44">
        <v>5</v>
      </c>
      <c r="Z44">
        <v>0</v>
      </c>
      <c r="AA44">
        <v>0</v>
      </c>
      <c r="AB44">
        <v>0</v>
      </c>
      <c r="AC44">
        <v>1</v>
      </c>
      <c r="AD44">
        <v>1</v>
      </c>
      <c r="AE44">
        <v>0</v>
      </c>
      <c r="AF44">
        <v>1</v>
      </c>
      <c r="AG44">
        <v>0</v>
      </c>
      <c r="AH44">
        <v>0</v>
      </c>
      <c r="AI44">
        <f>SUM(Complete_data[[#This Row],[GENERAL ACUTE CARE]:[CHRONIC DISEASE]])</f>
        <v>8</v>
      </c>
      <c r="AJ44">
        <f>_xlfn.RANK.EQ(Complete_data[[#This Row],[Hospital Count]],Complete_data[Hospital Count],0)</f>
        <v>69</v>
      </c>
      <c r="AK44">
        <v>30.76</v>
      </c>
      <c r="AL44">
        <v>30.58</v>
      </c>
      <c r="AM44">
        <v>28.33</v>
      </c>
      <c r="AN44">
        <v>28.19</v>
      </c>
      <c r="AO44">
        <v>25.14</v>
      </c>
      <c r="AP44">
        <v>24.04</v>
      </c>
      <c r="AQ44">
        <v>26.06</v>
      </c>
      <c r="AR44">
        <v>27.42</v>
      </c>
      <c r="AS44">
        <v>23.13</v>
      </c>
      <c r="AT44">
        <v>18.7</v>
      </c>
      <c r="AU44">
        <f>AVERAGE(Complete_data[[#This Row],[2009]:[2019]])</f>
        <v>26.234999999999996</v>
      </c>
      <c r="AV44">
        <f>_xlfn.RANK.EQ(Complete_data[[#This Row],[Average crime rate]],Complete_data[Average crime rate],1)</f>
        <v>14</v>
      </c>
      <c r="AW44">
        <v>31</v>
      </c>
      <c r="AX44">
        <v>37</v>
      </c>
      <c r="AY44">
        <v>46</v>
      </c>
      <c r="AZ44">
        <v>51</v>
      </c>
      <c r="BA44">
        <v>60</v>
      </c>
      <c r="BB44">
        <v>69</v>
      </c>
      <c r="BC44">
        <v>79</v>
      </c>
      <c r="BD44">
        <v>77</v>
      </c>
      <c r="BE44">
        <v>67</v>
      </c>
      <c r="BF44">
        <v>53</v>
      </c>
      <c r="BG44">
        <v>40</v>
      </c>
      <c r="BH44">
        <v>32</v>
      </c>
    </row>
    <row r="45" spans="1:60" x14ac:dyDescent="0.3">
      <c r="A45" t="s">
        <v>175</v>
      </c>
      <c r="B45" t="s">
        <v>178</v>
      </c>
      <c r="C45" t="s">
        <v>179</v>
      </c>
      <c r="E45">
        <v>38</v>
      </c>
      <c r="F45">
        <v>11</v>
      </c>
      <c r="G45">
        <v>8</v>
      </c>
      <c r="H45">
        <v>33</v>
      </c>
      <c r="I45">
        <v>19</v>
      </c>
      <c r="J45">
        <v>10</v>
      </c>
      <c r="L45">
        <v>6</v>
      </c>
      <c r="M45">
        <v>2</v>
      </c>
      <c r="N45">
        <v>16</v>
      </c>
      <c r="P45">
        <v>1</v>
      </c>
      <c r="Q45">
        <f>SUM(Complete_data[[#This Row],[American]:[Indian]])</f>
        <v>144</v>
      </c>
      <c r="R45">
        <f>_xlfn.RANK.EQ(Complete_data[[#This Row],[Restaurant count]],Complete_data[Restaurant count],0)</f>
        <v>136</v>
      </c>
      <c r="S45">
        <v>26</v>
      </c>
      <c r="T45">
        <v>73</v>
      </c>
      <c r="U45" s="1">
        <v>48</v>
      </c>
      <c r="V45" s="1">
        <f>_xlfn.RANK.EQ(Complete_data[[#This Row],[Max Temperature]],Complete_data[Max Temperature],0)</f>
        <v>116</v>
      </c>
      <c r="W45" s="1">
        <f>_xlfn.RANK.EQ(Complete_data[[#This Row],[Min Temperature]],Complete_data[Min Temperature],0)</f>
        <v>108</v>
      </c>
      <c r="X45" s="1">
        <f>_xlfn.RANK.EQ(Complete_data[[#This Row],[Avg Temperature]],Complete_data[Avg Temperature],0)</f>
        <v>128</v>
      </c>
      <c r="Y45">
        <v>1</v>
      </c>
      <c r="Z45">
        <v>0</v>
      </c>
      <c r="AA45">
        <v>0</v>
      </c>
      <c r="AB45">
        <v>0</v>
      </c>
      <c r="AC45">
        <v>1</v>
      </c>
      <c r="AD45">
        <v>0</v>
      </c>
      <c r="AE45">
        <v>0</v>
      </c>
      <c r="AF45">
        <v>0</v>
      </c>
      <c r="AG45">
        <v>0</v>
      </c>
      <c r="AH45">
        <v>0</v>
      </c>
      <c r="AI45">
        <f>SUM(Complete_data[[#This Row],[GENERAL ACUTE CARE]:[CHRONIC DISEASE]])</f>
        <v>2</v>
      </c>
      <c r="AJ45">
        <f>_xlfn.RANK.EQ(Complete_data[[#This Row],[Hospital Count]],Complete_data[Hospital Count],0)</f>
        <v>124</v>
      </c>
      <c r="AK45">
        <v>32.619999999999997</v>
      </c>
      <c r="AL45">
        <v>33.74</v>
      </c>
      <c r="AM45">
        <v>35.200000000000003</v>
      </c>
      <c r="AN45">
        <v>29.85</v>
      </c>
      <c r="AO45">
        <v>36.01</v>
      </c>
      <c r="AP45">
        <v>0</v>
      </c>
      <c r="AQ45">
        <v>33.799999999999997</v>
      </c>
      <c r="AR45">
        <v>33.909999999999997</v>
      </c>
      <c r="AS45">
        <v>32.21</v>
      </c>
      <c r="AT45">
        <v>27.71</v>
      </c>
      <c r="AU45">
        <f>AVERAGE(Complete_data[[#This Row],[2009]:[2019]])</f>
        <v>29.504999999999995</v>
      </c>
      <c r="AV45">
        <f>_xlfn.RANK.EQ(Complete_data[[#This Row],[Average crime rate]],Complete_data[Average crime rate],1)</f>
        <v>18</v>
      </c>
      <c r="AW45">
        <v>26</v>
      </c>
      <c r="AX45">
        <v>30</v>
      </c>
      <c r="AY45">
        <v>40</v>
      </c>
      <c r="AZ45">
        <v>47</v>
      </c>
      <c r="BA45">
        <v>54</v>
      </c>
      <c r="BB45">
        <v>64</v>
      </c>
      <c r="BC45">
        <v>73</v>
      </c>
      <c r="BD45">
        <v>71</v>
      </c>
      <c r="BE45">
        <v>61</v>
      </c>
      <c r="BF45">
        <v>48</v>
      </c>
      <c r="BG45">
        <v>36</v>
      </c>
      <c r="BH45">
        <v>26</v>
      </c>
    </row>
    <row r="46" spans="1:60" x14ac:dyDescent="0.3">
      <c r="A46" t="s">
        <v>180</v>
      </c>
      <c r="B46" t="s">
        <v>181</v>
      </c>
      <c r="C46" t="s">
        <v>182</v>
      </c>
      <c r="E46">
        <v>3487</v>
      </c>
      <c r="F46">
        <v>686</v>
      </c>
      <c r="G46">
        <v>551</v>
      </c>
      <c r="H46">
        <v>4068</v>
      </c>
      <c r="I46">
        <v>1684</v>
      </c>
      <c r="J46">
        <v>1166</v>
      </c>
      <c r="K46">
        <v>149</v>
      </c>
      <c r="L46">
        <v>555</v>
      </c>
      <c r="M46">
        <v>66</v>
      </c>
      <c r="N46">
        <v>1470</v>
      </c>
      <c r="O46">
        <v>46</v>
      </c>
      <c r="P46">
        <v>126</v>
      </c>
      <c r="Q46">
        <f>SUM(Complete_data[[#This Row],[American]:[Indian]])</f>
        <v>14054</v>
      </c>
      <c r="R46">
        <f>_xlfn.RANK.EQ(Complete_data[[#This Row],[Restaurant count]],Complete_data[Restaurant count],0)</f>
        <v>3</v>
      </c>
      <c r="S46">
        <v>25</v>
      </c>
      <c r="T46">
        <v>76</v>
      </c>
      <c r="U46" s="1">
        <v>51</v>
      </c>
      <c r="V46" s="1">
        <f>_xlfn.RANK.EQ(Complete_data[[#This Row],[Max Temperature]],Complete_data[Max Temperature],0)</f>
        <v>82</v>
      </c>
      <c r="W46" s="1">
        <f>_xlfn.RANK.EQ(Complete_data[[#This Row],[Min Temperature]],Complete_data[Min Temperature],0)</f>
        <v>118</v>
      </c>
      <c r="X46" s="1">
        <f>_xlfn.RANK.EQ(Complete_data[[#This Row],[Avg Temperature]],Complete_data[Avg Temperature],0)</f>
        <v>109</v>
      </c>
      <c r="Y46">
        <v>28</v>
      </c>
      <c r="Z46">
        <v>0</v>
      </c>
      <c r="AA46">
        <v>3</v>
      </c>
      <c r="AB46">
        <v>3</v>
      </c>
      <c r="AC46">
        <v>3</v>
      </c>
      <c r="AD46">
        <v>2</v>
      </c>
      <c r="AE46">
        <v>0</v>
      </c>
      <c r="AF46">
        <v>1</v>
      </c>
      <c r="AG46">
        <v>0</v>
      </c>
      <c r="AH46">
        <v>0</v>
      </c>
      <c r="AI46">
        <f>SUM(Complete_data[[#This Row],[GENERAL ACUTE CARE]:[CHRONIC DISEASE]])</f>
        <v>40</v>
      </c>
      <c r="AJ46">
        <f>_xlfn.RANK.EQ(Complete_data[[#This Row],[Hospital Count]],Complete_data[Hospital Count],0)</f>
        <v>3</v>
      </c>
      <c r="AK46">
        <v>42.49</v>
      </c>
      <c r="AL46">
        <v>42.36</v>
      </c>
      <c r="AM46">
        <v>43.73</v>
      </c>
      <c r="AN46">
        <v>41.53</v>
      </c>
      <c r="AO46">
        <v>0</v>
      </c>
      <c r="AP46">
        <v>40.270000000000003</v>
      </c>
      <c r="AQ46">
        <v>38.700000000000003</v>
      </c>
      <c r="AR46">
        <v>43.82</v>
      </c>
      <c r="AS46">
        <v>42.04</v>
      </c>
      <c r="AT46">
        <v>39.409999999999997</v>
      </c>
      <c r="AU46">
        <f>AVERAGE(Complete_data[[#This Row],[2009]:[2019]])</f>
        <v>37.435000000000002</v>
      </c>
      <c r="AV46">
        <f>_xlfn.RANK.EQ(Complete_data[[#This Row],[Average crime rate]],Complete_data[Average crime rate],1)</f>
        <v>39</v>
      </c>
      <c r="AW46">
        <v>25</v>
      </c>
      <c r="AX46">
        <v>27</v>
      </c>
      <c r="AY46">
        <v>39</v>
      </c>
      <c r="AZ46">
        <v>49</v>
      </c>
      <c r="BA46">
        <v>60</v>
      </c>
      <c r="BB46">
        <v>70</v>
      </c>
      <c r="BC46">
        <v>76</v>
      </c>
      <c r="BD46">
        <v>74</v>
      </c>
      <c r="BE46">
        <v>67</v>
      </c>
      <c r="BF46">
        <v>54</v>
      </c>
      <c r="BG46">
        <v>40</v>
      </c>
      <c r="BH46">
        <v>31</v>
      </c>
    </row>
    <row r="47" spans="1:60" x14ac:dyDescent="0.3">
      <c r="A47" t="s">
        <v>180</v>
      </c>
      <c r="B47" t="s">
        <v>183</v>
      </c>
      <c r="C47" t="s">
        <v>184</v>
      </c>
      <c r="E47">
        <v>219</v>
      </c>
      <c r="F47">
        <v>22</v>
      </c>
      <c r="G47">
        <v>28</v>
      </c>
      <c r="H47">
        <v>100</v>
      </c>
      <c r="I47">
        <v>69</v>
      </c>
      <c r="J47">
        <v>36</v>
      </c>
      <c r="K47">
        <v>7</v>
      </c>
      <c r="L47">
        <v>36</v>
      </c>
      <c r="M47">
        <v>3</v>
      </c>
      <c r="N47">
        <v>34</v>
      </c>
      <c r="P47">
        <v>3</v>
      </c>
      <c r="Q47">
        <f>SUM(Complete_data[[#This Row],[American]:[Indian]])</f>
        <v>557</v>
      </c>
      <c r="R47">
        <f>_xlfn.RANK.EQ(Complete_data[[#This Row],[Restaurant count]],Complete_data[Restaurant count],0)</f>
        <v>89</v>
      </c>
      <c r="S47">
        <v>25</v>
      </c>
      <c r="T47">
        <v>77</v>
      </c>
      <c r="U47" s="1">
        <v>52.75</v>
      </c>
      <c r="V47" s="1">
        <f>_xlfn.RANK.EQ(Complete_data[[#This Row],[Max Temperature]],Complete_data[Max Temperature],0)</f>
        <v>78</v>
      </c>
      <c r="W47" s="1">
        <f>_xlfn.RANK.EQ(Complete_data[[#This Row],[Min Temperature]],Complete_data[Min Temperature],0)</f>
        <v>118</v>
      </c>
      <c r="X47" s="1">
        <f>_xlfn.RANK.EQ(Complete_data[[#This Row],[Avg Temperature]],Complete_data[Avg Temperature],0)</f>
        <v>94</v>
      </c>
      <c r="Y47">
        <v>3</v>
      </c>
      <c r="Z47">
        <v>0</v>
      </c>
      <c r="AA47">
        <v>0</v>
      </c>
      <c r="AB47">
        <v>1</v>
      </c>
      <c r="AC47">
        <v>0</v>
      </c>
      <c r="AD47">
        <v>0</v>
      </c>
      <c r="AE47">
        <v>0</v>
      </c>
      <c r="AF47">
        <v>0</v>
      </c>
      <c r="AG47">
        <v>0</v>
      </c>
      <c r="AH47">
        <v>0</v>
      </c>
      <c r="AI47">
        <f>SUM(Complete_data[[#This Row],[GENERAL ACUTE CARE]:[CHRONIC DISEASE]])</f>
        <v>4</v>
      </c>
      <c r="AJ47">
        <f>_xlfn.RANK.EQ(Complete_data[[#This Row],[Hospital Count]],Complete_data[Hospital Count],0)</f>
        <v>108</v>
      </c>
      <c r="AK47">
        <v>47.2</v>
      </c>
      <c r="AL47">
        <v>53.27</v>
      </c>
      <c r="AM47">
        <v>54.76</v>
      </c>
      <c r="AN47">
        <v>51.98</v>
      </c>
      <c r="AO47">
        <v>45.16</v>
      </c>
      <c r="AP47">
        <v>48.39</v>
      </c>
      <c r="AQ47">
        <v>45.3</v>
      </c>
      <c r="AR47">
        <v>50.12</v>
      </c>
      <c r="AS47">
        <v>48.13</v>
      </c>
      <c r="AT47">
        <v>48.3</v>
      </c>
      <c r="AU47">
        <f>AVERAGE(Complete_data[[#This Row],[2009]:[2019]])</f>
        <v>49.261000000000003</v>
      </c>
      <c r="AV47">
        <f>_xlfn.RANK.EQ(Complete_data[[#This Row],[Average crime rate]],Complete_data[Average crime rate],1)</f>
        <v>83</v>
      </c>
      <c r="AW47">
        <v>25</v>
      </c>
      <c r="AX47">
        <v>29</v>
      </c>
      <c r="AY47">
        <v>42</v>
      </c>
      <c r="AZ47">
        <v>53</v>
      </c>
      <c r="BA47">
        <v>64</v>
      </c>
      <c r="BB47">
        <v>73</v>
      </c>
      <c r="BC47">
        <v>77</v>
      </c>
      <c r="BD47">
        <v>74</v>
      </c>
      <c r="BE47">
        <v>68</v>
      </c>
      <c r="BF47">
        <v>55</v>
      </c>
      <c r="BG47">
        <v>41</v>
      </c>
      <c r="BH47">
        <v>32</v>
      </c>
    </row>
    <row r="48" spans="1:60" x14ac:dyDescent="0.3">
      <c r="A48" t="s">
        <v>180</v>
      </c>
      <c r="B48" t="s">
        <v>185</v>
      </c>
      <c r="C48" t="s">
        <v>186</v>
      </c>
      <c r="E48">
        <v>132</v>
      </c>
      <c r="F48">
        <v>18</v>
      </c>
      <c r="G48">
        <v>23</v>
      </c>
      <c r="H48">
        <v>107</v>
      </c>
      <c r="I48">
        <v>69</v>
      </c>
      <c r="J48">
        <v>31</v>
      </c>
      <c r="K48">
        <v>6</v>
      </c>
      <c r="L48">
        <v>25</v>
      </c>
      <c r="M48">
        <v>1</v>
      </c>
      <c r="N48">
        <v>39</v>
      </c>
      <c r="P48">
        <v>1</v>
      </c>
      <c r="Q48">
        <f>SUM(Complete_data[[#This Row],[American]:[Indian]])</f>
        <v>452</v>
      </c>
      <c r="R48">
        <f>_xlfn.RANK.EQ(Complete_data[[#This Row],[Restaurant count]],Complete_data[Restaurant count],0)</f>
        <v>101</v>
      </c>
      <c r="S48">
        <v>22</v>
      </c>
      <c r="T48">
        <v>75</v>
      </c>
      <c r="U48" s="1">
        <v>49.833333333333336</v>
      </c>
      <c r="V48" s="1">
        <f>_xlfn.RANK.EQ(Complete_data[[#This Row],[Max Temperature]],Complete_data[Max Temperature],0)</f>
        <v>94</v>
      </c>
      <c r="W48" s="1">
        <f>_xlfn.RANK.EQ(Complete_data[[#This Row],[Min Temperature]],Complete_data[Min Temperature],0)</f>
        <v>135</v>
      </c>
      <c r="X48" s="1">
        <f>_xlfn.RANK.EQ(Complete_data[[#This Row],[Avg Temperature]],Complete_data[Avg Temperature],0)</f>
        <v>116</v>
      </c>
      <c r="Y48">
        <v>3</v>
      </c>
      <c r="Z48">
        <v>0</v>
      </c>
      <c r="AA48">
        <v>0</v>
      </c>
      <c r="AB48">
        <v>0</v>
      </c>
      <c r="AC48">
        <v>0</v>
      </c>
      <c r="AD48">
        <v>1</v>
      </c>
      <c r="AE48">
        <v>0</v>
      </c>
      <c r="AF48">
        <v>0</v>
      </c>
      <c r="AG48">
        <v>0</v>
      </c>
      <c r="AH48">
        <v>0</v>
      </c>
      <c r="AI48">
        <f>SUM(Complete_data[[#This Row],[GENERAL ACUTE CARE]:[CHRONIC DISEASE]])</f>
        <v>4</v>
      </c>
      <c r="AJ48">
        <f>_xlfn.RANK.EQ(Complete_data[[#This Row],[Hospital Count]],Complete_data[Hospital Count],0)</f>
        <v>108</v>
      </c>
      <c r="AK48">
        <v>67.78</v>
      </c>
      <c r="AL48">
        <v>65.09</v>
      </c>
      <c r="AM48">
        <v>60.63</v>
      </c>
      <c r="AN48">
        <v>64.11</v>
      </c>
      <c r="AO48">
        <v>61.32</v>
      </c>
      <c r="AP48">
        <v>55.69</v>
      </c>
      <c r="AQ48">
        <v>55.8</v>
      </c>
      <c r="AR48">
        <v>51.95</v>
      </c>
      <c r="AS48">
        <v>51.02</v>
      </c>
      <c r="AT48">
        <v>45.49</v>
      </c>
      <c r="AU48">
        <f>AVERAGE(Complete_data[[#This Row],[2009]:[2019]])</f>
        <v>57.887999999999998</v>
      </c>
      <c r="AV48">
        <f>_xlfn.RANK.EQ(Complete_data[[#This Row],[Average crime rate]],Complete_data[Average crime rate],1)</f>
        <v>113</v>
      </c>
      <c r="AW48">
        <v>22</v>
      </c>
      <c r="AX48">
        <v>25</v>
      </c>
      <c r="AY48">
        <v>38</v>
      </c>
      <c r="AZ48">
        <v>49</v>
      </c>
      <c r="BA48">
        <v>61</v>
      </c>
      <c r="BB48">
        <v>71</v>
      </c>
      <c r="BC48">
        <v>75</v>
      </c>
      <c r="BD48">
        <v>72</v>
      </c>
      <c r="BE48">
        <v>65</v>
      </c>
      <c r="BF48">
        <v>53</v>
      </c>
      <c r="BG48">
        <v>38</v>
      </c>
      <c r="BH48">
        <v>29</v>
      </c>
    </row>
    <row r="49" spans="1:60" x14ac:dyDescent="0.3">
      <c r="A49" t="s">
        <v>180</v>
      </c>
      <c r="B49" t="s">
        <v>187</v>
      </c>
      <c r="C49" t="s">
        <v>188</v>
      </c>
      <c r="E49">
        <v>151</v>
      </c>
      <c r="F49">
        <v>16</v>
      </c>
      <c r="G49">
        <v>10</v>
      </c>
      <c r="H49">
        <v>54</v>
      </c>
      <c r="I49">
        <v>45</v>
      </c>
      <c r="J49">
        <v>29</v>
      </c>
      <c r="K49">
        <v>5</v>
      </c>
      <c r="L49">
        <v>21</v>
      </c>
      <c r="M49">
        <v>1</v>
      </c>
      <c r="N49">
        <v>30</v>
      </c>
      <c r="P49">
        <v>2</v>
      </c>
      <c r="Q49">
        <f>SUM(Complete_data[[#This Row],[American]:[Indian]])</f>
        <v>364</v>
      </c>
      <c r="R49">
        <f>_xlfn.RANK.EQ(Complete_data[[#This Row],[Restaurant count]],Complete_data[Restaurant count],0)</f>
        <v>111</v>
      </c>
      <c r="S49">
        <v>28</v>
      </c>
      <c r="T49">
        <v>78</v>
      </c>
      <c r="U49" s="1">
        <v>54.333333333333336</v>
      </c>
      <c r="V49" s="1">
        <f>_xlfn.RANK.EQ(Complete_data[[#This Row],[Max Temperature]],Complete_data[Max Temperature],0)</f>
        <v>71</v>
      </c>
      <c r="W49" s="1">
        <f>_xlfn.RANK.EQ(Complete_data[[#This Row],[Min Temperature]],Complete_data[Min Temperature],0)</f>
        <v>98</v>
      </c>
      <c r="X49" s="1">
        <f>_xlfn.RANK.EQ(Complete_data[[#This Row],[Avg Temperature]],Complete_data[Avg Temperature],0)</f>
        <v>82</v>
      </c>
      <c r="Y49">
        <v>2</v>
      </c>
      <c r="Z49">
        <v>0</v>
      </c>
      <c r="AA49">
        <v>0</v>
      </c>
      <c r="AB49">
        <v>1</v>
      </c>
      <c r="AC49">
        <v>1</v>
      </c>
      <c r="AD49">
        <v>0</v>
      </c>
      <c r="AE49">
        <v>0</v>
      </c>
      <c r="AF49">
        <v>0</v>
      </c>
      <c r="AG49">
        <v>0</v>
      </c>
      <c r="AH49">
        <v>0</v>
      </c>
      <c r="AI49">
        <f>SUM(Complete_data[[#This Row],[GENERAL ACUTE CARE]:[CHRONIC DISEASE]])</f>
        <v>4</v>
      </c>
      <c r="AJ49">
        <f>_xlfn.RANK.EQ(Complete_data[[#This Row],[Hospital Count]],Complete_data[Hospital Count],0)</f>
        <v>108</v>
      </c>
      <c r="AK49">
        <v>61.23</v>
      </c>
      <c r="AL49">
        <v>77.319999999999993</v>
      </c>
      <c r="AM49">
        <v>73.099999999999994</v>
      </c>
      <c r="AN49">
        <v>69.36</v>
      </c>
      <c r="AO49">
        <v>60.84</v>
      </c>
      <c r="AP49">
        <v>58.38</v>
      </c>
      <c r="AQ49">
        <v>56.72</v>
      </c>
      <c r="AR49">
        <v>58.54</v>
      </c>
      <c r="AS49">
        <v>56.55</v>
      </c>
      <c r="AT49">
        <v>52.39</v>
      </c>
      <c r="AU49">
        <f>AVERAGE(Complete_data[[#This Row],[2009]:[2019]])</f>
        <v>62.442999999999998</v>
      </c>
      <c r="AV49">
        <f>_xlfn.RANK.EQ(Complete_data[[#This Row],[Average crime rate]],Complete_data[Average crime rate],1)</f>
        <v>124</v>
      </c>
      <c r="AW49">
        <v>28</v>
      </c>
      <c r="AX49">
        <v>31</v>
      </c>
      <c r="AY49">
        <v>43</v>
      </c>
      <c r="AZ49">
        <v>55</v>
      </c>
      <c r="BA49">
        <v>65</v>
      </c>
      <c r="BB49">
        <v>75</v>
      </c>
      <c r="BC49">
        <v>78</v>
      </c>
      <c r="BD49">
        <v>75</v>
      </c>
      <c r="BE49">
        <v>69</v>
      </c>
      <c r="BF49">
        <v>56</v>
      </c>
      <c r="BG49">
        <v>43</v>
      </c>
      <c r="BH49">
        <v>34</v>
      </c>
    </row>
    <row r="50" spans="1:60" x14ac:dyDescent="0.3">
      <c r="A50" t="s">
        <v>189</v>
      </c>
      <c r="B50" t="s">
        <v>190</v>
      </c>
      <c r="C50" t="s">
        <v>191</v>
      </c>
      <c r="E50">
        <v>122</v>
      </c>
      <c r="F50">
        <v>16</v>
      </c>
      <c r="G50">
        <v>20</v>
      </c>
      <c r="H50">
        <v>73</v>
      </c>
      <c r="I50">
        <v>56</v>
      </c>
      <c r="J50">
        <v>26</v>
      </c>
      <c r="K50">
        <v>5</v>
      </c>
      <c r="L50">
        <v>17</v>
      </c>
      <c r="M50">
        <v>1</v>
      </c>
      <c r="N50">
        <v>34</v>
      </c>
      <c r="O50">
        <v>1</v>
      </c>
      <c r="P50">
        <v>2</v>
      </c>
      <c r="Q50">
        <f>SUM(Complete_data[[#This Row],[American]:[Indian]])</f>
        <v>373</v>
      </c>
      <c r="R50">
        <f>_xlfn.RANK.EQ(Complete_data[[#This Row],[Restaurant count]],Complete_data[Restaurant count],0)</f>
        <v>110</v>
      </c>
      <c r="S50">
        <v>33</v>
      </c>
      <c r="T50">
        <v>79</v>
      </c>
      <c r="U50" s="1">
        <v>57.333333333333336</v>
      </c>
      <c r="V50" s="1">
        <f>_xlfn.RANK.EQ(Complete_data[[#This Row],[Max Temperature]],Complete_data[Max Temperature],0)</f>
        <v>61</v>
      </c>
      <c r="W50" s="1">
        <f>_xlfn.RANK.EQ(Complete_data[[#This Row],[Min Temperature]],Complete_data[Min Temperature],0)</f>
        <v>76</v>
      </c>
      <c r="X50" s="1">
        <f>_xlfn.RANK.EQ(Complete_data[[#This Row],[Avg Temperature]],Complete_data[Avg Temperature],0)</f>
        <v>65</v>
      </c>
      <c r="Y50">
        <v>2</v>
      </c>
      <c r="Z50">
        <v>0</v>
      </c>
      <c r="AA50">
        <v>0</v>
      </c>
      <c r="AB50">
        <v>1</v>
      </c>
      <c r="AC50">
        <v>2</v>
      </c>
      <c r="AD50">
        <v>1</v>
      </c>
      <c r="AE50">
        <v>0</v>
      </c>
      <c r="AF50">
        <v>0</v>
      </c>
      <c r="AG50">
        <v>0</v>
      </c>
      <c r="AH50">
        <v>0</v>
      </c>
      <c r="AI50">
        <f>SUM(Complete_data[[#This Row],[GENERAL ACUTE CARE]:[CHRONIC DISEASE]])</f>
        <v>6</v>
      </c>
      <c r="AJ50">
        <f>_xlfn.RANK.EQ(Complete_data[[#This Row],[Hospital Count]],Complete_data[Hospital Count],0)</f>
        <v>90</v>
      </c>
      <c r="AK50">
        <v>50.76</v>
      </c>
      <c r="AL50">
        <v>52.38</v>
      </c>
      <c r="AM50">
        <v>51.13</v>
      </c>
      <c r="AN50">
        <v>56.85</v>
      </c>
      <c r="AO50">
        <v>53.8</v>
      </c>
      <c r="AP50">
        <v>62.36</v>
      </c>
      <c r="AQ50">
        <v>57.5</v>
      </c>
      <c r="AR50">
        <v>57.33</v>
      </c>
      <c r="AS50">
        <v>50.32</v>
      </c>
      <c r="AT50">
        <v>48.28</v>
      </c>
      <c r="AU50">
        <f>AVERAGE(Complete_data[[#This Row],[2009]:[2019]])</f>
        <v>54.071000000000005</v>
      </c>
      <c r="AV50">
        <f>_xlfn.RANK.EQ(Complete_data[[#This Row],[Average crime rate]],Complete_data[Average crime rate],1)</f>
        <v>100</v>
      </c>
      <c r="AW50">
        <v>33</v>
      </c>
      <c r="AX50">
        <v>37</v>
      </c>
      <c r="AY50">
        <v>47</v>
      </c>
      <c r="AZ50">
        <v>58</v>
      </c>
      <c r="BA50">
        <v>67</v>
      </c>
      <c r="BB50">
        <v>76</v>
      </c>
      <c r="BC50">
        <v>79</v>
      </c>
      <c r="BD50">
        <v>77</v>
      </c>
      <c r="BE50">
        <v>71</v>
      </c>
      <c r="BF50">
        <v>59</v>
      </c>
      <c r="BG50">
        <v>45</v>
      </c>
      <c r="BH50">
        <v>39</v>
      </c>
    </row>
    <row r="51" spans="1:60" x14ac:dyDescent="0.3">
      <c r="A51" t="s">
        <v>189</v>
      </c>
      <c r="B51" t="s">
        <v>192</v>
      </c>
      <c r="C51" t="s">
        <v>193</v>
      </c>
      <c r="E51">
        <v>176</v>
      </c>
      <c r="F51">
        <v>26</v>
      </c>
      <c r="G51">
        <v>25</v>
      </c>
      <c r="H51">
        <v>76</v>
      </c>
      <c r="I51">
        <v>64</v>
      </c>
      <c r="J51">
        <v>38</v>
      </c>
      <c r="K51">
        <v>10</v>
      </c>
      <c r="L51">
        <v>32</v>
      </c>
      <c r="M51">
        <v>3</v>
      </c>
      <c r="N51">
        <v>47</v>
      </c>
      <c r="O51">
        <v>1</v>
      </c>
      <c r="P51">
        <v>2</v>
      </c>
      <c r="Q51">
        <f>SUM(Complete_data[[#This Row],[American]:[Indian]])</f>
        <v>500</v>
      </c>
      <c r="R51">
        <f>_xlfn.RANK.EQ(Complete_data[[#This Row],[Restaurant count]],Complete_data[Restaurant count],0)</f>
        <v>93</v>
      </c>
      <c r="S51">
        <v>26</v>
      </c>
      <c r="T51">
        <v>75</v>
      </c>
      <c r="U51" s="1">
        <v>51.166666666666664</v>
      </c>
      <c r="V51" s="1">
        <f>_xlfn.RANK.EQ(Complete_data[[#This Row],[Max Temperature]],Complete_data[Max Temperature],0)</f>
        <v>94</v>
      </c>
      <c r="W51" s="1">
        <f>_xlfn.RANK.EQ(Complete_data[[#This Row],[Min Temperature]],Complete_data[Min Temperature],0)</f>
        <v>108</v>
      </c>
      <c r="X51" s="1">
        <f>_xlfn.RANK.EQ(Complete_data[[#This Row],[Avg Temperature]],Complete_data[Avg Temperature],0)</f>
        <v>105</v>
      </c>
      <c r="Y51">
        <v>6</v>
      </c>
      <c r="Z51">
        <v>0</v>
      </c>
      <c r="AA51">
        <v>0</v>
      </c>
      <c r="AB51">
        <v>1</v>
      </c>
      <c r="AC51">
        <v>1</v>
      </c>
      <c r="AD51">
        <v>1</v>
      </c>
      <c r="AE51">
        <v>0</v>
      </c>
      <c r="AF51">
        <v>1</v>
      </c>
      <c r="AG51">
        <v>0</v>
      </c>
      <c r="AH51">
        <v>0</v>
      </c>
      <c r="AI51">
        <f>SUM(Complete_data[[#This Row],[GENERAL ACUTE CARE]:[CHRONIC DISEASE]])</f>
        <v>10</v>
      </c>
      <c r="AJ51">
        <f>_xlfn.RANK.EQ(Complete_data[[#This Row],[Hospital Count]],Complete_data[Hospital Count],0)</f>
        <v>56</v>
      </c>
      <c r="AK51">
        <v>40.94</v>
      </c>
      <c r="AL51">
        <v>37.57</v>
      </c>
      <c r="AM51">
        <v>38.68</v>
      </c>
      <c r="AN51">
        <v>40.93</v>
      </c>
      <c r="AO51">
        <v>42.31</v>
      </c>
      <c r="AP51">
        <v>35.82</v>
      </c>
      <c r="AQ51">
        <v>34.56</v>
      </c>
      <c r="AR51">
        <v>35.72</v>
      </c>
      <c r="AS51">
        <v>30.16</v>
      </c>
      <c r="AT51">
        <v>31.41</v>
      </c>
      <c r="AU51">
        <f>AVERAGE(Complete_data[[#This Row],[2009]:[2019]])</f>
        <v>36.81</v>
      </c>
      <c r="AV51">
        <f>_xlfn.RANK.EQ(Complete_data[[#This Row],[Average crime rate]],Complete_data[Average crime rate],1)</f>
        <v>36</v>
      </c>
      <c r="AW51">
        <v>26</v>
      </c>
      <c r="AX51">
        <v>28</v>
      </c>
      <c r="AY51">
        <v>39</v>
      </c>
      <c r="AZ51">
        <v>50</v>
      </c>
      <c r="BA51">
        <v>62</v>
      </c>
      <c r="BB51">
        <v>71</v>
      </c>
      <c r="BC51">
        <v>75</v>
      </c>
      <c r="BD51">
        <v>72</v>
      </c>
      <c r="BE51">
        <v>65</v>
      </c>
      <c r="BF51">
        <v>54</v>
      </c>
      <c r="BG51">
        <v>40</v>
      </c>
      <c r="BH51">
        <v>32</v>
      </c>
    </row>
    <row r="52" spans="1:60" x14ac:dyDescent="0.3">
      <c r="A52" t="s">
        <v>189</v>
      </c>
      <c r="B52" t="s">
        <v>194</v>
      </c>
      <c r="C52" t="s">
        <v>195</v>
      </c>
      <c r="E52">
        <v>877</v>
      </c>
      <c r="F52">
        <v>117</v>
      </c>
      <c r="G52">
        <v>109</v>
      </c>
      <c r="H52">
        <v>468</v>
      </c>
      <c r="I52">
        <v>301</v>
      </c>
      <c r="J52">
        <v>211</v>
      </c>
      <c r="K52">
        <v>24</v>
      </c>
      <c r="L52">
        <v>107</v>
      </c>
      <c r="M52">
        <v>8</v>
      </c>
      <c r="N52">
        <v>251</v>
      </c>
      <c r="O52">
        <v>3</v>
      </c>
      <c r="P52">
        <v>31</v>
      </c>
      <c r="Q52">
        <f>SUM(Complete_data[[#This Row],[American]:[Indian]])</f>
        <v>2507</v>
      </c>
      <c r="R52">
        <f>_xlfn.RANK.EQ(Complete_data[[#This Row],[Restaurant count]],Complete_data[Restaurant count],0)</f>
        <v>30</v>
      </c>
      <c r="S52">
        <v>28</v>
      </c>
      <c r="T52">
        <v>77</v>
      </c>
      <c r="U52" s="1">
        <v>53.916666666666664</v>
      </c>
      <c r="V52" s="1">
        <f>_xlfn.RANK.EQ(Complete_data[[#This Row],[Max Temperature]],Complete_data[Max Temperature],0)</f>
        <v>78</v>
      </c>
      <c r="W52" s="1">
        <f>_xlfn.RANK.EQ(Complete_data[[#This Row],[Min Temperature]],Complete_data[Min Temperature],0)</f>
        <v>98</v>
      </c>
      <c r="X52" s="1">
        <f>_xlfn.RANK.EQ(Complete_data[[#This Row],[Avg Temperature]],Complete_data[Avg Temperature],0)</f>
        <v>85</v>
      </c>
      <c r="Y52">
        <v>9</v>
      </c>
      <c r="Z52">
        <v>2</v>
      </c>
      <c r="AA52">
        <v>1</v>
      </c>
      <c r="AB52">
        <v>3</v>
      </c>
      <c r="AC52">
        <v>4</v>
      </c>
      <c r="AD52">
        <v>3</v>
      </c>
      <c r="AE52">
        <v>0</v>
      </c>
      <c r="AF52">
        <v>1</v>
      </c>
      <c r="AG52">
        <v>0</v>
      </c>
      <c r="AH52">
        <v>0</v>
      </c>
      <c r="AI52">
        <f>SUM(Complete_data[[#This Row],[GENERAL ACUTE CARE]:[CHRONIC DISEASE]])</f>
        <v>23</v>
      </c>
      <c r="AJ52">
        <f>_xlfn.RANK.EQ(Complete_data[[#This Row],[Hospital Count]],Complete_data[Hospital Count],0)</f>
        <v>11</v>
      </c>
      <c r="AK52">
        <v>70.72</v>
      </c>
      <c r="AL52">
        <v>0</v>
      </c>
      <c r="AM52">
        <v>67.95</v>
      </c>
      <c r="AN52">
        <v>68.260000000000005</v>
      </c>
      <c r="AO52">
        <v>65.16</v>
      </c>
      <c r="AP52">
        <v>61.09</v>
      </c>
      <c r="AQ52">
        <v>60.79</v>
      </c>
      <c r="AR52">
        <v>57.75</v>
      </c>
      <c r="AS52">
        <v>54.28</v>
      </c>
      <c r="AT52">
        <v>0</v>
      </c>
      <c r="AU52">
        <f>AVERAGE(Complete_data[[#This Row],[2009]:[2019]])</f>
        <v>50.600000000000009</v>
      </c>
      <c r="AV52">
        <f>_xlfn.RANK.EQ(Complete_data[[#This Row],[Average crime rate]],Complete_data[Average crime rate],1)</f>
        <v>92</v>
      </c>
      <c r="AW52">
        <v>28</v>
      </c>
      <c r="AX52">
        <v>32</v>
      </c>
      <c r="AY52">
        <v>43</v>
      </c>
      <c r="AZ52">
        <v>54</v>
      </c>
      <c r="BA52">
        <v>64</v>
      </c>
      <c r="BB52">
        <v>73</v>
      </c>
      <c r="BC52">
        <v>77</v>
      </c>
      <c r="BD52">
        <v>75</v>
      </c>
      <c r="BE52">
        <v>69</v>
      </c>
      <c r="BF52">
        <v>56</v>
      </c>
      <c r="BG52">
        <v>42</v>
      </c>
      <c r="BH52">
        <v>34</v>
      </c>
    </row>
    <row r="53" spans="1:60" x14ac:dyDescent="0.3">
      <c r="A53" t="s">
        <v>189</v>
      </c>
      <c r="B53" t="s">
        <v>196</v>
      </c>
      <c r="C53" t="s">
        <v>197</v>
      </c>
      <c r="E53">
        <v>142</v>
      </c>
      <c r="F53">
        <v>19</v>
      </c>
      <c r="G53">
        <v>16</v>
      </c>
      <c r="H53">
        <v>77</v>
      </c>
      <c r="I53">
        <v>70</v>
      </c>
      <c r="J53">
        <v>24</v>
      </c>
      <c r="K53">
        <v>8</v>
      </c>
      <c r="L53">
        <v>28</v>
      </c>
      <c r="M53">
        <v>5</v>
      </c>
      <c r="N53">
        <v>35</v>
      </c>
      <c r="P53">
        <v>1</v>
      </c>
      <c r="Q53">
        <f>SUM(Complete_data[[#This Row],[American]:[Indian]])</f>
        <v>425</v>
      </c>
      <c r="R53">
        <f>_xlfn.RANK.EQ(Complete_data[[#This Row],[Restaurant count]],Complete_data[Restaurant count],0)</f>
        <v>105</v>
      </c>
      <c r="S53">
        <v>25</v>
      </c>
      <c r="T53">
        <v>74</v>
      </c>
      <c r="U53" s="1">
        <v>50.333333333333336</v>
      </c>
      <c r="V53" s="1">
        <f>_xlfn.RANK.EQ(Complete_data[[#This Row],[Max Temperature]],Complete_data[Max Temperature],0)</f>
        <v>103</v>
      </c>
      <c r="W53" s="1">
        <f>_xlfn.RANK.EQ(Complete_data[[#This Row],[Min Temperature]],Complete_data[Min Temperature],0)</f>
        <v>118</v>
      </c>
      <c r="X53" s="1">
        <f>_xlfn.RANK.EQ(Complete_data[[#This Row],[Avg Temperature]],Complete_data[Avg Temperature],0)</f>
        <v>113</v>
      </c>
      <c r="Y53">
        <v>1</v>
      </c>
      <c r="Z53">
        <v>0</v>
      </c>
      <c r="AA53">
        <v>1</v>
      </c>
      <c r="AB53">
        <v>0</v>
      </c>
      <c r="AC53">
        <v>0</v>
      </c>
      <c r="AD53">
        <v>0</v>
      </c>
      <c r="AE53">
        <v>0</v>
      </c>
      <c r="AF53">
        <v>0</v>
      </c>
      <c r="AG53">
        <v>0</v>
      </c>
      <c r="AH53">
        <v>0</v>
      </c>
      <c r="AI53">
        <f>SUM(Complete_data[[#This Row],[GENERAL ACUTE CARE]:[CHRONIC DISEASE]])</f>
        <v>2</v>
      </c>
      <c r="AJ53">
        <f>_xlfn.RANK.EQ(Complete_data[[#This Row],[Hospital Count]],Complete_data[Hospital Count],0)</f>
        <v>124</v>
      </c>
      <c r="AK53">
        <v>67.02</v>
      </c>
      <c r="AL53">
        <v>64.56</v>
      </c>
      <c r="AM53">
        <v>67.69</v>
      </c>
      <c r="AN53">
        <v>54.07</v>
      </c>
      <c r="AO53">
        <v>55.4</v>
      </c>
      <c r="AP53">
        <v>54.19</v>
      </c>
      <c r="AQ53">
        <v>60.89</v>
      </c>
      <c r="AR53">
        <v>60.88</v>
      </c>
      <c r="AS53">
        <v>53.85</v>
      </c>
      <c r="AT53">
        <v>56.19</v>
      </c>
      <c r="AU53">
        <f>AVERAGE(Complete_data[[#This Row],[2009]:[2019]])</f>
        <v>59.474000000000004</v>
      </c>
      <c r="AV53">
        <f>_xlfn.RANK.EQ(Complete_data[[#This Row],[Average crime rate]],Complete_data[Average crime rate],1)</f>
        <v>118</v>
      </c>
      <c r="AW53">
        <v>25</v>
      </c>
      <c r="AX53">
        <v>27</v>
      </c>
      <c r="AY53">
        <v>38</v>
      </c>
      <c r="AZ53">
        <v>49</v>
      </c>
      <c r="BA53">
        <v>60</v>
      </c>
      <c r="BB53">
        <v>70</v>
      </c>
      <c r="BC53">
        <v>74</v>
      </c>
      <c r="BD53">
        <v>71</v>
      </c>
      <c r="BE53">
        <v>65</v>
      </c>
      <c r="BF53">
        <v>53</v>
      </c>
      <c r="BG53">
        <v>40</v>
      </c>
      <c r="BH53">
        <v>32</v>
      </c>
    </row>
    <row r="54" spans="1:60" x14ac:dyDescent="0.3">
      <c r="A54" t="s">
        <v>198</v>
      </c>
      <c r="B54" t="s">
        <v>199</v>
      </c>
      <c r="C54" t="s">
        <v>200</v>
      </c>
      <c r="E54">
        <v>10</v>
      </c>
      <c r="F54">
        <v>1</v>
      </c>
      <c r="H54">
        <v>3</v>
      </c>
      <c r="J54">
        <v>3</v>
      </c>
      <c r="Q54">
        <f>SUM(Complete_data[[#This Row],[American]:[Indian]])</f>
        <v>17</v>
      </c>
      <c r="R54">
        <f>_xlfn.RANK.EQ(Complete_data[[#This Row],[Restaurant count]],Complete_data[Restaurant count],0)</f>
        <v>146</v>
      </c>
      <c r="S54">
        <v>30</v>
      </c>
      <c r="T54">
        <v>76</v>
      </c>
      <c r="U54" s="1">
        <v>51.333333333333336</v>
      </c>
      <c r="V54" s="1">
        <f>_xlfn.RANK.EQ(Complete_data[[#This Row],[Max Temperature]],Complete_data[Max Temperature],0)</f>
        <v>82</v>
      </c>
      <c r="W54" s="1">
        <f>_xlfn.RANK.EQ(Complete_data[[#This Row],[Min Temperature]],Complete_data[Min Temperature],0)</f>
        <v>89</v>
      </c>
      <c r="X54" s="1">
        <f>_xlfn.RANK.EQ(Complete_data[[#This Row],[Avg Temperature]],Complete_data[Avg Temperature],0)</f>
        <v>104</v>
      </c>
      <c r="Y54">
        <v>0</v>
      </c>
      <c r="Z54">
        <v>0</v>
      </c>
      <c r="AA54">
        <v>0</v>
      </c>
      <c r="AB54">
        <v>0</v>
      </c>
      <c r="AC54">
        <v>0</v>
      </c>
      <c r="AD54">
        <v>0</v>
      </c>
      <c r="AE54">
        <v>1</v>
      </c>
      <c r="AF54">
        <v>0</v>
      </c>
      <c r="AG54">
        <v>0</v>
      </c>
      <c r="AH54">
        <v>0</v>
      </c>
      <c r="AI54">
        <f>SUM(Complete_data[[#This Row],[GENERAL ACUTE CARE]:[CHRONIC DISEASE]])</f>
        <v>1</v>
      </c>
      <c r="AJ54">
        <f>_xlfn.RANK.EQ(Complete_data[[#This Row],[Hospital Count]],Complete_data[Hospital Count],0)</f>
        <v>137</v>
      </c>
      <c r="AK54">
        <v>0</v>
      </c>
      <c r="AL54">
        <v>0</v>
      </c>
      <c r="AM54">
        <v>0</v>
      </c>
      <c r="AN54">
        <v>0</v>
      </c>
      <c r="AO54">
        <v>0</v>
      </c>
      <c r="AP54">
        <v>25.58</v>
      </c>
      <c r="AQ54">
        <v>0</v>
      </c>
      <c r="AR54">
        <v>2.93</v>
      </c>
      <c r="AS54">
        <v>0</v>
      </c>
      <c r="AT54">
        <v>21.72</v>
      </c>
      <c r="AU54">
        <f>AVERAGE(Complete_data[[#This Row],[2009]:[2019]])</f>
        <v>5.0229999999999997</v>
      </c>
      <c r="AV54">
        <f>_xlfn.RANK.EQ(Complete_data[[#This Row],[Average crime rate]],Complete_data[Average crime rate],1)</f>
        <v>2</v>
      </c>
      <c r="AW54">
        <v>30</v>
      </c>
      <c r="AX54">
        <v>31</v>
      </c>
      <c r="AY54">
        <v>42</v>
      </c>
      <c r="AZ54">
        <v>49</v>
      </c>
      <c r="BA54">
        <v>58</v>
      </c>
      <c r="BB54">
        <v>72</v>
      </c>
      <c r="BC54">
        <v>76</v>
      </c>
      <c r="BD54">
        <v>72</v>
      </c>
      <c r="BE54">
        <v>65</v>
      </c>
      <c r="BF54">
        <v>52</v>
      </c>
      <c r="BG54">
        <v>39</v>
      </c>
      <c r="BH54">
        <v>30</v>
      </c>
    </row>
    <row r="55" spans="1:60" x14ac:dyDescent="0.3">
      <c r="A55" t="s">
        <v>198</v>
      </c>
      <c r="B55" t="s">
        <v>201</v>
      </c>
      <c r="C55" t="s">
        <v>202</v>
      </c>
      <c r="E55">
        <v>95</v>
      </c>
      <c r="F55">
        <v>21</v>
      </c>
      <c r="G55">
        <v>9</v>
      </c>
      <c r="H55">
        <v>49</v>
      </c>
      <c r="I55">
        <v>27</v>
      </c>
      <c r="J55">
        <v>32</v>
      </c>
      <c r="K55">
        <v>4</v>
      </c>
      <c r="L55">
        <v>9</v>
      </c>
      <c r="N55">
        <v>22</v>
      </c>
      <c r="P55">
        <v>3</v>
      </c>
      <c r="Q55">
        <f>SUM(Complete_data[[#This Row],[American]:[Indian]])</f>
        <v>271</v>
      </c>
      <c r="R55">
        <f>_xlfn.RANK.EQ(Complete_data[[#This Row],[Restaurant count]],Complete_data[Restaurant count],0)</f>
        <v>120</v>
      </c>
      <c r="S55">
        <v>30</v>
      </c>
      <c r="T55">
        <v>81</v>
      </c>
      <c r="U55" s="1">
        <v>56.5</v>
      </c>
      <c r="V55" s="1">
        <f>_xlfn.RANK.EQ(Complete_data[[#This Row],[Max Temperature]],Complete_data[Max Temperature],0)</f>
        <v>39</v>
      </c>
      <c r="W55" s="1">
        <f>_xlfn.RANK.EQ(Complete_data[[#This Row],[Min Temperature]],Complete_data[Min Temperature],0)</f>
        <v>89</v>
      </c>
      <c r="X55" s="1">
        <f>_xlfn.RANK.EQ(Complete_data[[#This Row],[Avg Temperature]],Complete_data[Avg Temperature],0)</f>
        <v>70</v>
      </c>
      <c r="Y55">
        <v>2</v>
      </c>
      <c r="Z55">
        <v>0</v>
      </c>
      <c r="AA55">
        <v>0</v>
      </c>
      <c r="AB55">
        <v>0</v>
      </c>
      <c r="AC55">
        <v>1</v>
      </c>
      <c r="AD55">
        <v>1</v>
      </c>
      <c r="AE55">
        <v>0</v>
      </c>
      <c r="AF55">
        <v>1</v>
      </c>
      <c r="AG55">
        <v>0</v>
      </c>
      <c r="AH55">
        <v>0</v>
      </c>
      <c r="AI55">
        <f>SUM(Complete_data[[#This Row],[GENERAL ACUTE CARE]:[CHRONIC DISEASE]])</f>
        <v>5</v>
      </c>
      <c r="AJ55">
        <f>_xlfn.RANK.EQ(Complete_data[[#This Row],[Hospital Count]],Complete_data[Hospital Count],0)</f>
        <v>99</v>
      </c>
      <c r="AK55">
        <v>60.15</v>
      </c>
      <c r="AL55">
        <v>65.58</v>
      </c>
      <c r="AM55">
        <v>64.13</v>
      </c>
      <c r="AN55">
        <v>59.14</v>
      </c>
      <c r="AO55">
        <v>55.5</v>
      </c>
      <c r="AP55">
        <v>54.17</v>
      </c>
      <c r="AQ55">
        <v>57.7</v>
      </c>
      <c r="AR55">
        <v>57.51</v>
      </c>
      <c r="AS55">
        <v>58.01</v>
      </c>
      <c r="AT55">
        <v>57.05</v>
      </c>
      <c r="AU55">
        <f>AVERAGE(Complete_data[[#This Row],[2009]:[2019]])</f>
        <v>58.893999999999991</v>
      </c>
      <c r="AV55">
        <f>_xlfn.RANK.EQ(Complete_data[[#This Row],[Average crime rate]],Complete_data[Average crime rate],1)</f>
        <v>115</v>
      </c>
      <c r="AW55">
        <v>30</v>
      </c>
      <c r="AX55">
        <v>34</v>
      </c>
      <c r="AY55">
        <v>47</v>
      </c>
      <c r="AZ55">
        <v>56</v>
      </c>
      <c r="BA55">
        <v>66</v>
      </c>
      <c r="BB55">
        <v>78</v>
      </c>
      <c r="BC55">
        <v>81</v>
      </c>
      <c r="BD55">
        <v>78</v>
      </c>
      <c r="BE55">
        <v>71</v>
      </c>
      <c r="BF55">
        <v>58</v>
      </c>
      <c r="BG55">
        <v>44</v>
      </c>
      <c r="BH55">
        <v>35</v>
      </c>
    </row>
    <row r="56" spans="1:60" x14ac:dyDescent="0.3">
      <c r="A56" t="s">
        <v>198</v>
      </c>
      <c r="B56" t="s">
        <v>203</v>
      </c>
      <c r="C56" t="s">
        <v>204</v>
      </c>
      <c r="E56">
        <v>256</v>
      </c>
      <c r="F56">
        <v>46</v>
      </c>
      <c r="G56">
        <v>27</v>
      </c>
      <c r="H56">
        <v>174</v>
      </c>
      <c r="I56">
        <v>53</v>
      </c>
      <c r="J56">
        <v>93</v>
      </c>
      <c r="K56">
        <v>15</v>
      </c>
      <c r="L56">
        <v>20</v>
      </c>
      <c r="M56">
        <v>2</v>
      </c>
      <c r="N56">
        <v>97</v>
      </c>
      <c r="O56">
        <v>1</v>
      </c>
      <c r="P56">
        <v>4</v>
      </c>
      <c r="Q56">
        <f>SUM(Complete_data[[#This Row],[American]:[Indian]])</f>
        <v>788</v>
      </c>
      <c r="R56">
        <f>_xlfn.RANK.EQ(Complete_data[[#This Row],[Restaurant count]],Complete_data[Restaurant count],0)</f>
        <v>78</v>
      </c>
      <c r="S56">
        <v>33</v>
      </c>
      <c r="T56">
        <v>82</v>
      </c>
      <c r="U56" s="1">
        <v>58.166666666666664</v>
      </c>
      <c r="V56" s="1">
        <f>_xlfn.RANK.EQ(Complete_data[[#This Row],[Max Temperature]],Complete_data[Max Temperature],0)</f>
        <v>29</v>
      </c>
      <c r="W56" s="1">
        <f>_xlfn.RANK.EQ(Complete_data[[#This Row],[Min Temperature]],Complete_data[Min Temperature],0)</f>
        <v>76</v>
      </c>
      <c r="X56" s="1">
        <f>_xlfn.RANK.EQ(Complete_data[[#This Row],[Avg Temperature]],Complete_data[Avg Temperature],0)</f>
        <v>62</v>
      </c>
      <c r="Y56">
        <v>5</v>
      </c>
      <c r="Z56">
        <v>2</v>
      </c>
      <c r="AA56">
        <v>0</v>
      </c>
      <c r="AB56">
        <v>2</v>
      </c>
      <c r="AC56">
        <v>0</v>
      </c>
      <c r="AD56">
        <v>3</v>
      </c>
      <c r="AE56">
        <v>0</v>
      </c>
      <c r="AF56">
        <v>1</v>
      </c>
      <c r="AG56">
        <v>0</v>
      </c>
      <c r="AH56">
        <v>0</v>
      </c>
      <c r="AI56">
        <f>SUM(Complete_data[[#This Row],[GENERAL ACUTE CARE]:[CHRONIC DISEASE]])</f>
        <v>13</v>
      </c>
      <c r="AJ56">
        <f>_xlfn.RANK.EQ(Complete_data[[#This Row],[Hospital Count]],Complete_data[Hospital Count],0)</f>
        <v>41</v>
      </c>
      <c r="AK56">
        <v>62.62</v>
      </c>
      <c r="AL56">
        <v>56.77</v>
      </c>
      <c r="AM56">
        <v>58.59</v>
      </c>
      <c r="AN56">
        <v>62.3</v>
      </c>
      <c r="AO56">
        <v>62.05</v>
      </c>
      <c r="AP56">
        <v>0</v>
      </c>
      <c r="AQ56">
        <v>60.59</v>
      </c>
      <c r="AR56">
        <v>65.83</v>
      </c>
      <c r="AS56">
        <v>68.34</v>
      </c>
      <c r="AT56">
        <v>64.95</v>
      </c>
      <c r="AU56">
        <f>AVERAGE(Complete_data[[#This Row],[2009]:[2019]])</f>
        <v>56.204000000000008</v>
      </c>
      <c r="AV56">
        <f>_xlfn.RANK.EQ(Complete_data[[#This Row],[Average crime rate]],Complete_data[Average crime rate],1)</f>
        <v>108</v>
      </c>
      <c r="AW56">
        <v>33</v>
      </c>
      <c r="AX56">
        <v>36</v>
      </c>
      <c r="AY56">
        <v>48</v>
      </c>
      <c r="AZ56">
        <v>58</v>
      </c>
      <c r="BA56">
        <v>67</v>
      </c>
      <c r="BB56">
        <v>79</v>
      </c>
      <c r="BC56">
        <v>82</v>
      </c>
      <c r="BD56">
        <v>80</v>
      </c>
      <c r="BE56">
        <v>73</v>
      </c>
      <c r="BF56">
        <v>60</v>
      </c>
      <c r="BG56">
        <v>46</v>
      </c>
      <c r="BH56">
        <v>36</v>
      </c>
    </row>
    <row r="57" spans="1:60" x14ac:dyDescent="0.3">
      <c r="A57" t="s">
        <v>205</v>
      </c>
      <c r="B57" t="s">
        <v>206</v>
      </c>
      <c r="C57" t="s">
        <v>207</v>
      </c>
      <c r="E57">
        <v>211</v>
      </c>
      <c r="F57">
        <v>20</v>
      </c>
      <c r="G57">
        <v>25</v>
      </c>
      <c r="H57">
        <v>115</v>
      </c>
      <c r="I57">
        <v>56</v>
      </c>
      <c r="J57">
        <v>45</v>
      </c>
      <c r="K57">
        <v>5</v>
      </c>
      <c r="L57">
        <v>21</v>
      </c>
      <c r="M57">
        <v>4</v>
      </c>
      <c r="N57">
        <v>58</v>
      </c>
      <c r="O57">
        <v>1</v>
      </c>
      <c r="P57">
        <v>5</v>
      </c>
      <c r="Q57">
        <f>SUM(Complete_data[[#This Row],[American]:[Indian]])</f>
        <v>566</v>
      </c>
      <c r="R57">
        <f>_xlfn.RANK.EQ(Complete_data[[#This Row],[Restaurant count]],Complete_data[Restaurant count],0)</f>
        <v>88</v>
      </c>
      <c r="S57">
        <v>33</v>
      </c>
      <c r="T57">
        <v>77</v>
      </c>
      <c r="U57" s="1">
        <v>56.333333333333336</v>
      </c>
      <c r="V57" s="1">
        <f>_xlfn.RANK.EQ(Complete_data[[#This Row],[Max Temperature]],Complete_data[Max Temperature],0)</f>
        <v>78</v>
      </c>
      <c r="W57" s="1">
        <f>_xlfn.RANK.EQ(Complete_data[[#This Row],[Min Temperature]],Complete_data[Min Temperature],0)</f>
        <v>76</v>
      </c>
      <c r="X57" s="1">
        <f>_xlfn.RANK.EQ(Complete_data[[#This Row],[Avg Temperature]],Complete_data[Avg Temperature],0)</f>
        <v>73</v>
      </c>
      <c r="Y57">
        <v>5</v>
      </c>
      <c r="Z57">
        <v>0</v>
      </c>
      <c r="AA57">
        <v>1</v>
      </c>
      <c r="AB57">
        <v>0</v>
      </c>
      <c r="AC57">
        <v>2</v>
      </c>
      <c r="AD57">
        <v>1</v>
      </c>
      <c r="AE57">
        <v>0</v>
      </c>
      <c r="AF57">
        <v>2</v>
      </c>
      <c r="AG57">
        <v>0</v>
      </c>
      <c r="AH57">
        <v>0</v>
      </c>
      <c r="AI57">
        <f>SUM(Complete_data[[#This Row],[GENERAL ACUTE CARE]:[CHRONIC DISEASE]])</f>
        <v>11</v>
      </c>
      <c r="AJ57">
        <f>_xlfn.RANK.EQ(Complete_data[[#This Row],[Hospital Count]],Complete_data[Hospital Count],0)</f>
        <v>50</v>
      </c>
      <c r="AK57">
        <v>40.19</v>
      </c>
      <c r="AL57">
        <v>42.61</v>
      </c>
      <c r="AM57">
        <v>46.4</v>
      </c>
      <c r="AN57">
        <v>48.04</v>
      </c>
      <c r="AO57">
        <v>43.53</v>
      </c>
      <c r="AP57">
        <v>42.39</v>
      </c>
      <c r="AQ57">
        <v>42.97</v>
      </c>
      <c r="AR57">
        <v>41.46</v>
      </c>
      <c r="AS57">
        <v>34.89</v>
      </c>
      <c r="AT57">
        <v>33.08</v>
      </c>
      <c r="AU57">
        <f>AVERAGE(Complete_data[[#This Row],[2009]:[2019]])</f>
        <v>41.555999999999997</v>
      </c>
      <c r="AV57">
        <f>_xlfn.RANK.EQ(Complete_data[[#This Row],[Average crime rate]],Complete_data[Average crime rate],1)</f>
        <v>50</v>
      </c>
      <c r="AW57">
        <v>33</v>
      </c>
      <c r="AX57">
        <v>37</v>
      </c>
      <c r="AY57">
        <v>46</v>
      </c>
      <c r="AZ57">
        <v>57</v>
      </c>
      <c r="BA57">
        <v>65</v>
      </c>
      <c r="BB57">
        <v>74</v>
      </c>
      <c r="BC57">
        <v>77</v>
      </c>
      <c r="BD57">
        <v>75</v>
      </c>
      <c r="BE57">
        <v>70</v>
      </c>
      <c r="BF57">
        <v>58</v>
      </c>
      <c r="BG57">
        <v>45</v>
      </c>
      <c r="BH57">
        <v>39</v>
      </c>
    </row>
    <row r="58" spans="1:60" x14ac:dyDescent="0.3">
      <c r="A58" t="s">
        <v>205</v>
      </c>
      <c r="B58" t="s">
        <v>208</v>
      </c>
      <c r="C58" t="s">
        <v>209</v>
      </c>
      <c r="E58">
        <v>460</v>
      </c>
      <c r="F58">
        <v>73</v>
      </c>
      <c r="G58">
        <v>63</v>
      </c>
      <c r="H58">
        <v>275</v>
      </c>
      <c r="I58">
        <v>132</v>
      </c>
      <c r="J58">
        <v>114</v>
      </c>
      <c r="K58">
        <v>21</v>
      </c>
      <c r="L58">
        <v>59</v>
      </c>
      <c r="M58">
        <v>7</v>
      </c>
      <c r="N58">
        <v>130</v>
      </c>
      <c r="P58">
        <v>10</v>
      </c>
      <c r="Q58">
        <f>SUM(Complete_data[[#This Row],[American]:[Indian]])</f>
        <v>1344</v>
      </c>
      <c r="R58">
        <f>_xlfn.RANK.EQ(Complete_data[[#This Row],[Restaurant count]],Complete_data[Restaurant count],0)</f>
        <v>52</v>
      </c>
      <c r="S58">
        <v>35</v>
      </c>
      <c r="T58">
        <v>80</v>
      </c>
      <c r="U58" s="1">
        <v>59.166666666666664</v>
      </c>
      <c r="V58" s="1">
        <f>_xlfn.RANK.EQ(Complete_data[[#This Row],[Max Temperature]],Complete_data[Max Temperature],0)</f>
        <v>50</v>
      </c>
      <c r="W58" s="1">
        <f>_xlfn.RANK.EQ(Complete_data[[#This Row],[Min Temperature]],Complete_data[Min Temperature],0)</f>
        <v>69</v>
      </c>
      <c r="X58" s="1">
        <f>_xlfn.RANK.EQ(Complete_data[[#This Row],[Avg Temperature]],Complete_data[Avg Temperature],0)</f>
        <v>57</v>
      </c>
      <c r="Y58">
        <v>8</v>
      </c>
      <c r="Z58">
        <v>0</v>
      </c>
      <c r="AA58">
        <v>1</v>
      </c>
      <c r="AB58">
        <v>1</v>
      </c>
      <c r="AC58">
        <v>4</v>
      </c>
      <c r="AD58">
        <v>1</v>
      </c>
      <c r="AE58">
        <v>0</v>
      </c>
      <c r="AF58">
        <v>1</v>
      </c>
      <c r="AG58">
        <v>1</v>
      </c>
      <c r="AH58">
        <v>0</v>
      </c>
      <c r="AI58">
        <f>SUM(Complete_data[[#This Row],[GENERAL ACUTE CARE]:[CHRONIC DISEASE]])</f>
        <v>17</v>
      </c>
      <c r="AJ58">
        <f>_xlfn.RANK.EQ(Complete_data[[#This Row],[Hospital Count]],Complete_data[Hospital Count],0)</f>
        <v>21</v>
      </c>
      <c r="AK58">
        <v>48.97</v>
      </c>
      <c r="AL58">
        <v>52.57</v>
      </c>
      <c r="AM58">
        <v>54.53</v>
      </c>
      <c r="AN58">
        <v>49.26</v>
      </c>
      <c r="AO58">
        <v>48.67</v>
      </c>
      <c r="AP58">
        <v>47.76</v>
      </c>
      <c r="AQ58">
        <v>47.98</v>
      </c>
      <c r="AR58">
        <v>47.7</v>
      </c>
      <c r="AS58">
        <v>0</v>
      </c>
      <c r="AT58">
        <v>45.79</v>
      </c>
      <c r="AU58">
        <f>AVERAGE(Complete_data[[#This Row],[2009]:[2019]])</f>
        <v>44.323</v>
      </c>
      <c r="AV58">
        <f>_xlfn.RANK.EQ(Complete_data[[#This Row],[Average crime rate]],Complete_data[Average crime rate],1)</f>
        <v>63</v>
      </c>
      <c r="AW58">
        <v>35</v>
      </c>
      <c r="AX58">
        <v>39</v>
      </c>
      <c r="AY58">
        <v>49</v>
      </c>
      <c r="AZ58">
        <v>60</v>
      </c>
      <c r="BA58">
        <v>69</v>
      </c>
      <c r="BB58">
        <v>77</v>
      </c>
      <c r="BC58">
        <v>80</v>
      </c>
      <c r="BD58">
        <v>79</v>
      </c>
      <c r="BE58">
        <v>73</v>
      </c>
      <c r="BF58">
        <v>61</v>
      </c>
      <c r="BG58">
        <v>47</v>
      </c>
      <c r="BH58">
        <v>41</v>
      </c>
    </row>
    <row r="59" spans="1:60" x14ac:dyDescent="0.3">
      <c r="A59" t="s">
        <v>205</v>
      </c>
      <c r="B59" t="s">
        <v>210</v>
      </c>
      <c r="C59" t="s">
        <v>211</v>
      </c>
      <c r="E59">
        <v>70</v>
      </c>
      <c r="F59">
        <v>9</v>
      </c>
      <c r="G59">
        <v>9</v>
      </c>
      <c r="H59">
        <v>26</v>
      </c>
      <c r="I59">
        <v>18</v>
      </c>
      <c r="J59">
        <v>16</v>
      </c>
      <c r="K59">
        <v>5</v>
      </c>
      <c r="L59">
        <v>6</v>
      </c>
      <c r="M59">
        <v>2</v>
      </c>
      <c r="N59">
        <v>9</v>
      </c>
      <c r="Q59">
        <f>SUM(Complete_data[[#This Row],[American]:[Indian]])</f>
        <v>170</v>
      </c>
      <c r="R59">
        <f>_xlfn.RANK.EQ(Complete_data[[#This Row],[Restaurant count]],Complete_data[Restaurant count],0)</f>
        <v>133</v>
      </c>
      <c r="S59">
        <v>36</v>
      </c>
      <c r="T59">
        <v>79</v>
      </c>
      <c r="U59" s="1">
        <v>58.75</v>
      </c>
      <c r="V59" s="1">
        <f>_xlfn.RANK.EQ(Complete_data[[#This Row],[Max Temperature]],Complete_data[Max Temperature],0)</f>
        <v>61</v>
      </c>
      <c r="W59" s="1">
        <f>_xlfn.RANK.EQ(Complete_data[[#This Row],[Min Temperature]],Complete_data[Min Temperature],0)</f>
        <v>67</v>
      </c>
      <c r="X59" s="1">
        <f>_xlfn.RANK.EQ(Complete_data[[#This Row],[Avg Temperature]],Complete_data[Avg Temperature],0)</f>
        <v>58</v>
      </c>
      <c r="Y59">
        <v>2</v>
      </c>
      <c r="Z59">
        <v>0</v>
      </c>
      <c r="AA59">
        <v>0</v>
      </c>
      <c r="AB59">
        <v>0</v>
      </c>
      <c r="AC59">
        <v>0</v>
      </c>
      <c r="AD59">
        <v>0</v>
      </c>
      <c r="AE59">
        <v>0</v>
      </c>
      <c r="AF59">
        <v>0</v>
      </c>
      <c r="AG59">
        <v>0</v>
      </c>
      <c r="AH59">
        <v>0</v>
      </c>
      <c r="AI59">
        <f>SUM(Complete_data[[#This Row],[GENERAL ACUTE CARE]:[CHRONIC DISEASE]])</f>
        <v>2</v>
      </c>
      <c r="AJ59">
        <f>_xlfn.RANK.EQ(Complete_data[[#This Row],[Hospital Count]],Complete_data[Hospital Count],0)</f>
        <v>124</v>
      </c>
      <c r="AK59">
        <v>62.38</v>
      </c>
      <c r="AL59">
        <v>51.91</v>
      </c>
      <c r="AM59">
        <v>48.97</v>
      </c>
      <c r="AN59">
        <v>54.13</v>
      </c>
      <c r="AO59">
        <v>50.79</v>
      </c>
      <c r="AP59">
        <v>57.64</v>
      </c>
      <c r="AQ59">
        <v>60.88</v>
      </c>
      <c r="AR59">
        <v>58.33</v>
      </c>
      <c r="AS59">
        <v>4.13</v>
      </c>
      <c r="AT59">
        <v>55.73</v>
      </c>
      <c r="AU59">
        <f>AVERAGE(Complete_data[[#This Row],[2009]:[2019]])</f>
        <v>50.488999999999997</v>
      </c>
      <c r="AV59">
        <f>_xlfn.RANK.EQ(Complete_data[[#This Row],[Average crime rate]],Complete_data[Average crime rate],1)</f>
        <v>89</v>
      </c>
      <c r="AW59">
        <v>36</v>
      </c>
      <c r="AX59">
        <v>39</v>
      </c>
      <c r="AY59">
        <v>49</v>
      </c>
      <c r="AZ59">
        <v>60</v>
      </c>
      <c r="BA59">
        <v>68</v>
      </c>
      <c r="BB59">
        <v>77</v>
      </c>
      <c r="BC59">
        <v>79</v>
      </c>
      <c r="BD59">
        <v>77</v>
      </c>
      <c r="BE59">
        <v>72</v>
      </c>
      <c r="BF59">
        <v>60</v>
      </c>
      <c r="BG59">
        <v>47</v>
      </c>
      <c r="BH59">
        <v>41</v>
      </c>
    </row>
    <row r="60" spans="1:60" x14ac:dyDescent="0.3">
      <c r="A60" t="s">
        <v>212</v>
      </c>
      <c r="B60" t="s">
        <v>213</v>
      </c>
      <c r="C60" t="s">
        <v>214</v>
      </c>
      <c r="E60">
        <v>92</v>
      </c>
      <c r="F60">
        <v>7</v>
      </c>
      <c r="G60">
        <v>11</v>
      </c>
      <c r="H60">
        <v>65</v>
      </c>
      <c r="I60">
        <v>20</v>
      </c>
      <c r="J60">
        <v>18</v>
      </c>
      <c r="K60">
        <v>7</v>
      </c>
      <c r="L60">
        <v>13</v>
      </c>
      <c r="M60">
        <v>2</v>
      </c>
      <c r="N60">
        <v>18</v>
      </c>
      <c r="P60">
        <v>1</v>
      </c>
      <c r="Q60">
        <f>SUM(Complete_data[[#This Row],[American]:[Indian]])</f>
        <v>254</v>
      </c>
      <c r="R60">
        <f>_xlfn.RANK.EQ(Complete_data[[#This Row],[Restaurant count]],Complete_data[Restaurant count],0)</f>
        <v>123</v>
      </c>
      <c r="S60">
        <v>52</v>
      </c>
      <c r="T60">
        <v>83</v>
      </c>
      <c r="U60" s="1">
        <v>69.083333333333329</v>
      </c>
      <c r="V60" s="1">
        <f>_xlfn.RANK.EQ(Complete_data[[#This Row],[Max Temperature]],Complete_data[Max Temperature],0)</f>
        <v>21</v>
      </c>
      <c r="W60" s="1">
        <f>_xlfn.RANK.EQ(Complete_data[[#This Row],[Min Temperature]],Complete_data[Min Temperature],0)</f>
        <v>15</v>
      </c>
      <c r="X60" s="1">
        <f>_xlfn.RANK.EQ(Complete_data[[#This Row],[Avg Temperature]],Complete_data[Avg Temperature],0)</f>
        <v>14</v>
      </c>
      <c r="Y60">
        <v>5</v>
      </c>
      <c r="Z60">
        <v>0</v>
      </c>
      <c r="AA60">
        <v>0</v>
      </c>
      <c r="AB60">
        <v>0</v>
      </c>
      <c r="AC60">
        <v>2</v>
      </c>
      <c r="AD60">
        <v>0</v>
      </c>
      <c r="AE60">
        <v>0</v>
      </c>
      <c r="AF60">
        <v>0</v>
      </c>
      <c r="AG60">
        <v>1</v>
      </c>
      <c r="AH60">
        <v>0</v>
      </c>
      <c r="AI60">
        <f>SUM(Complete_data[[#This Row],[GENERAL ACUTE CARE]:[CHRONIC DISEASE]])</f>
        <v>8</v>
      </c>
      <c r="AJ60">
        <f>_xlfn.RANK.EQ(Complete_data[[#This Row],[Hospital Count]],Complete_data[Hospital Count],0)</f>
        <v>69</v>
      </c>
      <c r="AK60">
        <v>57.33</v>
      </c>
      <c r="AL60">
        <v>49.24</v>
      </c>
      <c r="AM60">
        <v>0</v>
      </c>
      <c r="AN60">
        <v>0</v>
      </c>
      <c r="AO60">
        <v>55.24</v>
      </c>
      <c r="AP60">
        <v>0</v>
      </c>
      <c r="AQ60">
        <v>47.85</v>
      </c>
      <c r="AR60">
        <v>53.6</v>
      </c>
      <c r="AS60">
        <v>55.9</v>
      </c>
      <c r="AT60">
        <v>42.17</v>
      </c>
      <c r="AU60">
        <f>AVERAGE(Complete_data[[#This Row],[2009]:[2019]])</f>
        <v>36.132999999999996</v>
      </c>
      <c r="AV60">
        <f>_xlfn.RANK.EQ(Complete_data[[#This Row],[Average crime rate]],Complete_data[Average crime rate],1)</f>
        <v>35</v>
      </c>
      <c r="AW60">
        <v>52</v>
      </c>
      <c r="AX60">
        <v>57</v>
      </c>
      <c r="AY60">
        <v>63</v>
      </c>
      <c r="AZ60">
        <v>69</v>
      </c>
      <c r="BA60">
        <v>75</v>
      </c>
      <c r="BB60">
        <v>82</v>
      </c>
      <c r="BC60">
        <v>83</v>
      </c>
      <c r="BD60">
        <v>83</v>
      </c>
      <c r="BE60">
        <v>79</v>
      </c>
      <c r="BF60">
        <v>70</v>
      </c>
      <c r="BG60">
        <v>60</v>
      </c>
      <c r="BH60">
        <v>56</v>
      </c>
    </row>
    <row r="61" spans="1:60" x14ac:dyDescent="0.3">
      <c r="A61" t="s">
        <v>212</v>
      </c>
      <c r="B61" t="s">
        <v>215</v>
      </c>
      <c r="C61" t="s">
        <v>216</v>
      </c>
      <c r="E61">
        <v>919</v>
      </c>
      <c r="F61">
        <v>171</v>
      </c>
      <c r="G61">
        <v>82</v>
      </c>
      <c r="H61">
        <v>556</v>
      </c>
      <c r="I61">
        <v>196</v>
      </c>
      <c r="J61">
        <v>103</v>
      </c>
      <c r="K61">
        <v>18</v>
      </c>
      <c r="L61">
        <v>134</v>
      </c>
      <c r="M61">
        <v>12</v>
      </c>
      <c r="N61">
        <v>195</v>
      </c>
      <c r="O61">
        <v>7</v>
      </c>
      <c r="P61">
        <v>11</v>
      </c>
      <c r="Q61">
        <f>SUM(Complete_data[[#This Row],[American]:[Indian]])</f>
        <v>2404</v>
      </c>
      <c r="R61">
        <f>_xlfn.RANK.EQ(Complete_data[[#This Row],[Restaurant count]],Complete_data[Restaurant count],0)</f>
        <v>32</v>
      </c>
      <c r="S61">
        <v>54</v>
      </c>
      <c r="T61">
        <v>83</v>
      </c>
      <c r="U61" s="1">
        <v>70.666666666666671</v>
      </c>
      <c r="V61" s="1">
        <f>_xlfn.RANK.EQ(Complete_data[[#This Row],[Max Temperature]],Complete_data[Max Temperature],0)</f>
        <v>21</v>
      </c>
      <c r="W61" s="1">
        <f>_xlfn.RANK.EQ(Complete_data[[#This Row],[Min Temperature]],Complete_data[Min Temperature],0)</f>
        <v>11</v>
      </c>
      <c r="X61" s="1">
        <f>_xlfn.RANK.EQ(Complete_data[[#This Row],[Avg Temperature]],Complete_data[Avg Temperature],0)</f>
        <v>11</v>
      </c>
      <c r="Y61">
        <v>8</v>
      </c>
      <c r="Z61">
        <v>0</v>
      </c>
      <c r="AA61">
        <v>1</v>
      </c>
      <c r="AB61">
        <v>1</v>
      </c>
      <c r="AC61">
        <v>4</v>
      </c>
      <c r="AD61">
        <v>1</v>
      </c>
      <c r="AE61">
        <v>0</v>
      </c>
      <c r="AF61">
        <v>1</v>
      </c>
      <c r="AG61">
        <v>0</v>
      </c>
      <c r="AH61">
        <v>0</v>
      </c>
      <c r="AI61">
        <f>SUM(Complete_data[[#This Row],[GENERAL ACUTE CARE]:[CHRONIC DISEASE]])</f>
        <v>16</v>
      </c>
      <c r="AJ61">
        <f>_xlfn.RANK.EQ(Complete_data[[#This Row],[Hospital Count]],Complete_data[Hospital Count],0)</f>
        <v>28</v>
      </c>
      <c r="AK61">
        <v>46.23</v>
      </c>
      <c r="AL61">
        <v>42.77</v>
      </c>
      <c r="AM61">
        <v>48.31</v>
      </c>
      <c r="AN61">
        <v>45.88</v>
      </c>
      <c r="AO61">
        <v>46.39</v>
      </c>
      <c r="AP61">
        <v>52.06</v>
      </c>
      <c r="AQ61">
        <v>48.33</v>
      </c>
      <c r="AR61">
        <v>53.76</v>
      </c>
      <c r="AS61">
        <v>57.2</v>
      </c>
      <c r="AT61">
        <v>64.37</v>
      </c>
      <c r="AU61">
        <f>AVERAGE(Complete_data[[#This Row],[2009]:[2019]])</f>
        <v>50.529999999999994</v>
      </c>
      <c r="AV61">
        <f>_xlfn.RANK.EQ(Complete_data[[#This Row],[Average crime rate]],Complete_data[Average crime rate],1)</f>
        <v>90</v>
      </c>
      <c r="AW61">
        <v>54</v>
      </c>
      <c r="AX61">
        <v>59</v>
      </c>
      <c r="AY61">
        <v>65</v>
      </c>
      <c r="AZ61">
        <v>71</v>
      </c>
      <c r="BA61">
        <v>77</v>
      </c>
      <c r="BB61">
        <v>82</v>
      </c>
      <c r="BC61">
        <v>83</v>
      </c>
      <c r="BD61">
        <v>83</v>
      </c>
      <c r="BE61">
        <v>81</v>
      </c>
      <c r="BF61">
        <v>73</v>
      </c>
      <c r="BG61">
        <v>62</v>
      </c>
      <c r="BH61">
        <v>58</v>
      </c>
    </row>
    <row r="62" spans="1:60" x14ac:dyDescent="0.3">
      <c r="A62" t="s">
        <v>212</v>
      </c>
      <c r="B62" t="s">
        <v>217</v>
      </c>
      <c r="C62" t="s">
        <v>218</v>
      </c>
      <c r="E62">
        <v>189</v>
      </c>
      <c r="F62">
        <v>34</v>
      </c>
      <c r="G62">
        <v>24</v>
      </c>
      <c r="H62">
        <v>126</v>
      </c>
      <c r="I62">
        <v>41</v>
      </c>
      <c r="J62">
        <v>43</v>
      </c>
      <c r="K62">
        <v>9</v>
      </c>
      <c r="L62">
        <v>18</v>
      </c>
      <c r="M62">
        <v>5</v>
      </c>
      <c r="N62">
        <v>44</v>
      </c>
      <c r="P62">
        <v>2</v>
      </c>
      <c r="Q62">
        <f>SUM(Complete_data[[#This Row],[American]:[Indian]])</f>
        <v>535</v>
      </c>
      <c r="R62">
        <f>_xlfn.RANK.EQ(Complete_data[[#This Row],[Restaurant count]],Complete_data[Restaurant count],0)</f>
        <v>91</v>
      </c>
      <c r="S62">
        <v>47</v>
      </c>
      <c r="T62">
        <v>84</v>
      </c>
      <c r="U62" s="1">
        <v>66.583333333333329</v>
      </c>
      <c r="V62" s="1">
        <f>_xlfn.RANK.EQ(Complete_data[[#This Row],[Max Temperature]],Complete_data[Max Temperature],0)</f>
        <v>15</v>
      </c>
      <c r="W62" s="1">
        <f>_xlfn.RANK.EQ(Complete_data[[#This Row],[Min Temperature]],Complete_data[Min Temperature],0)</f>
        <v>26</v>
      </c>
      <c r="X62" s="1">
        <f>_xlfn.RANK.EQ(Complete_data[[#This Row],[Avg Temperature]],Complete_data[Avg Temperature],0)</f>
        <v>24</v>
      </c>
      <c r="Y62">
        <v>6</v>
      </c>
      <c r="Z62">
        <v>0</v>
      </c>
      <c r="AA62">
        <v>1</v>
      </c>
      <c r="AB62">
        <v>2</v>
      </c>
      <c r="AC62">
        <v>2</v>
      </c>
      <c r="AD62">
        <v>0</v>
      </c>
      <c r="AE62">
        <v>0</v>
      </c>
      <c r="AF62">
        <v>1</v>
      </c>
      <c r="AG62">
        <v>0</v>
      </c>
      <c r="AH62">
        <v>0</v>
      </c>
      <c r="AI62">
        <f>SUM(Complete_data[[#This Row],[GENERAL ACUTE CARE]:[CHRONIC DISEASE]])</f>
        <v>12</v>
      </c>
      <c r="AJ62">
        <f>_xlfn.RANK.EQ(Complete_data[[#This Row],[Hospital Count]],Complete_data[Hospital Count],0)</f>
        <v>46</v>
      </c>
      <c r="AK62">
        <v>61.66</v>
      </c>
      <c r="AL62">
        <v>55.48</v>
      </c>
      <c r="AM62">
        <v>55.75</v>
      </c>
      <c r="AN62">
        <v>56.84</v>
      </c>
      <c r="AO62">
        <v>54.71</v>
      </c>
      <c r="AP62">
        <v>53.5</v>
      </c>
      <c r="AQ62">
        <v>59.89</v>
      </c>
      <c r="AR62">
        <v>65.760000000000005</v>
      </c>
      <c r="AS62">
        <v>60.67</v>
      </c>
      <c r="AT62">
        <v>57.18</v>
      </c>
      <c r="AU62">
        <f>AVERAGE(Complete_data[[#This Row],[2009]:[2019]])</f>
        <v>58.143999999999991</v>
      </c>
      <c r="AV62">
        <f>_xlfn.RANK.EQ(Complete_data[[#This Row],[Average crime rate]],Complete_data[Average crime rate],1)</f>
        <v>114</v>
      </c>
      <c r="AW62">
        <v>47</v>
      </c>
      <c r="AX62">
        <v>51</v>
      </c>
      <c r="AY62">
        <v>60</v>
      </c>
      <c r="AZ62">
        <v>66</v>
      </c>
      <c r="BA62">
        <v>74</v>
      </c>
      <c r="BB62">
        <v>81</v>
      </c>
      <c r="BC62">
        <v>83</v>
      </c>
      <c r="BD62">
        <v>84</v>
      </c>
      <c r="BE62">
        <v>79</v>
      </c>
      <c r="BF62">
        <v>68</v>
      </c>
      <c r="BG62">
        <v>56</v>
      </c>
      <c r="BH62">
        <v>50</v>
      </c>
    </row>
    <row r="63" spans="1:60" x14ac:dyDescent="0.3">
      <c r="A63" t="s">
        <v>219</v>
      </c>
      <c r="B63" t="s">
        <v>220</v>
      </c>
      <c r="C63" t="s">
        <v>221</v>
      </c>
      <c r="E63">
        <v>1185</v>
      </c>
      <c r="F63">
        <v>188</v>
      </c>
      <c r="G63">
        <v>158</v>
      </c>
      <c r="H63">
        <v>988</v>
      </c>
      <c r="I63">
        <v>540</v>
      </c>
      <c r="J63">
        <v>174</v>
      </c>
      <c r="K63">
        <v>32</v>
      </c>
      <c r="L63">
        <v>158</v>
      </c>
      <c r="M63">
        <v>25</v>
      </c>
      <c r="N63">
        <v>446</v>
      </c>
      <c r="O63">
        <v>26</v>
      </c>
      <c r="P63">
        <v>59</v>
      </c>
      <c r="Q63">
        <f>SUM(Complete_data[[#This Row],[American]:[Indian]])</f>
        <v>3979</v>
      </c>
      <c r="R63">
        <f>_xlfn.RANK.EQ(Complete_data[[#This Row],[Restaurant count]],Complete_data[Restaurant count],0)</f>
        <v>19</v>
      </c>
      <c r="S63">
        <v>34</v>
      </c>
      <c r="T63">
        <v>79</v>
      </c>
      <c r="U63" s="1">
        <v>56.833333333333336</v>
      </c>
      <c r="V63" s="1">
        <f>_xlfn.RANK.EQ(Complete_data[[#This Row],[Max Temperature]],Complete_data[Max Temperature],0)</f>
        <v>61</v>
      </c>
      <c r="W63" s="1">
        <f>_xlfn.RANK.EQ(Complete_data[[#This Row],[Min Temperature]],Complete_data[Min Temperature],0)</f>
        <v>70</v>
      </c>
      <c r="X63" s="1">
        <f>_xlfn.RANK.EQ(Complete_data[[#This Row],[Avg Temperature]],Complete_data[Avg Temperature],0)</f>
        <v>68</v>
      </c>
      <c r="Y63">
        <v>16</v>
      </c>
      <c r="Z63">
        <v>0</v>
      </c>
      <c r="AA63">
        <v>0</v>
      </c>
      <c r="AB63">
        <v>1</v>
      </c>
      <c r="AC63">
        <v>1</v>
      </c>
      <c r="AD63">
        <v>0</v>
      </c>
      <c r="AE63">
        <v>0</v>
      </c>
      <c r="AF63">
        <v>2</v>
      </c>
      <c r="AG63">
        <v>0</v>
      </c>
      <c r="AH63">
        <v>0</v>
      </c>
      <c r="AI63">
        <f>SUM(Complete_data[[#This Row],[GENERAL ACUTE CARE]:[CHRONIC DISEASE]])</f>
        <v>20</v>
      </c>
      <c r="AJ63">
        <f>_xlfn.RANK.EQ(Complete_data[[#This Row],[Hospital Count]],Complete_data[Hospital Count],0)</f>
        <v>16</v>
      </c>
      <c r="AK63">
        <v>61.33</v>
      </c>
      <c r="AL63">
        <v>59.25</v>
      </c>
      <c r="AM63">
        <v>62.24</v>
      </c>
      <c r="AN63">
        <v>61.04</v>
      </c>
      <c r="AO63">
        <v>63.9</v>
      </c>
      <c r="AP63">
        <v>60.91</v>
      </c>
      <c r="AQ63">
        <v>65.58</v>
      </c>
      <c r="AR63">
        <v>69.98</v>
      </c>
      <c r="AS63">
        <v>63.52</v>
      </c>
      <c r="AT63">
        <v>61.88</v>
      </c>
      <c r="AU63">
        <f>AVERAGE(Complete_data[[#This Row],[2009]:[2019]])</f>
        <v>62.963000000000001</v>
      </c>
      <c r="AV63">
        <f>_xlfn.RANK.EQ(Complete_data[[#This Row],[Average crime rate]],Complete_data[Average crime rate],1)</f>
        <v>128</v>
      </c>
      <c r="AW63">
        <v>34</v>
      </c>
      <c r="AX63">
        <v>37</v>
      </c>
      <c r="AY63">
        <v>45</v>
      </c>
      <c r="AZ63">
        <v>56</v>
      </c>
      <c r="BA63">
        <v>65</v>
      </c>
      <c r="BB63">
        <v>74</v>
      </c>
      <c r="BC63">
        <v>79</v>
      </c>
      <c r="BD63">
        <v>76</v>
      </c>
      <c r="BE63">
        <v>71</v>
      </c>
      <c r="BF63">
        <v>59</v>
      </c>
      <c r="BG63">
        <v>46</v>
      </c>
      <c r="BH63">
        <v>40</v>
      </c>
    </row>
    <row r="64" spans="1:60" x14ac:dyDescent="0.3">
      <c r="A64" t="s">
        <v>219</v>
      </c>
      <c r="B64" t="s">
        <v>222</v>
      </c>
      <c r="C64" t="s">
        <v>223</v>
      </c>
      <c r="E64">
        <v>543</v>
      </c>
      <c r="F64">
        <v>137</v>
      </c>
      <c r="G64">
        <v>95</v>
      </c>
      <c r="H64">
        <v>567</v>
      </c>
      <c r="I64">
        <v>207</v>
      </c>
      <c r="J64">
        <v>159</v>
      </c>
      <c r="K64">
        <v>26</v>
      </c>
      <c r="L64">
        <v>72</v>
      </c>
      <c r="M64">
        <v>12</v>
      </c>
      <c r="N64">
        <v>371</v>
      </c>
      <c r="O64">
        <v>10</v>
      </c>
      <c r="P64">
        <v>35</v>
      </c>
      <c r="Q64">
        <f>SUM(Complete_data[[#This Row],[American]:[Indian]])</f>
        <v>2234</v>
      </c>
      <c r="R64">
        <f>_xlfn.RANK.EQ(Complete_data[[#This Row],[Restaurant count]],Complete_data[Restaurant count],0)</f>
        <v>35</v>
      </c>
      <c r="S64">
        <v>37</v>
      </c>
      <c r="T64">
        <v>82</v>
      </c>
      <c r="U64" s="1">
        <v>59.583333333333336</v>
      </c>
      <c r="V64" s="1">
        <f>_xlfn.RANK.EQ(Complete_data[[#This Row],[Max Temperature]],Complete_data[Max Temperature],0)</f>
        <v>29</v>
      </c>
      <c r="W64" s="1">
        <f>_xlfn.RANK.EQ(Complete_data[[#This Row],[Min Temperature]],Complete_data[Min Temperature],0)</f>
        <v>61</v>
      </c>
      <c r="X64" s="1">
        <f>_xlfn.RANK.EQ(Complete_data[[#This Row],[Avg Temperature]],Complete_data[Avg Temperature],0)</f>
        <v>55</v>
      </c>
      <c r="Y64">
        <v>1</v>
      </c>
      <c r="Z64">
        <v>0</v>
      </c>
      <c r="AA64">
        <v>0</v>
      </c>
      <c r="AB64">
        <v>0</v>
      </c>
      <c r="AC64">
        <v>0</v>
      </c>
      <c r="AD64">
        <v>0</v>
      </c>
      <c r="AE64">
        <v>0</v>
      </c>
      <c r="AF64">
        <v>0</v>
      </c>
      <c r="AG64">
        <v>0</v>
      </c>
      <c r="AH64">
        <v>0</v>
      </c>
      <c r="AI64">
        <f>SUM(Complete_data[[#This Row],[GENERAL ACUTE CARE]:[CHRONIC DISEASE]])</f>
        <v>1</v>
      </c>
      <c r="AJ64">
        <f>_xlfn.RANK.EQ(Complete_data[[#This Row],[Hospital Count]],Complete_data[Hospital Count],0)</f>
        <v>137</v>
      </c>
      <c r="AK64">
        <v>0</v>
      </c>
      <c r="AL64">
        <v>0</v>
      </c>
      <c r="AM64">
        <v>0</v>
      </c>
      <c r="AN64">
        <v>0</v>
      </c>
      <c r="AO64">
        <v>0</v>
      </c>
      <c r="AP64">
        <v>0</v>
      </c>
      <c r="AQ64">
        <v>0</v>
      </c>
      <c r="AR64">
        <v>0</v>
      </c>
      <c r="AS64">
        <v>0</v>
      </c>
      <c r="AT64">
        <v>0</v>
      </c>
      <c r="AU64">
        <f>AVERAGE(Complete_data[[#This Row],[2009]:[2019]])</f>
        <v>0</v>
      </c>
      <c r="AV64">
        <f>_xlfn.RANK.EQ(Complete_data[[#This Row],[Average crime rate]],Complete_data[Average crime rate],1)</f>
        <v>1</v>
      </c>
      <c r="AW64">
        <v>37</v>
      </c>
      <c r="AX64">
        <v>40</v>
      </c>
      <c r="AY64">
        <v>48</v>
      </c>
      <c r="AZ64">
        <v>58</v>
      </c>
      <c r="BA64">
        <v>67</v>
      </c>
      <c r="BB64">
        <v>77</v>
      </c>
      <c r="BC64">
        <v>82</v>
      </c>
      <c r="BD64">
        <v>79</v>
      </c>
      <c r="BE64">
        <v>73</v>
      </c>
      <c r="BF64">
        <v>62</v>
      </c>
      <c r="BG64">
        <v>49</v>
      </c>
      <c r="BH64">
        <v>43</v>
      </c>
    </row>
    <row r="65" spans="1:60" x14ac:dyDescent="0.3">
      <c r="A65" t="s">
        <v>224</v>
      </c>
      <c r="B65" t="s">
        <v>225</v>
      </c>
      <c r="C65" t="s">
        <v>226</v>
      </c>
      <c r="E65">
        <v>5</v>
      </c>
      <c r="G65">
        <v>2</v>
      </c>
      <c r="H65">
        <v>2</v>
      </c>
      <c r="L65">
        <v>1</v>
      </c>
      <c r="N65">
        <v>1</v>
      </c>
      <c r="Q65">
        <f>SUM(Complete_data[[#This Row],[American]:[Indian]])</f>
        <v>11</v>
      </c>
      <c r="R65">
        <f>_xlfn.RANK.EQ(Complete_data[[#This Row],[Restaurant count]],Complete_data[Restaurant count],0)</f>
        <v>147</v>
      </c>
      <c r="S65">
        <v>15</v>
      </c>
      <c r="T65">
        <v>68</v>
      </c>
      <c r="U65" s="1">
        <v>41.583333333333336</v>
      </c>
      <c r="V65" s="1">
        <f>_xlfn.RANK.EQ(Complete_data[[#This Row],[Max Temperature]],Complete_data[Max Temperature],0)</f>
        <v>141</v>
      </c>
      <c r="W65" s="1">
        <f>_xlfn.RANK.EQ(Complete_data[[#This Row],[Min Temperature]],Complete_data[Min Temperature],0)</f>
        <v>144</v>
      </c>
      <c r="X65" s="1">
        <f>_xlfn.RANK.EQ(Complete_data[[#This Row],[Avg Temperature]],Complete_data[Avg Temperature],0)</f>
        <v>145</v>
      </c>
      <c r="Y65">
        <v>1</v>
      </c>
      <c r="Z65">
        <v>0</v>
      </c>
      <c r="AA65">
        <v>0</v>
      </c>
      <c r="AB65">
        <v>0</v>
      </c>
      <c r="AC65">
        <v>0</v>
      </c>
      <c r="AD65">
        <v>0</v>
      </c>
      <c r="AE65">
        <v>0</v>
      </c>
      <c r="AF65">
        <v>0</v>
      </c>
      <c r="AG65">
        <v>0</v>
      </c>
      <c r="AH65">
        <v>0</v>
      </c>
      <c r="AI65">
        <f>SUM(Complete_data[[#This Row],[GENERAL ACUTE CARE]:[CHRONIC DISEASE]])</f>
        <v>1</v>
      </c>
      <c r="AJ65">
        <f>_xlfn.RANK.EQ(Complete_data[[#This Row],[Hospital Count]],Complete_data[Hospital Count],0)</f>
        <v>137</v>
      </c>
      <c r="AK65">
        <v>18.09</v>
      </c>
      <c r="AL65">
        <v>23.56</v>
      </c>
      <c r="AM65">
        <v>20.64</v>
      </c>
      <c r="AN65">
        <v>20.74</v>
      </c>
      <c r="AO65">
        <v>14.73</v>
      </c>
      <c r="AP65">
        <v>18.100000000000001</v>
      </c>
      <c r="AQ65">
        <v>19.62</v>
      </c>
      <c r="AR65">
        <v>14.61</v>
      </c>
      <c r="AS65">
        <v>11.55</v>
      </c>
      <c r="AT65">
        <v>17.75</v>
      </c>
      <c r="AU65">
        <f>AVERAGE(Complete_data[[#This Row],[2009]:[2019]])</f>
        <v>17.939000000000004</v>
      </c>
      <c r="AV65">
        <f>_xlfn.RANK.EQ(Complete_data[[#This Row],[Average crime rate]],Complete_data[Average crime rate],1)</f>
        <v>5</v>
      </c>
      <c r="AW65">
        <v>15</v>
      </c>
      <c r="AX65">
        <v>16</v>
      </c>
      <c r="AY65">
        <v>25</v>
      </c>
      <c r="AZ65">
        <v>38</v>
      </c>
      <c r="BA65">
        <v>52</v>
      </c>
      <c r="BB65">
        <v>61</v>
      </c>
      <c r="BC65">
        <v>68</v>
      </c>
      <c r="BD65">
        <v>66</v>
      </c>
      <c r="BE65">
        <v>58</v>
      </c>
      <c r="BF65">
        <v>46</v>
      </c>
      <c r="BG65">
        <v>33</v>
      </c>
      <c r="BH65">
        <v>21</v>
      </c>
    </row>
    <row r="66" spans="1:60" x14ac:dyDescent="0.3">
      <c r="A66" t="s">
        <v>224</v>
      </c>
      <c r="B66" t="s">
        <v>227</v>
      </c>
      <c r="C66" t="s">
        <v>228</v>
      </c>
      <c r="E66">
        <v>387</v>
      </c>
      <c r="F66">
        <v>65</v>
      </c>
      <c r="G66">
        <v>52</v>
      </c>
      <c r="H66">
        <v>141</v>
      </c>
      <c r="I66">
        <v>111</v>
      </c>
      <c r="J66">
        <v>32</v>
      </c>
      <c r="K66">
        <v>8</v>
      </c>
      <c r="L66">
        <v>23</v>
      </c>
      <c r="M66">
        <v>4</v>
      </c>
      <c r="N66">
        <v>92</v>
      </c>
      <c r="P66">
        <v>6</v>
      </c>
      <c r="Q66">
        <f>SUM(Complete_data[[#This Row],[American]:[Indian]])</f>
        <v>921</v>
      </c>
      <c r="R66">
        <f>_xlfn.RANK.EQ(Complete_data[[#This Row],[Restaurant count]],Complete_data[Restaurant count],0)</f>
        <v>71</v>
      </c>
      <c r="S66">
        <v>26</v>
      </c>
      <c r="T66">
        <v>71</v>
      </c>
      <c r="U66" s="1">
        <v>48</v>
      </c>
      <c r="V66" s="1">
        <f>_xlfn.RANK.EQ(Complete_data[[#This Row],[Max Temperature]],Complete_data[Max Temperature],0)</f>
        <v>132</v>
      </c>
      <c r="W66" s="1">
        <f>_xlfn.RANK.EQ(Complete_data[[#This Row],[Min Temperature]],Complete_data[Min Temperature],0)</f>
        <v>108</v>
      </c>
      <c r="X66" s="1">
        <f>_xlfn.RANK.EQ(Complete_data[[#This Row],[Avg Temperature]],Complete_data[Avg Temperature],0)</f>
        <v>128</v>
      </c>
      <c r="Y66">
        <v>2</v>
      </c>
      <c r="Z66">
        <v>0</v>
      </c>
      <c r="AA66">
        <v>0</v>
      </c>
      <c r="AB66">
        <v>0</v>
      </c>
      <c r="AC66">
        <v>0</v>
      </c>
      <c r="AD66">
        <v>1</v>
      </c>
      <c r="AE66">
        <v>0</v>
      </c>
      <c r="AF66">
        <v>0</v>
      </c>
      <c r="AG66">
        <v>0</v>
      </c>
      <c r="AH66">
        <v>0</v>
      </c>
      <c r="AI66">
        <f>SUM(Complete_data[[#This Row],[GENERAL ACUTE CARE]:[CHRONIC DISEASE]])</f>
        <v>3</v>
      </c>
      <c r="AJ66">
        <f>_xlfn.RANK.EQ(Complete_data[[#This Row],[Hospital Count]],Complete_data[Hospital Count],0)</f>
        <v>117</v>
      </c>
      <c r="AK66">
        <v>49.07</v>
      </c>
      <c r="AL66">
        <v>50.19</v>
      </c>
      <c r="AM66">
        <v>43.02</v>
      </c>
      <c r="AN66">
        <v>42.39</v>
      </c>
      <c r="AO66">
        <v>42.18</v>
      </c>
      <c r="AP66">
        <v>34.72</v>
      </c>
      <c r="AQ66">
        <v>33.51</v>
      </c>
      <c r="AR66">
        <v>29.32</v>
      </c>
      <c r="AS66">
        <v>27.3</v>
      </c>
      <c r="AT66">
        <v>28.3</v>
      </c>
      <c r="AU66">
        <f>AVERAGE(Complete_data[[#This Row],[2009]:[2019]])</f>
        <v>38.000000000000007</v>
      </c>
      <c r="AV66">
        <f>_xlfn.RANK.EQ(Complete_data[[#This Row],[Average crime rate]],Complete_data[Average crime rate],1)</f>
        <v>40</v>
      </c>
      <c r="AW66">
        <v>26</v>
      </c>
      <c r="AX66">
        <v>27</v>
      </c>
      <c r="AY66">
        <v>35</v>
      </c>
      <c r="AZ66">
        <v>45</v>
      </c>
      <c r="BA66">
        <v>55</v>
      </c>
      <c r="BB66">
        <v>63</v>
      </c>
      <c r="BC66">
        <v>71</v>
      </c>
      <c r="BD66">
        <v>69</v>
      </c>
      <c r="BE66">
        <v>62</v>
      </c>
      <c r="BF66">
        <v>52</v>
      </c>
      <c r="BG66">
        <v>40</v>
      </c>
      <c r="BH66">
        <v>31</v>
      </c>
    </row>
    <row r="67" spans="1:60" x14ac:dyDescent="0.3">
      <c r="A67" t="s">
        <v>229</v>
      </c>
      <c r="B67" t="s">
        <v>230</v>
      </c>
      <c r="C67" t="s">
        <v>231</v>
      </c>
      <c r="E67">
        <v>1584</v>
      </c>
      <c r="F67">
        <v>277</v>
      </c>
      <c r="G67">
        <v>259</v>
      </c>
      <c r="H67">
        <v>1484</v>
      </c>
      <c r="I67">
        <v>645</v>
      </c>
      <c r="J67">
        <v>217</v>
      </c>
      <c r="K67">
        <v>44</v>
      </c>
      <c r="L67">
        <v>225</v>
      </c>
      <c r="M67">
        <v>21</v>
      </c>
      <c r="N67">
        <v>519</v>
      </c>
      <c r="O67">
        <v>46</v>
      </c>
      <c r="P67">
        <v>53</v>
      </c>
      <c r="Q67">
        <f>SUM(Complete_data[[#This Row],[American]:[Indian]])</f>
        <v>5374</v>
      </c>
      <c r="R67">
        <f>_xlfn.RANK.EQ(Complete_data[[#This Row],[Restaurant count]],Complete_data[Restaurant count],0)</f>
        <v>13</v>
      </c>
      <c r="S67">
        <v>26</v>
      </c>
      <c r="T67">
        <v>75</v>
      </c>
      <c r="U67" s="1">
        <v>51.083333333333336</v>
      </c>
      <c r="V67" s="1">
        <f>_xlfn.RANK.EQ(Complete_data[[#This Row],[Max Temperature]],Complete_data[Max Temperature],0)</f>
        <v>94</v>
      </c>
      <c r="W67" s="1">
        <f>_xlfn.RANK.EQ(Complete_data[[#This Row],[Min Temperature]],Complete_data[Min Temperature],0)</f>
        <v>108</v>
      </c>
      <c r="X67" s="1">
        <f>_xlfn.RANK.EQ(Complete_data[[#This Row],[Avg Temperature]],Complete_data[Avg Temperature],0)</f>
        <v>108</v>
      </c>
      <c r="Y67">
        <v>7</v>
      </c>
      <c r="Z67">
        <v>0</v>
      </c>
      <c r="AA67">
        <v>1</v>
      </c>
      <c r="AB67">
        <v>4</v>
      </c>
      <c r="AC67">
        <v>0</v>
      </c>
      <c r="AD67">
        <v>1</v>
      </c>
      <c r="AE67">
        <v>0</v>
      </c>
      <c r="AF67">
        <v>1</v>
      </c>
      <c r="AG67">
        <v>0</v>
      </c>
      <c r="AH67">
        <v>0</v>
      </c>
      <c r="AI67">
        <f>SUM(Complete_data[[#This Row],[GENERAL ACUTE CARE]:[CHRONIC DISEASE]])</f>
        <v>14</v>
      </c>
      <c r="AJ67">
        <f>_xlfn.RANK.EQ(Complete_data[[#This Row],[Hospital Count]],Complete_data[Hospital Count],0)</f>
        <v>36</v>
      </c>
      <c r="AK67">
        <v>76.03</v>
      </c>
      <c r="AL67">
        <v>73.209999999999994</v>
      </c>
      <c r="AM67">
        <v>84.15</v>
      </c>
      <c r="AN67">
        <v>79.95</v>
      </c>
      <c r="AO67">
        <v>79.94</v>
      </c>
      <c r="AP67">
        <v>68.77</v>
      </c>
      <c r="AQ67">
        <v>59.78</v>
      </c>
      <c r="AR67">
        <v>67.27</v>
      </c>
      <c r="AS67">
        <v>64.400000000000006</v>
      </c>
      <c r="AT67">
        <v>63.87</v>
      </c>
      <c r="AU67">
        <f>AVERAGE(Complete_data[[#This Row],[2009]:[2019]])</f>
        <v>71.736999999999995</v>
      </c>
      <c r="AV67">
        <f>_xlfn.RANK.EQ(Complete_data[[#This Row],[Average crime rate]],Complete_data[Average crime rate],1)</f>
        <v>140</v>
      </c>
      <c r="AW67">
        <v>26</v>
      </c>
      <c r="AX67">
        <v>28</v>
      </c>
      <c r="AY67">
        <v>38</v>
      </c>
      <c r="AZ67">
        <v>48</v>
      </c>
      <c r="BA67">
        <v>61</v>
      </c>
      <c r="BB67">
        <v>70</v>
      </c>
      <c r="BC67">
        <v>75</v>
      </c>
      <c r="BD67">
        <v>73</v>
      </c>
      <c r="BE67">
        <v>66</v>
      </c>
      <c r="BF67">
        <v>54</v>
      </c>
      <c r="BG67">
        <v>41</v>
      </c>
      <c r="BH67">
        <v>33</v>
      </c>
    </row>
    <row r="68" spans="1:60" x14ac:dyDescent="0.3">
      <c r="A68" t="s">
        <v>229</v>
      </c>
      <c r="B68" t="s">
        <v>232</v>
      </c>
      <c r="C68" t="s">
        <v>233</v>
      </c>
      <c r="E68">
        <v>177</v>
      </c>
      <c r="F68">
        <v>28</v>
      </c>
      <c r="G68">
        <v>21</v>
      </c>
      <c r="H68">
        <v>87</v>
      </c>
      <c r="I68">
        <v>50</v>
      </c>
      <c r="J68">
        <v>29</v>
      </c>
      <c r="K68">
        <v>4</v>
      </c>
      <c r="L68">
        <v>20</v>
      </c>
      <c r="M68">
        <v>1</v>
      </c>
      <c r="N68">
        <v>35</v>
      </c>
      <c r="O68">
        <v>1</v>
      </c>
      <c r="P68">
        <v>2</v>
      </c>
      <c r="Q68">
        <f>SUM(Complete_data[[#This Row],[American]:[Indian]])</f>
        <v>455</v>
      </c>
      <c r="R68">
        <f>_xlfn.RANK.EQ(Complete_data[[#This Row],[Restaurant count]],Complete_data[Restaurant count],0)</f>
        <v>100</v>
      </c>
      <c r="S68">
        <v>25</v>
      </c>
      <c r="T68">
        <v>74</v>
      </c>
      <c r="U68" s="1">
        <v>49.5</v>
      </c>
      <c r="V68" s="1">
        <f>_xlfn.RANK.EQ(Complete_data[[#This Row],[Max Temperature]],Complete_data[Max Temperature],0)</f>
        <v>103</v>
      </c>
      <c r="W68" s="1">
        <f>_xlfn.RANK.EQ(Complete_data[[#This Row],[Min Temperature]],Complete_data[Min Temperature],0)</f>
        <v>118</v>
      </c>
      <c r="X68" s="1">
        <f>_xlfn.RANK.EQ(Complete_data[[#This Row],[Avg Temperature]],Complete_data[Avg Temperature],0)</f>
        <v>118</v>
      </c>
      <c r="Y68">
        <v>2</v>
      </c>
      <c r="Z68">
        <v>0</v>
      </c>
      <c r="AA68">
        <v>0</v>
      </c>
      <c r="AB68">
        <v>1</v>
      </c>
      <c r="AC68">
        <v>0</v>
      </c>
      <c r="AD68">
        <v>0</v>
      </c>
      <c r="AE68">
        <v>0</v>
      </c>
      <c r="AF68">
        <v>0</v>
      </c>
      <c r="AG68">
        <v>0</v>
      </c>
      <c r="AH68">
        <v>0</v>
      </c>
      <c r="AI68">
        <f>SUM(Complete_data[[#This Row],[GENERAL ACUTE CARE]:[CHRONIC DISEASE]])</f>
        <v>3</v>
      </c>
      <c r="AJ68">
        <f>_xlfn.RANK.EQ(Complete_data[[#This Row],[Hospital Count]],Complete_data[Hospital Count],0)</f>
        <v>117</v>
      </c>
      <c r="AK68">
        <v>78.94</v>
      </c>
      <c r="AL68">
        <v>82.31</v>
      </c>
      <c r="AM68">
        <v>90.83</v>
      </c>
      <c r="AN68">
        <v>85.06</v>
      </c>
      <c r="AO68">
        <v>62.82</v>
      </c>
      <c r="AP68">
        <v>57.66</v>
      </c>
      <c r="AQ68">
        <v>51.6</v>
      </c>
      <c r="AR68">
        <v>47.16</v>
      </c>
      <c r="AS68">
        <v>45.49</v>
      </c>
      <c r="AT68">
        <v>34.61</v>
      </c>
      <c r="AU68">
        <f>AVERAGE(Complete_data[[#This Row],[2009]:[2019]])</f>
        <v>63.648000000000003</v>
      </c>
      <c r="AV68">
        <f>_xlfn.RANK.EQ(Complete_data[[#This Row],[Average crime rate]],Complete_data[Average crime rate],1)</f>
        <v>130</v>
      </c>
      <c r="AW68">
        <v>25</v>
      </c>
      <c r="AX68">
        <v>26</v>
      </c>
      <c r="AY68">
        <v>36</v>
      </c>
      <c r="AZ68">
        <v>47</v>
      </c>
      <c r="BA68">
        <v>60</v>
      </c>
      <c r="BB68">
        <v>69</v>
      </c>
      <c r="BC68">
        <v>74</v>
      </c>
      <c r="BD68">
        <v>71</v>
      </c>
      <c r="BE68">
        <v>64</v>
      </c>
      <c r="BF68">
        <v>52</v>
      </c>
      <c r="BG68">
        <v>39</v>
      </c>
      <c r="BH68">
        <v>31</v>
      </c>
    </row>
    <row r="69" spans="1:60" x14ac:dyDescent="0.3">
      <c r="A69" t="s">
        <v>229</v>
      </c>
      <c r="B69" t="s">
        <v>234</v>
      </c>
      <c r="C69" t="s">
        <v>235</v>
      </c>
      <c r="E69">
        <v>360</v>
      </c>
      <c r="F69">
        <v>76</v>
      </c>
      <c r="G69">
        <v>46</v>
      </c>
      <c r="H69">
        <v>193</v>
      </c>
      <c r="I69">
        <v>136</v>
      </c>
      <c r="J69">
        <v>77</v>
      </c>
      <c r="K69">
        <v>6</v>
      </c>
      <c r="L69">
        <v>47</v>
      </c>
      <c r="M69">
        <v>7</v>
      </c>
      <c r="N69">
        <v>96</v>
      </c>
      <c r="P69">
        <v>8</v>
      </c>
      <c r="Q69">
        <f>SUM(Complete_data[[#This Row],[American]:[Indian]])</f>
        <v>1052</v>
      </c>
      <c r="R69">
        <f>_xlfn.RANK.EQ(Complete_data[[#This Row],[Restaurant count]],Complete_data[Restaurant count],0)</f>
        <v>64</v>
      </c>
      <c r="S69">
        <v>25</v>
      </c>
      <c r="T69">
        <v>74</v>
      </c>
      <c r="U69" s="1">
        <v>49.583333333333336</v>
      </c>
      <c r="V69" s="1">
        <f>_xlfn.RANK.EQ(Complete_data[[#This Row],[Max Temperature]],Complete_data[Max Temperature],0)</f>
        <v>103</v>
      </c>
      <c r="W69" s="1">
        <f>_xlfn.RANK.EQ(Complete_data[[#This Row],[Min Temperature]],Complete_data[Min Temperature],0)</f>
        <v>118</v>
      </c>
      <c r="X69" s="1">
        <f>_xlfn.RANK.EQ(Complete_data[[#This Row],[Avg Temperature]],Complete_data[Avg Temperature],0)</f>
        <v>117</v>
      </c>
      <c r="Y69">
        <v>4</v>
      </c>
      <c r="Z69">
        <v>0</v>
      </c>
      <c r="AA69">
        <v>0</v>
      </c>
      <c r="AB69">
        <v>3</v>
      </c>
      <c r="AC69">
        <v>0</v>
      </c>
      <c r="AD69">
        <v>0</v>
      </c>
      <c r="AE69">
        <v>0</v>
      </c>
      <c r="AF69">
        <v>0</v>
      </c>
      <c r="AG69">
        <v>0</v>
      </c>
      <c r="AH69">
        <v>0</v>
      </c>
      <c r="AI69">
        <f>SUM(Complete_data[[#This Row],[GENERAL ACUTE CARE]:[CHRONIC DISEASE]])</f>
        <v>7</v>
      </c>
      <c r="AJ69">
        <f>_xlfn.RANK.EQ(Complete_data[[#This Row],[Hospital Count]],Complete_data[Hospital Count],0)</f>
        <v>80</v>
      </c>
      <c r="AK69">
        <v>54.51</v>
      </c>
      <c r="AL69">
        <v>49.62</v>
      </c>
      <c r="AM69">
        <v>40.659999999999997</v>
      </c>
      <c r="AN69">
        <v>43.03</v>
      </c>
      <c r="AO69">
        <v>39.619999999999997</v>
      </c>
      <c r="AP69">
        <v>7.47</v>
      </c>
      <c r="AQ69">
        <v>31.08</v>
      </c>
      <c r="AR69">
        <v>28.12</v>
      </c>
      <c r="AS69">
        <v>25.84</v>
      </c>
      <c r="AT69">
        <v>25.62</v>
      </c>
      <c r="AU69">
        <f>AVERAGE(Complete_data[[#This Row],[2009]:[2019]])</f>
        <v>34.557000000000002</v>
      </c>
      <c r="AV69">
        <f>_xlfn.RANK.EQ(Complete_data[[#This Row],[Average crime rate]],Complete_data[Average crime rate],1)</f>
        <v>30</v>
      </c>
      <c r="AW69">
        <v>25</v>
      </c>
      <c r="AX69">
        <v>26</v>
      </c>
      <c r="AY69">
        <v>36</v>
      </c>
      <c r="AZ69">
        <v>47</v>
      </c>
      <c r="BA69">
        <v>60</v>
      </c>
      <c r="BB69">
        <v>69</v>
      </c>
      <c r="BC69">
        <v>74</v>
      </c>
      <c r="BD69">
        <v>71</v>
      </c>
      <c r="BE69">
        <v>64</v>
      </c>
      <c r="BF69">
        <v>52</v>
      </c>
      <c r="BG69">
        <v>40</v>
      </c>
      <c r="BH69">
        <v>31</v>
      </c>
    </row>
    <row r="70" spans="1:60" x14ac:dyDescent="0.3">
      <c r="A70" t="s">
        <v>229</v>
      </c>
      <c r="B70" t="s">
        <v>236</v>
      </c>
      <c r="C70" t="s">
        <v>237</v>
      </c>
      <c r="E70">
        <v>218</v>
      </c>
      <c r="F70">
        <v>36</v>
      </c>
      <c r="G70">
        <v>28</v>
      </c>
      <c r="H70">
        <v>139</v>
      </c>
      <c r="I70">
        <v>59</v>
      </c>
      <c r="J70">
        <v>42</v>
      </c>
      <c r="K70">
        <v>9</v>
      </c>
      <c r="L70">
        <v>23</v>
      </c>
      <c r="M70">
        <v>2</v>
      </c>
      <c r="N70">
        <v>80</v>
      </c>
      <c r="O70">
        <v>1</v>
      </c>
      <c r="P70">
        <v>4</v>
      </c>
      <c r="Q70">
        <f>SUM(Complete_data[[#This Row],[American]:[Indian]])</f>
        <v>641</v>
      </c>
      <c r="R70">
        <f>_xlfn.RANK.EQ(Complete_data[[#This Row],[Restaurant count]],Complete_data[Restaurant count],0)</f>
        <v>83</v>
      </c>
      <c r="S70">
        <v>24</v>
      </c>
      <c r="T70">
        <v>73</v>
      </c>
      <c r="U70" s="1">
        <v>48.916666666666664</v>
      </c>
      <c r="V70" s="1">
        <f>_xlfn.RANK.EQ(Complete_data[[#This Row],[Max Temperature]],Complete_data[Max Temperature],0)</f>
        <v>116</v>
      </c>
      <c r="W70" s="1">
        <f>_xlfn.RANK.EQ(Complete_data[[#This Row],[Min Temperature]],Complete_data[Min Temperature],0)</f>
        <v>127</v>
      </c>
      <c r="X70" s="1">
        <f>_xlfn.RANK.EQ(Complete_data[[#This Row],[Avg Temperature]],Complete_data[Avg Temperature],0)</f>
        <v>125</v>
      </c>
      <c r="Y70">
        <v>4</v>
      </c>
      <c r="Z70">
        <v>0</v>
      </c>
      <c r="AA70">
        <v>0</v>
      </c>
      <c r="AB70">
        <v>1</v>
      </c>
      <c r="AC70">
        <v>0</v>
      </c>
      <c r="AD70">
        <v>0</v>
      </c>
      <c r="AE70">
        <v>0</v>
      </c>
      <c r="AF70">
        <v>0</v>
      </c>
      <c r="AG70">
        <v>0</v>
      </c>
      <c r="AH70">
        <v>0</v>
      </c>
      <c r="AI70">
        <f>SUM(Complete_data[[#This Row],[GENERAL ACUTE CARE]:[CHRONIC DISEASE]])</f>
        <v>5</v>
      </c>
      <c r="AJ70">
        <f>_xlfn.RANK.EQ(Complete_data[[#This Row],[Hospital Count]],Complete_data[Hospital Count],0)</f>
        <v>99</v>
      </c>
      <c r="AK70">
        <v>45.11</v>
      </c>
      <c r="AL70">
        <v>48.67</v>
      </c>
      <c r="AM70">
        <v>47.98</v>
      </c>
      <c r="AN70">
        <v>42.65</v>
      </c>
      <c r="AO70">
        <v>45.61</v>
      </c>
      <c r="AP70">
        <v>42.75</v>
      </c>
      <c r="AQ70">
        <v>41.82</v>
      </c>
      <c r="AR70">
        <v>42.13</v>
      </c>
      <c r="AS70">
        <v>41.57</v>
      </c>
      <c r="AT70">
        <v>39.42</v>
      </c>
      <c r="AU70">
        <f>AVERAGE(Complete_data[[#This Row],[2009]:[2019]])</f>
        <v>43.771000000000001</v>
      </c>
      <c r="AV70">
        <f>_xlfn.RANK.EQ(Complete_data[[#This Row],[Average crime rate]],Complete_data[Average crime rate],1)</f>
        <v>60</v>
      </c>
      <c r="AW70">
        <v>24</v>
      </c>
      <c r="AX70">
        <v>26</v>
      </c>
      <c r="AY70">
        <v>35</v>
      </c>
      <c r="AZ70">
        <v>46</v>
      </c>
      <c r="BA70">
        <v>59</v>
      </c>
      <c r="BB70">
        <v>69</v>
      </c>
      <c r="BC70">
        <v>73</v>
      </c>
      <c r="BD70">
        <v>70</v>
      </c>
      <c r="BE70">
        <v>63</v>
      </c>
      <c r="BF70">
        <v>52</v>
      </c>
      <c r="BG70">
        <v>39</v>
      </c>
      <c r="BH70">
        <v>31</v>
      </c>
    </row>
    <row r="71" spans="1:60" x14ac:dyDescent="0.3">
      <c r="A71" t="s">
        <v>229</v>
      </c>
      <c r="B71" t="s">
        <v>238</v>
      </c>
      <c r="C71" t="s">
        <v>239</v>
      </c>
      <c r="E71">
        <v>18</v>
      </c>
      <c r="F71">
        <v>2</v>
      </c>
      <c r="G71">
        <v>1</v>
      </c>
      <c r="H71">
        <v>3</v>
      </c>
      <c r="I71">
        <v>5</v>
      </c>
      <c r="J71">
        <v>3</v>
      </c>
      <c r="L71">
        <v>5</v>
      </c>
      <c r="N71">
        <v>2</v>
      </c>
      <c r="Q71">
        <f>SUM(Complete_data[[#This Row],[American]:[Indian]])</f>
        <v>39</v>
      </c>
      <c r="R71">
        <f>_xlfn.RANK.EQ(Complete_data[[#This Row],[Restaurant count]],Complete_data[Restaurant count],0)</f>
        <v>144</v>
      </c>
      <c r="S71">
        <v>18</v>
      </c>
      <c r="T71">
        <v>66</v>
      </c>
      <c r="U71" s="1">
        <v>42.25</v>
      </c>
      <c r="V71" s="1">
        <f>_xlfn.RANK.EQ(Complete_data[[#This Row],[Max Temperature]],Complete_data[Max Temperature],0)</f>
        <v>144</v>
      </c>
      <c r="W71" s="1">
        <f>_xlfn.RANK.EQ(Complete_data[[#This Row],[Min Temperature]],Complete_data[Min Temperature],0)</f>
        <v>141</v>
      </c>
      <c r="X71" s="1">
        <f>_xlfn.RANK.EQ(Complete_data[[#This Row],[Avg Temperature]],Complete_data[Avg Temperature],0)</f>
        <v>144</v>
      </c>
      <c r="Y71">
        <v>1</v>
      </c>
      <c r="Z71">
        <v>0</v>
      </c>
      <c r="AA71">
        <v>0</v>
      </c>
      <c r="AB71">
        <v>0</v>
      </c>
      <c r="AC71">
        <v>0</v>
      </c>
      <c r="AD71">
        <v>0</v>
      </c>
      <c r="AE71">
        <v>0</v>
      </c>
      <c r="AF71">
        <v>0</v>
      </c>
      <c r="AG71">
        <v>0</v>
      </c>
      <c r="AH71">
        <v>0</v>
      </c>
      <c r="AI71">
        <f>SUM(Complete_data[[#This Row],[GENERAL ACUTE CARE]:[CHRONIC DISEASE]])</f>
        <v>1</v>
      </c>
      <c r="AJ71">
        <f>_xlfn.RANK.EQ(Complete_data[[#This Row],[Hospital Count]],Complete_data[Hospital Count],0)</f>
        <v>137</v>
      </c>
      <c r="AK71">
        <v>43.31</v>
      </c>
      <c r="AL71">
        <v>53.65</v>
      </c>
      <c r="AM71">
        <v>0</v>
      </c>
      <c r="AN71">
        <v>0</v>
      </c>
      <c r="AO71">
        <v>30.49</v>
      </c>
      <c r="AP71">
        <v>25.77</v>
      </c>
      <c r="AQ71">
        <v>14.38</v>
      </c>
      <c r="AR71">
        <v>21.72</v>
      </c>
      <c r="AS71">
        <v>18.88</v>
      </c>
      <c r="AT71">
        <v>15.95</v>
      </c>
      <c r="AU71">
        <f>AVERAGE(Complete_data[[#This Row],[2009]:[2019]])</f>
        <v>22.414999999999999</v>
      </c>
      <c r="AV71">
        <f>_xlfn.RANK.EQ(Complete_data[[#This Row],[Average crime rate]],Complete_data[Average crime rate],1)</f>
        <v>11</v>
      </c>
      <c r="AW71">
        <v>18</v>
      </c>
      <c r="AX71">
        <v>18</v>
      </c>
      <c r="AY71">
        <v>28</v>
      </c>
      <c r="AZ71">
        <v>38</v>
      </c>
      <c r="BA71">
        <v>52</v>
      </c>
      <c r="BB71">
        <v>61</v>
      </c>
      <c r="BC71">
        <v>62</v>
      </c>
      <c r="BD71">
        <v>66</v>
      </c>
      <c r="BE71">
        <v>59</v>
      </c>
      <c r="BF71">
        <v>47</v>
      </c>
      <c r="BG71">
        <v>34</v>
      </c>
      <c r="BH71">
        <v>24</v>
      </c>
    </row>
    <row r="72" spans="1:60" x14ac:dyDescent="0.3">
      <c r="A72" t="s">
        <v>99</v>
      </c>
      <c r="B72" t="s">
        <v>240</v>
      </c>
      <c r="C72" t="s">
        <v>241</v>
      </c>
      <c r="E72">
        <v>87</v>
      </c>
      <c r="F72">
        <v>13</v>
      </c>
      <c r="G72">
        <v>13</v>
      </c>
      <c r="H72">
        <v>32</v>
      </c>
      <c r="I72">
        <v>21</v>
      </c>
      <c r="J72">
        <v>11</v>
      </c>
      <c r="K72">
        <v>1</v>
      </c>
      <c r="L72">
        <v>10</v>
      </c>
      <c r="N72">
        <v>14</v>
      </c>
      <c r="P72">
        <v>1</v>
      </c>
      <c r="Q72">
        <f>SUM(Complete_data[[#This Row],[American]:[Indian]])</f>
        <v>203</v>
      </c>
      <c r="R72">
        <f>_xlfn.RANK.EQ(Complete_data[[#This Row],[Restaurant count]],Complete_data[Restaurant count],0)</f>
        <v>127</v>
      </c>
      <c r="S72">
        <v>12</v>
      </c>
      <c r="T72">
        <v>69</v>
      </c>
      <c r="U72" s="1">
        <v>41</v>
      </c>
      <c r="V72" s="1">
        <f>_xlfn.RANK.EQ(Complete_data[[#This Row],[Max Temperature]],Complete_data[Max Temperature],0)</f>
        <v>139</v>
      </c>
      <c r="W72" s="1">
        <f>_xlfn.RANK.EQ(Complete_data[[#This Row],[Min Temperature]],Complete_data[Min Temperature],0)</f>
        <v>146</v>
      </c>
      <c r="X72" s="1">
        <f>_xlfn.RANK.EQ(Complete_data[[#This Row],[Avg Temperature]],Complete_data[Avg Temperature],0)</f>
        <v>146</v>
      </c>
      <c r="Y72">
        <v>3</v>
      </c>
      <c r="Z72">
        <v>0</v>
      </c>
      <c r="AA72">
        <v>0</v>
      </c>
      <c r="AB72">
        <v>0</v>
      </c>
      <c r="AC72">
        <v>0</v>
      </c>
      <c r="AD72">
        <v>0</v>
      </c>
      <c r="AE72">
        <v>0</v>
      </c>
      <c r="AF72">
        <v>0</v>
      </c>
      <c r="AG72">
        <v>0</v>
      </c>
      <c r="AH72">
        <v>0</v>
      </c>
      <c r="AI72">
        <f>SUM(Complete_data[[#This Row],[GENERAL ACUTE CARE]:[CHRONIC DISEASE]])</f>
        <v>3</v>
      </c>
      <c r="AJ72">
        <f>_xlfn.RANK.EQ(Complete_data[[#This Row],[Hospital Count]],Complete_data[Hospital Count],0)</f>
        <v>117</v>
      </c>
      <c r="AK72">
        <v>50.99</v>
      </c>
      <c r="AL72">
        <v>0.11</v>
      </c>
      <c r="AM72">
        <v>50.21</v>
      </c>
      <c r="AN72">
        <v>45.09</v>
      </c>
      <c r="AO72">
        <v>53.91</v>
      </c>
      <c r="AP72">
        <v>46.12</v>
      </c>
      <c r="AQ72">
        <v>46.08</v>
      </c>
      <c r="AR72">
        <v>47.6</v>
      </c>
      <c r="AS72">
        <v>46.56</v>
      </c>
      <c r="AT72">
        <v>46.34</v>
      </c>
      <c r="AU72">
        <f>AVERAGE(Complete_data[[#This Row],[2009]:[2019]])</f>
        <v>43.301000000000002</v>
      </c>
      <c r="AV72">
        <f>_xlfn.RANK.EQ(Complete_data[[#This Row],[Average crime rate]],Complete_data[Average crime rate],1)</f>
        <v>58</v>
      </c>
      <c r="AW72">
        <v>12</v>
      </c>
      <c r="AX72">
        <v>15</v>
      </c>
      <c r="AY72">
        <v>28</v>
      </c>
      <c r="AZ72">
        <v>39</v>
      </c>
      <c r="BA72">
        <v>51</v>
      </c>
      <c r="BB72">
        <v>61</v>
      </c>
      <c r="BC72">
        <v>69</v>
      </c>
      <c r="BD72">
        <v>66</v>
      </c>
      <c r="BE72">
        <v>58</v>
      </c>
      <c r="BF72">
        <v>45</v>
      </c>
      <c r="BG72">
        <v>30</v>
      </c>
      <c r="BH72">
        <v>18</v>
      </c>
    </row>
    <row r="73" spans="1:60" x14ac:dyDescent="0.3">
      <c r="A73" t="s">
        <v>242</v>
      </c>
      <c r="B73" t="s">
        <v>243</v>
      </c>
      <c r="C73" t="s">
        <v>244</v>
      </c>
      <c r="E73">
        <v>534</v>
      </c>
      <c r="F73">
        <v>85</v>
      </c>
      <c r="G73">
        <v>60</v>
      </c>
      <c r="H73">
        <v>337</v>
      </c>
      <c r="I73">
        <v>151</v>
      </c>
      <c r="J73">
        <v>131</v>
      </c>
      <c r="K73">
        <v>22</v>
      </c>
      <c r="L73">
        <v>74</v>
      </c>
      <c r="M73">
        <v>5</v>
      </c>
      <c r="N73">
        <v>142</v>
      </c>
      <c r="O73">
        <v>1</v>
      </c>
      <c r="P73">
        <v>10</v>
      </c>
      <c r="Q73">
        <f>SUM(Complete_data[[#This Row],[American]:[Indian]])</f>
        <v>1552</v>
      </c>
      <c r="R73">
        <f>_xlfn.RANK.EQ(Complete_data[[#This Row],[Restaurant count]],Complete_data[Restaurant count],0)</f>
        <v>47</v>
      </c>
      <c r="S73">
        <v>29</v>
      </c>
      <c r="T73">
        <v>79</v>
      </c>
      <c r="U73" s="1">
        <v>55.083333333333336</v>
      </c>
      <c r="V73" s="1">
        <f>_xlfn.RANK.EQ(Complete_data[[#This Row],[Max Temperature]],Complete_data[Max Temperature],0)</f>
        <v>61</v>
      </c>
      <c r="W73" s="1">
        <f>_xlfn.RANK.EQ(Complete_data[[#This Row],[Min Temperature]],Complete_data[Min Temperature],0)</f>
        <v>96</v>
      </c>
      <c r="X73" s="1">
        <f>_xlfn.RANK.EQ(Complete_data[[#This Row],[Avg Temperature]],Complete_data[Avg Temperature],0)</f>
        <v>79</v>
      </c>
      <c r="Y73">
        <v>11</v>
      </c>
      <c r="Z73">
        <v>0</v>
      </c>
      <c r="AA73">
        <v>0</v>
      </c>
      <c r="AB73">
        <v>1</v>
      </c>
      <c r="AC73">
        <v>4</v>
      </c>
      <c r="AD73">
        <v>0</v>
      </c>
      <c r="AE73">
        <v>0</v>
      </c>
      <c r="AF73">
        <v>1</v>
      </c>
      <c r="AG73">
        <v>0</v>
      </c>
      <c r="AH73">
        <v>0</v>
      </c>
      <c r="AI73">
        <f>SUM(Complete_data[[#This Row],[GENERAL ACUTE CARE]:[CHRONIC DISEASE]])</f>
        <v>17</v>
      </c>
      <c r="AJ73">
        <f>_xlfn.RANK.EQ(Complete_data[[#This Row],[Hospital Count]],Complete_data[Hospital Count],0)</f>
        <v>21</v>
      </c>
      <c r="AK73">
        <v>68.69</v>
      </c>
      <c r="AL73">
        <v>67.819999999999993</v>
      </c>
      <c r="AM73">
        <v>68.010000000000005</v>
      </c>
      <c r="AN73">
        <v>68.45</v>
      </c>
      <c r="AO73">
        <v>65.989999999999995</v>
      </c>
      <c r="AP73">
        <v>61.33</v>
      </c>
      <c r="AQ73">
        <v>59</v>
      </c>
      <c r="AR73">
        <v>63.1</v>
      </c>
      <c r="AS73">
        <v>59.41</v>
      </c>
      <c r="AT73">
        <v>53.2</v>
      </c>
      <c r="AU73">
        <f>AVERAGE(Complete_data[[#This Row],[2009]:[2019]])</f>
        <v>63.5</v>
      </c>
      <c r="AV73">
        <f>_xlfn.RANK.EQ(Complete_data[[#This Row],[Average crime rate]],Complete_data[Average crime rate],1)</f>
        <v>129</v>
      </c>
      <c r="AW73">
        <v>29</v>
      </c>
      <c r="AX73">
        <v>32</v>
      </c>
      <c r="AY73">
        <v>45</v>
      </c>
      <c r="AZ73">
        <v>55</v>
      </c>
      <c r="BA73">
        <v>64</v>
      </c>
      <c r="BB73">
        <v>76</v>
      </c>
      <c r="BC73">
        <v>79</v>
      </c>
      <c r="BD73">
        <v>76</v>
      </c>
      <c r="BE73">
        <v>70</v>
      </c>
      <c r="BF73">
        <v>57</v>
      </c>
      <c r="BG73">
        <v>44</v>
      </c>
      <c r="BH73">
        <v>34</v>
      </c>
    </row>
    <row r="74" spans="1:60" x14ac:dyDescent="0.3">
      <c r="A74" t="s">
        <v>242</v>
      </c>
      <c r="B74" t="s">
        <v>187</v>
      </c>
      <c r="C74" t="s">
        <v>245</v>
      </c>
      <c r="E74">
        <v>231</v>
      </c>
      <c r="F74">
        <v>32</v>
      </c>
      <c r="G74">
        <v>26</v>
      </c>
      <c r="H74">
        <v>96</v>
      </c>
      <c r="I74">
        <v>64</v>
      </c>
      <c r="J74">
        <v>59</v>
      </c>
      <c r="K74">
        <v>12</v>
      </c>
      <c r="L74">
        <v>18</v>
      </c>
      <c r="N74">
        <v>96</v>
      </c>
      <c r="P74">
        <v>2</v>
      </c>
      <c r="Q74">
        <f>SUM(Complete_data[[#This Row],[American]:[Indian]])</f>
        <v>636</v>
      </c>
      <c r="R74">
        <f>_xlfn.RANK.EQ(Complete_data[[#This Row],[Restaurant count]],Complete_data[Restaurant count],0)</f>
        <v>84</v>
      </c>
      <c r="S74">
        <v>34</v>
      </c>
      <c r="T74">
        <v>79</v>
      </c>
      <c r="U74" s="1">
        <v>57.083333333333336</v>
      </c>
      <c r="V74" s="1">
        <f>_xlfn.RANK.EQ(Complete_data[[#This Row],[Max Temperature]],Complete_data[Max Temperature],0)</f>
        <v>61</v>
      </c>
      <c r="W74" s="1">
        <f>_xlfn.RANK.EQ(Complete_data[[#This Row],[Min Temperature]],Complete_data[Min Temperature],0)</f>
        <v>70</v>
      </c>
      <c r="X74" s="1">
        <f>_xlfn.RANK.EQ(Complete_data[[#This Row],[Avg Temperature]],Complete_data[Avg Temperature],0)</f>
        <v>66</v>
      </c>
      <c r="Y74">
        <v>4</v>
      </c>
      <c r="Z74">
        <v>0</v>
      </c>
      <c r="AA74">
        <v>0</v>
      </c>
      <c r="AB74">
        <v>1</v>
      </c>
      <c r="AC74">
        <v>1</v>
      </c>
      <c r="AD74">
        <v>2</v>
      </c>
      <c r="AE74">
        <v>0</v>
      </c>
      <c r="AF74">
        <v>0</v>
      </c>
      <c r="AG74">
        <v>0</v>
      </c>
      <c r="AH74">
        <v>0</v>
      </c>
      <c r="AI74">
        <f>SUM(Complete_data[[#This Row],[GENERAL ACUTE CARE]:[CHRONIC DISEASE]])</f>
        <v>8</v>
      </c>
      <c r="AJ74">
        <f>_xlfn.RANK.EQ(Complete_data[[#This Row],[Hospital Count]],Complete_data[Hospital Count],0)</f>
        <v>69</v>
      </c>
      <c r="AK74">
        <v>97.59</v>
      </c>
      <c r="AL74">
        <v>105.68</v>
      </c>
      <c r="AM74">
        <v>98.52</v>
      </c>
      <c r="AN74">
        <v>100.4</v>
      </c>
      <c r="AO74">
        <v>102.1</v>
      </c>
      <c r="AP74">
        <v>88.63</v>
      </c>
      <c r="AQ74">
        <v>91.86</v>
      </c>
      <c r="AR74">
        <v>102.29</v>
      </c>
      <c r="AS74">
        <v>83.68</v>
      </c>
      <c r="AT74">
        <v>93.5</v>
      </c>
      <c r="AU74">
        <f>AVERAGE(Complete_data[[#This Row],[2009]:[2019]])</f>
        <v>96.424999999999997</v>
      </c>
      <c r="AV74">
        <f>_xlfn.RANK.EQ(Complete_data[[#This Row],[Average crime rate]],Complete_data[Average crime rate],1)</f>
        <v>146</v>
      </c>
      <c r="AW74">
        <v>34</v>
      </c>
      <c r="AX74">
        <v>37</v>
      </c>
      <c r="AY74">
        <v>47</v>
      </c>
      <c r="AZ74">
        <v>57</v>
      </c>
      <c r="BA74">
        <v>65</v>
      </c>
      <c r="BB74">
        <v>76</v>
      </c>
      <c r="BC74">
        <v>79</v>
      </c>
      <c r="BD74">
        <v>77</v>
      </c>
      <c r="BE74">
        <v>71</v>
      </c>
      <c r="BF74">
        <v>58</v>
      </c>
      <c r="BG74">
        <v>46</v>
      </c>
      <c r="BH74">
        <v>38</v>
      </c>
    </row>
    <row r="75" spans="1:60" x14ac:dyDescent="0.3">
      <c r="A75" t="s">
        <v>242</v>
      </c>
      <c r="B75" t="s">
        <v>246</v>
      </c>
      <c r="C75" t="s">
        <v>247</v>
      </c>
      <c r="E75">
        <v>972</v>
      </c>
      <c r="F75">
        <v>120</v>
      </c>
      <c r="G75">
        <v>118</v>
      </c>
      <c r="H75">
        <v>624</v>
      </c>
      <c r="I75">
        <v>307</v>
      </c>
      <c r="J75">
        <v>174</v>
      </c>
      <c r="K75">
        <v>55</v>
      </c>
      <c r="L75">
        <v>143</v>
      </c>
      <c r="M75">
        <v>15</v>
      </c>
      <c r="N75">
        <v>299</v>
      </c>
      <c r="O75">
        <v>8</v>
      </c>
      <c r="P75">
        <v>22</v>
      </c>
      <c r="Q75">
        <f>SUM(Complete_data[[#This Row],[American]:[Indian]])</f>
        <v>2857</v>
      </c>
      <c r="R75">
        <f>_xlfn.RANK.EQ(Complete_data[[#This Row],[Restaurant count]],Complete_data[Restaurant count],0)</f>
        <v>27</v>
      </c>
      <c r="S75">
        <v>33</v>
      </c>
      <c r="T75">
        <v>82</v>
      </c>
      <c r="U75" s="1">
        <v>58.25</v>
      </c>
      <c r="V75" s="1">
        <f>_xlfn.RANK.EQ(Complete_data[[#This Row],[Max Temperature]],Complete_data[Max Temperature],0)</f>
        <v>29</v>
      </c>
      <c r="W75" s="1">
        <f>_xlfn.RANK.EQ(Complete_data[[#This Row],[Min Temperature]],Complete_data[Min Temperature],0)</f>
        <v>76</v>
      </c>
      <c r="X75" s="1">
        <f>_xlfn.RANK.EQ(Complete_data[[#This Row],[Avg Temperature]],Complete_data[Avg Temperature],0)</f>
        <v>61</v>
      </c>
      <c r="Y75">
        <v>13</v>
      </c>
      <c r="Z75">
        <v>0</v>
      </c>
      <c r="AA75">
        <v>2</v>
      </c>
      <c r="AB75">
        <v>1</v>
      </c>
      <c r="AC75">
        <v>4</v>
      </c>
      <c r="AD75">
        <v>1</v>
      </c>
      <c r="AE75">
        <v>0</v>
      </c>
      <c r="AF75">
        <v>2</v>
      </c>
      <c r="AG75">
        <v>0</v>
      </c>
      <c r="AH75">
        <v>0</v>
      </c>
      <c r="AI75">
        <f>SUM(Complete_data[[#This Row],[GENERAL ACUTE CARE]:[CHRONIC DISEASE]])</f>
        <v>23</v>
      </c>
      <c r="AJ75">
        <f>_xlfn.RANK.EQ(Complete_data[[#This Row],[Hospital Count]],Complete_data[Hospital Count],0)</f>
        <v>11</v>
      </c>
      <c r="AK75">
        <v>126.6</v>
      </c>
      <c r="AL75">
        <v>112.08</v>
      </c>
      <c r="AM75">
        <v>123.25</v>
      </c>
      <c r="AN75">
        <v>110.02</v>
      </c>
      <c r="AO75">
        <v>101.02</v>
      </c>
      <c r="AP75">
        <v>101.14</v>
      </c>
      <c r="AQ75">
        <v>101.82</v>
      </c>
      <c r="AR75">
        <v>98.71</v>
      </c>
      <c r="AS75">
        <v>93.86</v>
      </c>
      <c r="AT75">
        <v>99.24</v>
      </c>
      <c r="AU75">
        <f>AVERAGE(Complete_data[[#This Row],[2009]:[2019]])</f>
        <v>106.774</v>
      </c>
      <c r="AV75">
        <f>_xlfn.RANK.EQ(Complete_data[[#This Row],[Average crime rate]],Complete_data[Average crime rate],1)</f>
        <v>148</v>
      </c>
      <c r="AW75">
        <v>33</v>
      </c>
      <c r="AX75">
        <v>36</v>
      </c>
      <c r="AY75">
        <v>47</v>
      </c>
      <c r="AZ75">
        <v>59</v>
      </c>
      <c r="BA75">
        <v>68</v>
      </c>
      <c r="BB75">
        <v>78</v>
      </c>
      <c r="BC75">
        <v>82</v>
      </c>
      <c r="BD75">
        <v>79</v>
      </c>
      <c r="BE75">
        <v>73</v>
      </c>
      <c r="BF75">
        <v>60</v>
      </c>
      <c r="BG75">
        <v>46</v>
      </c>
      <c r="BH75">
        <v>38</v>
      </c>
    </row>
    <row r="76" spans="1:60" x14ac:dyDescent="0.3">
      <c r="A76" t="s">
        <v>248</v>
      </c>
      <c r="B76" t="s">
        <v>249</v>
      </c>
      <c r="C76" t="s">
        <v>250</v>
      </c>
      <c r="E76">
        <v>248</v>
      </c>
      <c r="F76">
        <v>35</v>
      </c>
      <c r="G76">
        <v>22</v>
      </c>
      <c r="H76">
        <v>160</v>
      </c>
      <c r="I76">
        <v>44</v>
      </c>
      <c r="J76">
        <v>47</v>
      </c>
      <c r="K76">
        <v>16</v>
      </c>
      <c r="L76">
        <v>19</v>
      </c>
      <c r="M76">
        <v>2</v>
      </c>
      <c r="N76">
        <v>61</v>
      </c>
      <c r="P76">
        <v>4</v>
      </c>
      <c r="Q76">
        <f>SUM(Complete_data[[#This Row],[American]:[Indian]])</f>
        <v>658</v>
      </c>
      <c r="R76">
        <f>_xlfn.RANK.EQ(Complete_data[[#This Row],[Restaurant count]],Complete_data[Restaurant count],0)</f>
        <v>82</v>
      </c>
      <c r="S76">
        <v>46</v>
      </c>
      <c r="T76">
        <v>81</v>
      </c>
      <c r="U76" s="1">
        <v>65.333333333333329</v>
      </c>
      <c r="V76" s="1">
        <f>_xlfn.RANK.EQ(Complete_data[[#This Row],[Max Temperature]],Complete_data[Max Temperature],0)</f>
        <v>39</v>
      </c>
      <c r="W76" s="1">
        <f>_xlfn.RANK.EQ(Complete_data[[#This Row],[Min Temperature]],Complete_data[Min Temperature],0)</f>
        <v>31</v>
      </c>
      <c r="X76" s="1">
        <f>_xlfn.RANK.EQ(Complete_data[[#This Row],[Avg Temperature]],Complete_data[Avg Temperature],0)</f>
        <v>30</v>
      </c>
      <c r="Y76">
        <v>4</v>
      </c>
      <c r="Z76">
        <v>0</v>
      </c>
      <c r="AA76">
        <v>0</v>
      </c>
      <c r="AB76">
        <v>2</v>
      </c>
      <c r="AC76">
        <v>1</v>
      </c>
      <c r="AD76">
        <v>1</v>
      </c>
      <c r="AE76">
        <v>0</v>
      </c>
      <c r="AF76">
        <v>1</v>
      </c>
      <c r="AG76">
        <v>0</v>
      </c>
      <c r="AH76">
        <v>0</v>
      </c>
      <c r="AI76">
        <f>SUM(Complete_data[[#This Row],[GENERAL ACUTE CARE]:[CHRONIC DISEASE]])</f>
        <v>9</v>
      </c>
      <c r="AJ76">
        <f>_xlfn.RANK.EQ(Complete_data[[#This Row],[Hospital Count]],Complete_data[Hospital Count],0)</f>
        <v>61</v>
      </c>
      <c r="AK76">
        <v>85.71</v>
      </c>
      <c r="AL76">
        <v>86.42</v>
      </c>
      <c r="AM76">
        <v>83.35</v>
      </c>
      <c r="AN76">
        <v>75.59</v>
      </c>
      <c r="AO76">
        <v>68.39</v>
      </c>
      <c r="AP76">
        <v>70.87</v>
      </c>
      <c r="AQ76">
        <v>60.26</v>
      </c>
      <c r="AR76">
        <v>44.68</v>
      </c>
      <c r="AS76">
        <v>47.76</v>
      </c>
      <c r="AT76">
        <v>45.89</v>
      </c>
      <c r="AU76">
        <f>AVERAGE(Complete_data[[#This Row],[2009]:[2019]])</f>
        <v>66.891999999999996</v>
      </c>
      <c r="AV76">
        <f>_xlfn.RANK.EQ(Complete_data[[#This Row],[Average crime rate]],Complete_data[Average crime rate],1)</f>
        <v>136</v>
      </c>
      <c r="AW76">
        <v>46</v>
      </c>
      <c r="AX76">
        <v>51</v>
      </c>
      <c r="AY76">
        <v>59</v>
      </c>
      <c r="AZ76">
        <v>65</v>
      </c>
      <c r="BA76">
        <v>72</v>
      </c>
      <c r="BB76">
        <v>79</v>
      </c>
      <c r="BC76">
        <v>81</v>
      </c>
      <c r="BD76">
        <v>81</v>
      </c>
      <c r="BE76">
        <v>77</v>
      </c>
      <c r="BF76">
        <v>67</v>
      </c>
      <c r="BG76">
        <v>55</v>
      </c>
      <c r="BH76">
        <v>51</v>
      </c>
    </row>
    <row r="77" spans="1:60" x14ac:dyDescent="0.3">
      <c r="A77" t="s">
        <v>248</v>
      </c>
      <c r="B77" t="s">
        <v>251</v>
      </c>
      <c r="C77" t="s">
        <v>252</v>
      </c>
      <c r="E77">
        <v>70</v>
      </c>
      <c r="F77">
        <v>6</v>
      </c>
      <c r="G77">
        <v>8</v>
      </c>
      <c r="H77">
        <v>25</v>
      </c>
      <c r="I77">
        <v>12</v>
      </c>
      <c r="J77">
        <v>13</v>
      </c>
      <c r="K77">
        <v>6</v>
      </c>
      <c r="L77">
        <v>5</v>
      </c>
      <c r="N77">
        <v>8</v>
      </c>
      <c r="Q77">
        <f>SUM(Complete_data[[#This Row],[American]:[Indian]])</f>
        <v>153</v>
      </c>
      <c r="R77">
        <f>_xlfn.RANK.EQ(Complete_data[[#This Row],[Restaurant count]],Complete_data[Restaurant count],0)</f>
        <v>135</v>
      </c>
      <c r="S77">
        <v>42</v>
      </c>
      <c r="T77">
        <v>81</v>
      </c>
      <c r="U77" s="1">
        <v>62.916666666666664</v>
      </c>
      <c r="V77" s="1">
        <f>_xlfn.RANK.EQ(Complete_data[[#This Row],[Max Temperature]],Complete_data[Max Temperature],0)</f>
        <v>39</v>
      </c>
      <c r="W77" s="1">
        <f>_xlfn.RANK.EQ(Complete_data[[#This Row],[Min Temperature]],Complete_data[Min Temperature],0)</f>
        <v>40</v>
      </c>
      <c r="X77" s="1">
        <f>_xlfn.RANK.EQ(Complete_data[[#This Row],[Avg Temperature]],Complete_data[Avg Temperature],0)</f>
        <v>41</v>
      </c>
      <c r="Y77">
        <v>1</v>
      </c>
      <c r="Z77">
        <v>0</v>
      </c>
      <c r="AA77">
        <v>0</v>
      </c>
      <c r="AB77">
        <v>0</v>
      </c>
      <c r="AC77">
        <v>1</v>
      </c>
      <c r="AD77">
        <v>0</v>
      </c>
      <c r="AE77">
        <v>0</v>
      </c>
      <c r="AF77">
        <v>0</v>
      </c>
      <c r="AG77">
        <v>0</v>
      </c>
      <c r="AH77">
        <v>0</v>
      </c>
      <c r="AI77">
        <f>SUM(Complete_data[[#This Row],[GENERAL ACUTE CARE]:[CHRONIC DISEASE]])</f>
        <v>2</v>
      </c>
      <c r="AJ77">
        <f>_xlfn.RANK.EQ(Complete_data[[#This Row],[Hospital Count]],Complete_data[Hospital Count],0)</f>
        <v>124</v>
      </c>
      <c r="AK77">
        <v>53.52</v>
      </c>
      <c r="AL77">
        <v>49.52</v>
      </c>
      <c r="AM77">
        <v>0</v>
      </c>
      <c r="AN77">
        <v>0</v>
      </c>
      <c r="AO77">
        <v>0</v>
      </c>
      <c r="AP77">
        <v>0</v>
      </c>
      <c r="AQ77">
        <v>0</v>
      </c>
      <c r="AR77">
        <v>0</v>
      </c>
      <c r="AS77">
        <v>0</v>
      </c>
      <c r="AT77">
        <v>0</v>
      </c>
      <c r="AU77">
        <f>AVERAGE(Complete_data[[#This Row],[2009]:[2019]])</f>
        <v>10.304</v>
      </c>
      <c r="AV77">
        <f>_xlfn.RANK.EQ(Complete_data[[#This Row],[Average crime rate]],Complete_data[Average crime rate],1)</f>
        <v>3</v>
      </c>
      <c r="AW77">
        <v>42</v>
      </c>
      <c r="AX77">
        <v>47</v>
      </c>
      <c r="AY77">
        <v>55</v>
      </c>
      <c r="AZ77">
        <v>63</v>
      </c>
      <c r="BA77">
        <v>71</v>
      </c>
      <c r="BB77">
        <v>79</v>
      </c>
      <c r="BC77">
        <v>81</v>
      </c>
      <c r="BD77">
        <v>80</v>
      </c>
      <c r="BE77">
        <v>75</v>
      </c>
      <c r="BF77">
        <v>64</v>
      </c>
      <c r="BG77">
        <v>51</v>
      </c>
      <c r="BH77">
        <v>47</v>
      </c>
    </row>
    <row r="78" spans="1:60" x14ac:dyDescent="0.3">
      <c r="A78" t="s">
        <v>253</v>
      </c>
      <c r="B78" t="s">
        <v>254</v>
      </c>
      <c r="C78" t="s">
        <v>255</v>
      </c>
      <c r="E78">
        <v>115</v>
      </c>
      <c r="F78">
        <v>13</v>
      </c>
      <c r="G78">
        <v>15</v>
      </c>
      <c r="H78">
        <v>46</v>
      </c>
      <c r="I78">
        <v>25</v>
      </c>
      <c r="J78">
        <v>22</v>
      </c>
      <c r="K78">
        <v>4</v>
      </c>
      <c r="L78">
        <v>7</v>
      </c>
      <c r="M78">
        <v>1</v>
      </c>
      <c r="N78">
        <v>24</v>
      </c>
      <c r="P78">
        <v>3</v>
      </c>
      <c r="Q78">
        <f>SUM(Complete_data[[#This Row],[American]:[Indian]])</f>
        <v>275</v>
      </c>
      <c r="R78">
        <f>_xlfn.RANK.EQ(Complete_data[[#This Row],[Restaurant count]],Complete_data[Restaurant count],0)</f>
        <v>119</v>
      </c>
      <c r="S78">
        <v>26</v>
      </c>
      <c r="T78">
        <v>74</v>
      </c>
      <c r="U78" s="1">
        <v>48.166666666666664</v>
      </c>
      <c r="V78" s="1">
        <f>_xlfn.RANK.EQ(Complete_data[[#This Row],[Max Temperature]],Complete_data[Max Temperature],0)</f>
        <v>103</v>
      </c>
      <c r="W78" s="1">
        <f>_xlfn.RANK.EQ(Complete_data[[#This Row],[Min Temperature]],Complete_data[Min Temperature],0)</f>
        <v>108</v>
      </c>
      <c r="X78" s="1">
        <f>_xlfn.RANK.EQ(Complete_data[[#This Row],[Avg Temperature]],Complete_data[Avg Temperature],0)</f>
        <v>127</v>
      </c>
      <c r="Y78">
        <v>2</v>
      </c>
      <c r="Z78">
        <v>0</v>
      </c>
      <c r="AA78">
        <v>0</v>
      </c>
      <c r="AB78">
        <v>1</v>
      </c>
      <c r="AC78">
        <v>0</v>
      </c>
      <c r="AD78">
        <v>0</v>
      </c>
      <c r="AE78">
        <v>0</v>
      </c>
      <c r="AF78">
        <v>0</v>
      </c>
      <c r="AG78">
        <v>0</v>
      </c>
      <c r="AH78">
        <v>0</v>
      </c>
      <c r="AI78">
        <f>SUM(Complete_data[[#This Row],[GENERAL ACUTE CARE]:[CHRONIC DISEASE]])</f>
        <v>3</v>
      </c>
      <c r="AJ78">
        <f>_xlfn.RANK.EQ(Complete_data[[#This Row],[Hospital Count]],Complete_data[Hospital Count],0)</f>
        <v>117</v>
      </c>
      <c r="AK78">
        <v>46.18</v>
      </c>
      <c r="AL78">
        <v>49.2</v>
      </c>
      <c r="AM78">
        <v>47.72</v>
      </c>
      <c r="AN78">
        <v>48.85</v>
      </c>
      <c r="AO78">
        <v>55.39</v>
      </c>
      <c r="AP78">
        <v>48.66</v>
      </c>
      <c r="AQ78">
        <v>51.54</v>
      </c>
      <c r="AR78">
        <v>59.74</v>
      </c>
      <c r="AS78">
        <v>53.35</v>
      </c>
      <c r="AT78">
        <v>40.96</v>
      </c>
      <c r="AU78">
        <f>AVERAGE(Complete_data[[#This Row],[2009]:[2019]])</f>
        <v>50.159000000000006</v>
      </c>
      <c r="AV78">
        <f>_xlfn.RANK.EQ(Complete_data[[#This Row],[Average crime rate]],Complete_data[Average crime rate],1)</f>
        <v>86</v>
      </c>
      <c r="AW78">
        <v>27</v>
      </c>
      <c r="AX78">
        <v>26</v>
      </c>
      <c r="AY78">
        <v>39</v>
      </c>
      <c r="AZ78">
        <v>46</v>
      </c>
      <c r="BA78">
        <v>54</v>
      </c>
      <c r="BB78">
        <v>66</v>
      </c>
      <c r="BC78">
        <v>74</v>
      </c>
      <c r="BD78">
        <v>72</v>
      </c>
      <c r="BE78">
        <v>62</v>
      </c>
      <c r="BF78">
        <v>49</v>
      </c>
      <c r="BG78">
        <v>36</v>
      </c>
      <c r="BH78">
        <v>27</v>
      </c>
    </row>
    <row r="79" spans="1:60" x14ac:dyDescent="0.3">
      <c r="A79" t="s">
        <v>253</v>
      </c>
      <c r="B79" t="s">
        <v>256</v>
      </c>
      <c r="C79" t="s">
        <v>257</v>
      </c>
      <c r="E79">
        <v>62</v>
      </c>
      <c r="F79">
        <v>9</v>
      </c>
      <c r="G79">
        <v>6</v>
      </c>
      <c r="H79">
        <v>24</v>
      </c>
      <c r="I79">
        <v>12</v>
      </c>
      <c r="J79">
        <v>12</v>
      </c>
      <c r="K79">
        <v>1</v>
      </c>
      <c r="L79">
        <v>10</v>
      </c>
      <c r="N79">
        <v>8</v>
      </c>
      <c r="Q79">
        <f>SUM(Complete_data[[#This Row],[American]:[Indian]])</f>
        <v>144</v>
      </c>
      <c r="R79">
        <f>_xlfn.RANK.EQ(Complete_data[[#This Row],[Restaurant count]],Complete_data[Restaurant count],0)</f>
        <v>136</v>
      </c>
      <c r="S79">
        <v>24</v>
      </c>
      <c r="T79">
        <v>70</v>
      </c>
      <c r="U79" s="1">
        <v>45.25</v>
      </c>
      <c r="V79" s="1">
        <f>_xlfn.RANK.EQ(Complete_data[[#This Row],[Max Temperature]],Complete_data[Max Temperature],0)</f>
        <v>134</v>
      </c>
      <c r="W79" s="1">
        <f>_xlfn.RANK.EQ(Complete_data[[#This Row],[Min Temperature]],Complete_data[Min Temperature],0)</f>
        <v>127</v>
      </c>
      <c r="X79" s="1">
        <f>_xlfn.RANK.EQ(Complete_data[[#This Row],[Avg Temperature]],Complete_data[Avg Temperature],0)</f>
        <v>140</v>
      </c>
      <c r="Y79">
        <v>3</v>
      </c>
      <c r="Z79">
        <v>0</v>
      </c>
      <c r="AA79">
        <v>0</v>
      </c>
      <c r="AB79">
        <v>0</v>
      </c>
      <c r="AC79">
        <v>0</v>
      </c>
      <c r="AD79">
        <v>0</v>
      </c>
      <c r="AE79">
        <v>0</v>
      </c>
      <c r="AF79">
        <v>0</v>
      </c>
      <c r="AG79">
        <v>0</v>
      </c>
      <c r="AH79">
        <v>0</v>
      </c>
      <c r="AI79">
        <f>SUM(Complete_data[[#This Row],[GENERAL ACUTE CARE]:[CHRONIC DISEASE]])</f>
        <v>3</v>
      </c>
      <c r="AJ79">
        <f>_xlfn.RANK.EQ(Complete_data[[#This Row],[Hospital Count]],Complete_data[Hospital Count],0)</f>
        <v>117</v>
      </c>
      <c r="AK79">
        <v>43.97</v>
      </c>
      <c r="AL79">
        <v>48.45</v>
      </c>
      <c r="AM79">
        <v>49.05</v>
      </c>
      <c r="AN79">
        <v>49.76</v>
      </c>
      <c r="AO79">
        <v>48.13</v>
      </c>
      <c r="AP79">
        <v>45.86</v>
      </c>
      <c r="AQ79">
        <v>47.75</v>
      </c>
      <c r="AR79">
        <v>55.44</v>
      </c>
      <c r="AS79">
        <v>0</v>
      </c>
      <c r="AT79">
        <v>63.41</v>
      </c>
      <c r="AU79">
        <f>AVERAGE(Complete_data[[#This Row],[2009]:[2019]])</f>
        <v>45.181999999999995</v>
      </c>
      <c r="AV79">
        <f>_xlfn.RANK.EQ(Complete_data[[#This Row],[Average crime rate]],Complete_data[Average crime rate],1)</f>
        <v>67</v>
      </c>
      <c r="AW79">
        <v>27</v>
      </c>
      <c r="AX79">
        <v>24</v>
      </c>
      <c r="AY79">
        <v>35</v>
      </c>
      <c r="AZ79">
        <v>43</v>
      </c>
      <c r="BA79">
        <v>51</v>
      </c>
      <c r="BB79">
        <v>61</v>
      </c>
      <c r="BC79">
        <v>70</v>
      </c>
      <c r="BD79">
        <v>68</v>
      </c>
      <c r="BE79">
        <v>58</v>
      </c>
      <c r="BF79">
        <v>46</v>
      </c>
      <c r="BG79">
        <v>34</v>
      </c>
      <c r="BH79">
        <v>26</v>
      </c>
    </row>
    <row r="80" spans="1:60" x14ac:dyDescent="0.3">
      <c r="A80" t="s">
        <v>253</v>
      </c>
      <c r="B80" t="s">
        <v>258</v>
      </c>
      <c r="C80" t="s">
        <v>259</v>
      </c>
      <c r="E80">
        <v>46</v>
      </c>
      <c r="F80">
        <v>12</v>
      </c>
      <c r="G80">
        <v>8</v>
      </c>
      <c r="H80">
        <v>13</v>
      </c>
      <c r="I80">
        <v>10</v>
      </c>
      <c r="J80">
        <v>10</v>
      </c>
      <c r="K80">
        <v>1</v>
      </c>
      <c r="L80">
        <v>5</v>
      </c>
      <c r="N80">
        <v>7</v>
      </c>
      <c r="Q80">
        <f>SUM(Complete_data[[#This Row],[American]:[Indian]])</f>
        <v>112</v>
      </c>
      <c r="R80">
        <f>_xlfn.RANK.EQ(Complete_data[[#This Row],[Restaurant count]],Complete_data[Restaurant count],0)</f>
        <v>141</v>
      </c>
      <c r="S80">
        <v>24</v>
      </c>
      <c r="T80">
        <v>72</v>
      </c>
      <c r="U80" s="1">
        <v>45.583333333333336</v>
      </c>
      <c r="V80" s="1">
        <f>_xlfn.RANK.EQ(Complete_data[[#This Row],[Max Temperature]],Complete_data[Max Temperature],0)</f>
        <v>124</v>
      </c>
      <c r="W80" s="1">
        <f>_xlfn.RANK.EQ(Complete_data[[#This Row],[Min Temperature]],Complete_data[Min Temperature],0)</f>
        <v>127</v>
      </c>
      <c r="X80" s="1">
        <f>_xlfn.RANK.EQ(Complete_data[[#This Row],[Avg Temperature]],Complete_data[Avg Temperature],0)</f>
        <v>139</v>
      </c>
      <c r="Y80">
        <v>1</v>
      </c>
      <c r="Z80">
        <v>0</v>
      </c>
      <c r="AA80">
        <v>1</v>
      </c>
      <c r="AB80">
        <v>0</v>
      </c>
      <c r="AC80">
        <v>0</v>
      </c>
      <c r="AD80">
        <v>0</v>
      </c>
      <c r="AE80">
        <v>0</v>
      </c>
      <c r="AF80">
        <v>0</v>
      </c>
      <c r="AG80">
        <v>0</v>
      </c>
      <c r="AH80">
        <v>0</v>
      </c>
      <c r="AI80">
        <f>SUM(Complete_data[[#This Row],[GENERAL ACUTE CARE]:[CHRONIC DISEASE]])</f>
        <v>2</v>
      </c>
      <c r="AJ80">
        <f>_xlfn.RANK.EQ(Complete_data[[#This Row],[Hospital Count]],Complete_data[Hospital Count],0)</f>
        <v>124</v>
      </c>
      <c r="AK80">
        <v>32.840000000000003</v>
      </c>
      <c r="AL80">
        <v>36.17</v>
      </c>
      <c r="AM80">
        <v>37.799999999999997</v>
      </c>
      <c r="AN80">
        <v>40.049999999999997</v>
      </c>
      <c r="AO80">
        <v>47.6</v>
      </c>
      <c r="AP80">
        <v>43.54</v>
      </c>
      <c r="AQ80">
        <v>48.25</v>
      </c>
      <c r="AR80">
        <v>49.8</v>
      </c>
      <c r="AS80">
        <v>59.5</v>
      </c>
      <c r="AT80">
        <v>48.65</v>
      </c>
      <c r="AU80">
        <f>AVERAGE(Complete_data[[#This Row],[2009]:[2019]])</f>
        <v>44.42</v>
      </c>
      <c r="AV80">
        <f>_xlfn.RANK.EQ(Complete_data[[#This Row],[Average crime rate]],Complete_data[Average crime rate],1)</f>
        <v>64</v>
      </c>
      <c r="AW80">
        <v>24</v>
      </c>
      <c r="AX80">
        <v>25</v>
      </c>
      <c r="AY80">
        <v>36</v>
      </c>
      <c r="AZ80">
        <v>44</v>
      </c>
      <c r="BA80">
        <v>53</v>
      </c>
      <c r="BB80">
        <v>63</v>
      </c>
      <c r="BC80">
        <v>72</v>
      </c>
      <c r="BD80">
        <v>69</v>
      </c>
      <c r="BE80">
        <v>59</v>
      </c>
      <c r="BF80">
        <v>46</v>
      </c>
      <c r="BG80">
        <v>32</v>
      </c>
      <c r="BH80">
        <v>24</v>
      </c>
    </row>
    <row r="81" spans="1:60" x14ac:dyDescent="0.3">
      <c r="A81" t="s">
        <v>260</v>
      </c>
      <c r="B81" t="s">
        <v>261</v>
      </c>
      <c r="C81" t="s">
        <v>262</v>
      </c>
      <c r="E81">
        <v>477</v>
      </c>
      <c r="F81">
        <v>57</v>
      </c>
      <c r="G81">
        <v>60</v>
      </c>
      <c r="H81">
        <v>115</v>
      </c>
      <c r="I81">
        <v>92</v>
      </c>
      <c r="J81">
        <v>88</v>
      </c>
      <c r="K81">
        <v>15</v>
      </c>
      <c r="L81">
        <v>54</v>
      </c>
      <c r="M81">
        <v>9</v>
      </c>
      <c r="N81">
        <v>82</v>
      </c>
      <c r="O81">
        <v>1</v>
      </c>
      <c r="P81">
        <v>6</v>
      </c>
      <c r="Q81">
        <f>SUM(Complete_data[[#This Row],[American]:[Indian]])</f>
        <v>1056</v>
      </c>
      <c r="R81">
        <f>_xlfn.RANK.EQ(Complete_data[[#This Row],[Restaurant count]],Complete_data[Restaurant count],0)</f>
        <v>63</v>
      </c>
      <c r="S81">
        <v>37</v>
      </c>
      <c r="T81">
        <v>74</v>
      </c>
      <c r="U81" s="1">
        <v>56.5</v>
      </c>
      <c r="V81" s="1">
        <f>_xlfn.RANK.EQ(Complete_data[[#This Row],[Max Temperature]],Complete_data[Max Temperature],0)</f>
        <v>103</v>
      </c>
      <c r="W81" s="1">
        <f>_xlfn.RANK.EQ(Complete_data[[#This Row],[Min Temperature]],Complete_data[Min Temperature],0)</f>
        <v>61</v>
      </c>
      <c r="X81" s="1">
        <f>_xlfn.RANK.EQ(Complete_data[[#This Row],[Avg Temperature]],Complete_data[Avg Temperature],0)</f>
        <v>70</v>
      </c>
      <c r="Y81">
        <v>1</v>
      </c>
      <c r="Z81">
        <v>0</v>
      </c>
      <c r="AA81">
        <v>0</v>
      </c>
      <c r="AB81">
        <v>1</v>
      </c>
      <c r="AC81">
        <v>0</v>
      </c>
      <c r="AD81">
        <v>1</v>
      </c>
      <c r="AE81">
        <v>0</v>
      </c>
      <c r="AF81">
        <v>1</v>
      </c>
      <c r="AG81">
        <v>0</v>
      </c>
      <c r="AH81">
        <v>0</v>
      </c>
      <c r="AI81">
        <f>SUM(Complete_data[[#This Row],[GENERAL ACUTE CARE]:[CHRONIC DISEASE]])</f>
        <v>4</v>
      </c>
      <c r="AJ81">
        <f>_xlfn.RANK.EQ(Complete_data[[#This Row],[Hospital Count]],Complete_data[Hospital Count],0)</f>
        <v>108</v>
      </c>
      <c r="AK81">
        <v>55.27</v>
      </c>
      <c r="AL81">
        <v>53.34</v>
      </c>
      <c r="AM81">
        <v>52.15</v>
      </c>
      <c r="AN81">
        <v>62.65</v>
      </c>
      <c r="AO81">
        <v>0</v>
      </c>
      <c r="AP81">
        <v>54.37</v>
      </c>
      <c r="AQ81">
        <v>54.41</v>
      </c>
      <c r="AR81">
        <v>47.22</v>
      </c>
      <c r="AS81">
        <v>51.63</v>
      </c>
      <c r="AT81">
        <v>70.89</v>
      </c>
      <c r="AU81">
        <f>AVERAGE(Complete_data[[#This Row],[2009]:[2019]])</f>
        <v>50.193000000000005</v>
      </c>
      <c r="AV81">
        <f>_xlfn.RANK.EQ(Complete_data[[#This Row],[Average crime rate]],Complete_data[Average crime rate],1)</f>
        <v>87</v>
      </c>
      <c r="AW81">
        <v>37</v>
      </c>
      <c r="AX81">
        <v>41</v>
      </c>
      <c r="AY81">
        <v>48</v>
      </c>
      <c r="AZ81">
        <v>57</v>
      </c>
      <c r="BA81">
        <v>64</v>
      </c>
      <c r="BB81">
        <v>72</v>
      </c>
      <c r="BC81">
        <v>74</v>
      </c>
      <c r="BD81">
        <v>72</v>
      </c>
      <c r="BE81">
        <v>68</v>
      </c>
      <c r="BF81">
        <v>57</v>
      </c>
      <c r="BG81">
        <v>46</v>
      </c>
      <c r="BH81">
        <v>42</v>
      </c>
    </row>
    <row r="82" spans="1:60" x14ac:dyDescent="0.3">
      <c r="A82" t="s">
        <v>260</v>
      </c>
      <c r="B82" t="s">
        <v>263</v>
      </c>
      <c r="C82" t="s">
        <v>264</v>
      </c>
      <c r="E82">
        <v>834</v>
      </c>
      <c r="F82">
        <v>121</v>
      </c>
      <c r="G82">
        <v>102</v>
      </c>
      <c r="H82">
        <v>542</v>
      </c>
      <c r="I82">
        <v>266</v>
      </c>
      <c r="J82">
        <v>178</v>
      </c>
      <c r="K82">
        <v>30</v>
      </c>
      <c r="L82">
        <v>126</v>
      </c>
      <c r="M82">
        <v>23</v>
      </c>
      <c r="N82">
        <v>298</v>
      </c>
      <c r="O82">
        <v>4</v>
      </c>
      <c r="P82">
        <v>21</v>
      </c>
      <c r="Q82">
        <f>SUM(Complete_data[[#This Row],[American]:[Indian]])</f>
        <v>2545</v>
      </c>
      <c r="R82">
        <f>_xlfn.RANK.EQ(Complete_data[[#This Row],[Restaurant count]],Complete_data[Restaurant count],0)</f>
        <v>29</v>
      </c>
      <c r="S82">
        <v>42</v>
      </c>
      <c r="T82">
        <v>80</v>
      </c>
      <c r="U82" s="1">
        <v>62</v>
      </c>
      <c r="V82" s="1">
        <f>_xlfn.RANK.EQ(Complete_data[[#This Row],[Max Temperature]],Complete_data[Max Temperature],0)</f>
        <v>50</v>
      </c>
      <c r="W82" s="1">
        <f>_xlfn.RANK.EQ(Complete_data[[#This Row],[Min Temperature]],Complete_data[Min Temperature],0)</f>
        <v>40</v>
      </c>
      <c r="X82" s="1">
        <f>_xlfn.RANK.EQ(Complete_data[[#This Row],[Avg Temperature]],Complete_data[Avg Temperature],0)</f>
        <v>44</v>
      </c>
      <c r="Y82">
        <v>6</v>
      </c>
      <c r="Z82">
        <v>0</v>
      </c>
      <c r="AA82">
        <v>0</v>
      </c>
      <c r="AB82">
        <v>2</v>
      </c>
      <c r="AC82">
        <v>2</v>
      </c>
      <c r="AD82">
        <v>1</v>
      </c>
      <c r="AE82">
        <v>0</v>
      </c>
      <c r="AF82">
        <v>0</v>
      </c>
      <c r="AG82">
        <v>0</v>
      </c>
      <c r="AH82">
        <v>0</v>
      </c>
      <c r="AI82">
        <f>SUM(Complete_data[[#This Row],[GENERAL ACUTE CARE]:[CHRONIC DISEASE]])</f>
        <v>11</v>
      </c>
      <c r="AJ82">
        <f>_xlfn.RANK.EQ(Complete_data[[#This Row],[Hospital Count]],Complete_data[Hospital Count],0)</f>
        <v>50</v>
      </c>
      <c r="AK82">
        <v>57.1</v>
      </c>
      <c r="AL82">
        <v>49.94</v>
      </c>
      <c r="AM82">
        <v>46.85</v>
      </c>
      <c r="AN82">
        <v>47.03</v>
      </c>
      <c r="AO82">
        <v>42.83</v>
      </c>
      <c r="AP82">
        <v>41.76</v>
      </c>
      <c r="AQ82">
        <v>44.7</v>
      </c>
      <c r="AR82">
        <v>38.36</v>
      </c>
      <c r="AS82">
        <v>37.630000000000003</v>
      </c>
      <c r="AT82">
        <v>46.81</v>
      </c>
      <c r="AU82">
        <f>AVERAGE(Complete_data[[#This Row],[2009]:[2019]])</f>
        <v>45.301000000000002</v>
      </c>
      <c r="AV82">
        <f>_xlfn.RANK.EQ(Complete_data[[#This Row],[Average crime rate]],Complete_data[Average crime rate],1)</f>
        <v>68</v>
      </c>
      <c r="AW82">
        <v>42</v>
      </c>
      <c r="AX82">
        <v>47</v>
      </c>
      <c r="AY82">
        <v>53</v>
      </c>
      <c r="AZ82">
        <v>62</v>
      </c>
      <c r="BA82">
        <v>70</v>
      </c>
      <c r="BB82">
        <v>77</v>
      </c>
      <c r="BC82">
        <v>80</v>
      </c>
      <c r="BD82">
        <v>78</v>
      </c>
      <c r="BE82">
        <v>74</v>
      </c>
      <c r="BF82">
        <v>63</v>
      </c>
      <c r="BG82">
        <v>51</v>
      </c>
      <c r="BH82">
        <v>47</v>
      </c>
    </row>
    <row r="83" spans="1:60" x14ac:dyDescent="0.3">
      <c r="A83" t="s">
        <v>260</v>
      </c>
      <c r="B83" t="s">
        <v>265</v>
      </c>
      <c r="C83" t="s">
        <v>266</v>
      </c>
      <c r="E83">
        <v>236</v>
      </c>
      <c r="F83">
        <v>26</v>
      </c>
      <c r="G83">
        <v>30</v>
      </c>
      <c r="H83">
        <v>131</v>
      </c>
      <c r="I83">
        <v>71</v>
      </c>
      <c r="J83">
        <v>52</v>
      </c>
      <c r="K83">
        <v>5</v>
      </c>
      <c r="L83">
        <v>19</v>
      </c>
      <c r="M83">
        <v>1</v>
      </c>
      <c r="N83">
        <v>87</v>
      </c>
      <c r="O83">
        <v>1</v>
      </c>
      <c r="P83">
        <v>8</v>
      </c>
      <c r="Q83">
        <f>SUM(Complete_data[[#This Row],[American]:[Indian]])</f>
        <v>667</v>
      </c>
      <c r="R83">
        <f>_xlfn.RANK.EQ(Complete_data[[#This Row],[Restaurant count]],Complete_data[Restaurant count],0)</f>
        <v>81</v>
      </c>
      <c r="S83">
        <v>39</v>
      </c>
      <c r="T83">
        <v>79</v>
      </c>
      <c r="U83" s="1">
        <v>59.75</v>
      </c>
      <c r="V83" s="1">
        <f>_xlfn.RANK.EQ(Complete_data[[#This Row],[Max Temperature]],Complete_data[Max Temperature],0)</f>
        <v>61</v>
      </c>
      <c r="W83" s="1">
        <f>_xlfn.RANK.EQ(Complete_data[[#This Row],[Min Temperature]],Complete_data[Min Temperature],0)</f>
        <v>53</v>
      </c>
      <c r="X83" s="1">
        <f>_xlfn.RANK.EQ(Complete_data[[#This Row],[Avg Temperature]],Complete_data[Avg Temperature],0)</f>
        <v>53</v>
      </c>
      <c r="Y83">
        <v>4</v>
      </c>
      <c r="Z83">
        <v>0</v>
      </c>
      <c r="AA83">
        <v>0</v>
      </c>
      <c r="AB83">
        <v>0</v>
      </c>
      <c r="AC83">
        <v>1</v>
      </c>
      <c r="AD83">
        <v>0</v>
      </c>
      <c r="AE83">
        <v>0</v>
      </c>
      <c r="AF83">
        <v>0</v>
      </c>
      <c r="AG83">
        <v>1</v>
      </c>
      <c r="AH83">
        <v>0</v>
      </c>
      <c r="AI83">
        <f>SUM(Complete_data[[#This Row],[GENERAL ACUTE CARE]:[CHRONIC DISEASE]])</f>
        <v>6</v>
      </c>
      <c r="AJ83">
        <f>_xlfn.RANK.EQ(Complete_data[[#This Row],[Hospital Count]],Complete_data[Hospital Count],0)</f>
        <v>90</v>
      </c>
      <c r="AK83">
        <v>68.53</v>
      </c>
      <c r="AL83">
        <v>59.77</v>
      </c>
      <c r="AM83">
        <v>0</v>
      </c>
      <c r="AN83">
        <v>49.79</v>
      </c>
      <c r="AO83">
        <v>46.89</v>
      </c>
      <c r="AP83">
        <v>41.18</v>
      </c>
      <c r="AQ83">
        <v>42</v>
      </c>
      <c r="AR83">
        <v>36.020000000000003</v>
      </c>
      <c r="AS83">
        <v>33.78</v>
      </c>
      <c r="AT83">
        <v>45.38</v>
      </c>
      <c r="AU83">
        <f>AVERAGE(Complete_data[[#This Row],[2009]:[2019]])</f>
        <v>42.334000000000003</v>
      </c>
      <c r="AV83">
        <f>_xlfn.RANK.EQ(Complete_data[[#This Row],[Average crime rate]],Complete_data[Average crime rate],1)</f>
        <v>52</v>
      </c>
      <c r="AW83">
        <v>39</v>
      </c>
      <c r="AX83">
        <v>43</v>
      </c>
      <c r="AY83">
        <v>50</v>
      </c>
      <c r="AZ83">
        <v>60</v>
      </c>
      <c r="BA83">
        <v>68</v>
      </c>
      <c r="BB83">
        <v>76</v>
      </c>
      <c r="BC83">
        <v>79</v>
      </c>
      <c r="BD83">
        <v>76</v>
      </c>
      <c r="BE83">
        <v>72</v>
      </c>
      <c r="BF83">
        <v>61</v>
      </c>
      <c r="BG83">
        <v>49</v>
      </c>
      <c r="BH83">
        <v>44</v>
      </c>
    </row>
    <row r="84" spans="1:60" x14ac:dyDescent="0.3">
      <c r="A84" t="s">
        <v>260</v>
      </c>
      <c r="B84" t="s">
        <v>267</v>
      </c>
      <c r="C84" t="s">
        <v>268</v>
      </c>
      <c r="E84">
        <v>545</v>
      </c>
      <c r="F84">
        <v>100</v>
      </c>
      <c r="G84">
        <v>78</v>
      </c>
      <c r="H84">
        <v>349</v>
      </c>
      <c r="I84">
        <v>222</v>
      </c>
      <c r="J84">
        <v>132</v>
      </c>
      <c r="K84">
        <v>14</v>
      </c>
      <c r="L84">
        <v>71</v>
      </c>
      <c r="M84">
        <v>10</v>
      </c>
      <c r="N84">
        <v>255</v>
      </c>
      <c r="O84">
        <v>4</v>
      </c>
      <c r="P84">
        <v>32</v>
      </c>
      <c r="Q84">
        <f>SUM(Complete_data[[#This Row],[American]:[Indian]])</f>
        <v>1812</v>
      </c>
      <c r="R84">
        <f>_xlfn.RANK.EQ(Complete_data[[#This Row],[Restaurant count]],Complete_data[Restaurant count],0)</f>
        <v>43</v>
      </c>
      <c r="S84">
        <v>41</v>
      </c>
      <c r="T84">
        <v>80</v>
      </c>
      <c r="U84" s="1">
        <v>61.166666666666664</v>
      </c>
      <c r="V84" s="1">
        <f>_xlfn.RANK.EQ(Complete_data[[#This Row],[Max Temperature]],Complete_data[Max Temperature],0)</f>
        <v>50</v>
      </c>
      <c r="W84" s="1">
        <f>_xlfn.RANK.EQ(Complete_data[[#This Row],[Min Temperature]],Complete_data[Min Temperature],0)</f>
        <v>47</v>
      </c>
      <c r="X84" s="1">
        <f>_xlfn.RANK.EQ(Complete_data[[#This Row],[Avg Temperature]],Complete_data[Avg Temperature],0)</f>
        <v>48</v>
      </c>
      <c r="Y84">
        <v>4</v>
      </c>
      <c r="Z84">
        <v>0</v>
      </c>
      <c r="AA84">
        <v>0</v>
      </c>
      <c r="AB84">
        <v>0</v>
      </c>
      <c r="AC84">
        <v>2</v>
      </c>
      <c r="AD84">
        <v>0</v>
      </c>
      <c r="AE84">
        <v>0</v>
      </c>
      <c r="AF84">
        <v>0</v>
      </c>
      <c r="AG84">
        <v>0</v>
      </c>
      <c r="AH84">
        <v>0</v>
      </c>
      <c r="AI84">
        <f>SUM(Complete_data[[#This Row],[GENERAL ACUTE CARE]:[CHRONIC DISEASE]])</f>
        <v>6</v>
      </c>
      <c r="AJ84">
        <f>_xlfn.RANK.EQ(Complete_data[[#This Row],[Hospital Count]],Complete_data[Hospital Count],0)</f>
        <v>90</v>
      </c>
      <c r="AK84">
        <v>39.119999999999997</v>
      </c>
      <c r="AL84">
        <v>35.26</v>
      </c>
      <c r="AM84">
        <v>36.799999999999997</v>
      </c>
      <c r="AN84">
        <v>37.130000000000003</v>
      </c>
      <c r="AO84">
        <v>34.68</v>
      </c>
      <c r="AP84">
        <v>0</v>
      </c>
      <c r="AQ84">
        <v>0</v>
      </c>
      <c r="AR84">
        <v>0</v>
      </c>
      <c r="AS84">
        <v>0</v>
      </c>
      <c r="AT84">
        <v>20.46</v>
      </c>
      <c r="AU84">
        <f>AVERAGE(Complete_data[[#This Row],[2009]:[2019]])</f>
        <v>20.345000000000002</v>
      </c>
      <c r="AV84">
        <f>_xlfn.RANK.EQ(Complete_data[[#This Row],[Average crime rate]],Complete_data[Average crime rate],1)</f>
        <v>7</v>
      </c>
      <c r="AW84">
        <v>41</v>
      </c>
      <c r="AX84">
        <v>45</v>
      </c>
      <c r="AY84">
        <v>52</v>
      </c>
      <c r="AZ84">
        <v>61</v>
      </c>
      <c r="BA84">
        <v>69</v>
      </c>
      <c r="BB84">
        <v>77</v>
      </c>
      <c r="BC84">
        <v>80</v>
      </c>
      <c r="BD84">
        <v>78</v>
      </c>
      <c r="BE84">
        <v>73</v>
      </c>
      <c r="BF84">
        <v>62</v>
      </c>
      <c r="BG84">
        <v>50</v>
      </c>
      <c r="BH84">
        <v>46</v>
      </c>
    </row>
    <row r="85" spans="1:60" x14ac:dyDescent="0.3">
      <c r="A85" t="s">
        <v>269</v>
      </c>
      <c r="B85" t="s">
        <v>270</v>
      </c>
      <c r="C85" t="s">
        <v>271</v>
      </c>
      <c r="E85">
        <v>74</v>
      </c>
      <c r="F85">
        <v>17</v>
      </c>
      <c r="G85">
        <v>9</v>
      </c>
      <c r="H85">
        <v>25</v>
      </c>
      <c r="I85">
        <v>19</v>
      </c>
      <c r="J85">
        <v>15</v>
      </c>
      <c r="K85">
        <v>2</v>
      </c>
      <c r="L85">
        <v>11</v>
      </c>
      <c r="M85">
        <v>3</v>
      </c>
      <c r="N85">
        <v>14</v>
      </c>
      <c r="P85">
        <v>1</v>
      </c>
      <c r="Q85">
        <f>SUM(Complete_data[[#This Row],[American]:[Indian]])</f>
        <v>190</v>
      </c>
      <c r="R85">
        <f>_xlfn.RANK.EQ(Complete_data[[#This Row],[Restaurant count]],Complete_data[Restaurant count],0)</f>
        <v>129</v>
      </c>
      <c r="S85">
        <v>15</v>
      </c>
      <c r="T85">
        <v>72</v>
      </c>
      <c r="U85" s="1">
        <v>43.333333333333336</v>
      </c>
      <c r="V85" s="1">
        <f>_xlfn.RANK.EQ(Complete_data[[#This Row],[Max Temperature]],Complete_data[Max Temperature],0)</f>
        <v>124</v>
      </c>
      <c r="W85" s="1">
        <f>_xlfn.RANK.EQ(Complete_data[[#This Row],[Min Temperature]],Complete_data[Min Temperature],0)</f>
        <v>144</v>
      </c>
      <c r="X85" s="1">
        <f>_xlfn.RANK.EQ(Complete_data[[#This Row],[Avg Temperature]],Complete_data[Avg Temperature],0)</f>
        <v>142</v>
      </c>
      <c r="Y85">
        <v>2</v>
      </c>
      <c r="Z85">
        <v>0</v>
      </c>
      <c r="AA85">
        <v>0</v>
      </c>
      <c r="AB85">
        <v>0</v>
      </c>
      <c r="AC85">
        <v>0</v>
      </c>
      <c r="AD85">
        <v>0</v>
      </c>
      <c r="AE85">
        <v>0</v>
      </c>
      <c r="AF85">
        <v>0</v>
      </c>
      <c r="AG85">
        <v>0</v>
      </c>
      <c r="AH85">
        <v>0</v>
      </c>
      <c r="AI85">
        <f>SUM(Complete_data[[#This Row],[GENERAL ACUTE CARE]:[CHRONIC DISEASE]])</f>
        <v>2</v>
      </c>
      <c r="AJ85">
        <f>_xlfn.RANK.EQ(Complete_data[[#This Row],[Hospital Count]],Complete_data[Hospital Count],0)</f>
        <v>124</v>
      </c>
      <c r="AK85">
        <v>28.63</v>
      </c>
      <c r="AL85">
        <v>26.66</v>
      </c>
      <c r="AM85">
        <v>32.659999999999997</v>
      </c>
      <c r="AN85">
        <v>33.880000000000003</v>
      </c>
      <c r="AO85">
        <v>29.31</v>
      </c>
      <c r="AP85">
        <v>27.62</v>
      </c>
      <c r="AQ85">
        <v>14.53</v>
      </c>
      <c r="AR85">
        <v>36.28</v>
      </c>
      <c r="AS85">
        <v>30.28</v>
      </c>
      <c r="AT85">
        <v>30.94</v>
      </c>
      <c r="AU85">
        <f>AVERAGE(Complete_data[[#This Row],[2009]:[2019]])</f>
        <v>29.079000000000001</v>
      </c>
      <c r="AV85">
        <f>_xlfn.RANK.EQ(Complete_data[[#This Row],[Average crime rate]],Complete_data[Average crime rate],1)</f>
        <v>17</v>
      </c>
      <c r="AW85">
        <v>15</v>
      </c>
      <c r="AX85">
        <v>16</v>
      </c>
      <c r="AY85">
        <v>30</v>
      </c>
      <c r="AZ85">
        <v>43</v>
      </c>
      <c r="BA85">
        <v>55</v>
      </c>
      <c r="BB85">
        <v>67</v>
      </c>
      <c r="BC85">
        <v>72</v>
      </c>
      <c r="BD85">
        <v>69</v>
      </c>
      <c r="BE85">
        <v>60</v>
      </c>
      <c r="BF85">
        <v>45</v>
      </c>
      <c r="BG85">
        <v>30</v>
      </c>
      <c r="BH85">
        <v>18</v>
      </c>
    </row>
    <row r="86" spans="1:60" x14ac:dyDescent="0.3">
      <c r="A86" t="s">
        <v>269</v>
      </c>
      <c r="B86" t="s">
        <v>272</v>
      </c>
      <c r="C86" t="s">
        <v>273</v>
      </c>
      <c r="E86">
        <v>118</v>
      </c>
      <c r="F86">
        <v>22</v>
      </c>
      <c r="G86">
        <v>12</v>
      </c>
      <c r="H86">
        <v>48</v>
      </c>
      <c r="I86">
        <v>25</v>
      </c>
      <c r="J86">
        <v>21</v>
      </c>
      <c r="K86">
        <v>3</v>
      </c>
      <c r="L86">
        <v>30</v>
      </c>
      <c r="M86">
        <v>1</v>
      </c>
      <c r="N86">
        <v>28</v>
      </c>
      <c r="P86">
        <v>2</v>
      </c>
      <c r="Q86">
        <f>SUM(Complete_data[[#This Row],[American]:[Indian]])</f>
        <v>310</v>
      </c>
      <c r="R86">
        <f>_xlfn.RANK.EQ(Complete_data[[#This Row],[Restaurant count]],Complete_data[Restaurant count],0)</f>
        <v>116</v>
      </c>
      <c r="S86">
        <v>12</v>
      </c>
      <c r="T86">
        <v>73</v>
      </c>
      <c r="U86" s="1">
        <v>43.416666666666664</v>
      </c>
      <c r="V86" s="1">
        <f>_xlfn.RANK.EQ(Complete_data[[#This Row],[Max Temperature]],Complete_data[Max Temperature],0)</f>
        <v>116</v>
      </c>
      <c r="W86" s="1">
        <f>_xlfn.RANK.EQ(Complete_data[[#This Row],[Min Temperature]],Complete_data[Min Temperature],0)</f>
        <v>146</v>
      </c>
      <c r="X86" s="1">
        <f>_xlfn.RANK.EQ(Complete_data[[#This Row],[Avg Temperature]],Complete_data[Avg Temperature],0)</f>
        <v>141</v>
      </c>
      <c r="Y86">
        <v>5</v>
      </c>
      <c r="Z86">
        <v>0</v>
      </c>
      <c r="AA86">
        <v>0</v>
      </c>
      <c r="AB86">
        <v>1</v>
      </c>
      <c r="AC86">
        <v>1</v>
      </c>
      <c r="AD86">
        <v>0</v>
      </c>
      <c r="AE86">
        <v>0</v>
      </c>
      <c r="AF86">
        <v>1</v>
      </c>
      <c r="AG86">
        <v>0</v>
      </c>
      <c r="AH86">
        <v>0</v>
      </c>
      <c r="AI86">
        <f>SUM(Complete_data[[#This Row],[GENERAL ACUTE CARE]:[CHRONIC DISEASE]])</f>
        <v>8</v>
      </c>
      <c r="AJ86">
        <f>_xlfn.RANK.EQ(Complete_data[[#This Row],[Hospital Count]],Complete_data[Hospital Count],0)</f>
        <v>69</v>
      </c>
      <c r="AK86">
        <v>37.4</v>
      </c>
      <c r="AL86">
        <v>30.89</v>
      </c>
      <c r="AM86">
        <v>28.59</v>
      </c>
      <c r="AN86">
        <v>29.55</v>
      </c>
      <c r="AO86">
        <v>33.020000000000003</v>
      </c>
      <c r="AP86">
        <v>29.97</v>
      </c>
      <c r="AQ86">
        <v>33.299999999999997</v>
      </c>
      <c r="AR86">
        <v>35.46</v>
      </c>
      <c r="AS86">
        <v>35.729999999999997</v>
      </c>
      <c r="AT86">
        <v>35.93</v>
      </c>
      <c r="AU86">
        <f>AVERAGE(Complete_data[[#This Row],[2009]:[2019]])</f>
        <v>32.983999999999995</v>
      </c>
      <c r="AV86">
        <f>_xlfn.RANK.EQ(Complete_data[[#This Row],[Average crime rate]],Complete_data[Average crime rate],1)</f>
        <v>25</v>
      </c>
      <c r="AW86">
        <v>12</v>
      </c>
      <c r="AX86">
        <v>13</v>
      </c>
      <c r="AY86">
        <v>29</v>
      </c>
      <c r="AZ86">
        <v>43</v>
      </c>
      <c r="BA86">
        <v>57</v>
      </c>
      <c r="BB86">
        <v>68</v>
      </c>
      <c r="BC86">
        <v>73</v>
      </c>
      <c r="BD86">
        <v>70</v>
      </c>
      <c r="BE86">
        <v>61</v>
      </c>
      <c r="BF86">
        <v>47</v>
      </c>
      <c r="BG86">
        <v>31</v>
      </c>
      <c r="BH86">
        <v>17</v>
      </c>
    </row>
    <row r="87" spans="1:60" x14ac:dyDescent="0.3">
      <c r="A87" t="s">
        <v>274</v>
      </c>
      <c r="B87" t="s">
        <v>275</v>
      </c>
      <c r="C87" t="s">
        <v>276</v>
      </c>
      <c r="E87">
        <v>155</v>
      </c>
      <c r="F87">
        <v>26</v>
      </c>
      <c r="G87">
        <v>25</v>
      </c>
      <c r="H87">
        <v>120</v>
      </c>
      <c r="I87">
        <v>40</v>
      </c>
      <c r="J87">
        <v>33</v>
      </c>
      <c r="K87">
        <v>6</v>
      </c>
      <c r="L87">
        <v>23</v>
      </c>
      <c r="M87">
        <v>4</v>
      </c>
      <c r="N87">
        <v>51</v>
      </c>
      <c r="O87">
        <v>1</v>
      </c>
      <c r="P87">
        <v>7</v>
      </c>
      <c r="Q87">
        <f>SUM(Complete_data[[#This Row],[American]:[Indian]])</f>
        <v>491</v>
      </c>
      <c r="R87">
        <f>_xlfn.RANK.EQ(Complete_data[[#This Row],[Restaurant count]],Complete_data[Restaurant count],0)</f>
        <v>96</v>
      </c>
      <c r="S87">
        <v>25</v>
      </c>
      <c r="T87">
        <v>78</v>
      </c>
      <c r="U87" s="1">
        <v>52.416666666666664</v>
      </c>
      <c r="V87" s="1">
        <f>_xlfn.RANK.EQ(Complete_data[[#This Row],[Max Temperature]],Complete_data[Max Temperature],0)</f>
        <v>71</v>
      </c>
      <c r="W87" s="1">
        <f>_xlfn.RANK.EQ(Complete_data[[#This Row],[Min Temperature]],Complete_data[Min Temperature],0)</f>
        <v>118</v>
      </c>
      <c r="X87" s="1">
        <f>_xlfn.RANK.EQ(Complete_data[[#This Row],[Avg Temperature]],Complete_data[Avg Temperature],0)</f>
        <v>97</v>
      </c>
      <c r="Y87">
        <v>5</v>
      </c>
      <c r="Z87">
        <v>0</v>
      </c>
      <c r="AA87">
        <v>0</v>
      </c>
      <c r="AB87">
        <v>1</v>
      </c>
      <c r="AC87">
        <v>1</v>
      </c>
      <c r="AD87">
        <v>1</v>
      </c>
      <c r="AE87">
        <v>0</v>
      </c>
      <c r="AF87">
        <v>0</v>
      </c>
      <c r="AG87">
        <v>0</v>
      </c>
      <c r="AH87">
        <v>0</v>
      </c>
      <c r="AI87">
        <f>SUM(Complete_data[[#This Row],[GENERAL ACUTE CARE]:[CHRONIC DISEASE]])</f>
        <v>8</v>
      </c>
      <c r="AJ87">
        <f>_xlfn.RANK.EQ(Complete_data[[#This Row],[Hospital Count]],Complete_data[Hospital Count],0)</f>
        <v>69</v>
      </c>
      <c r="AK87">
        <v>43.91</v>
      </c>
      <c r="AL87">
        <v>44.19</v>
      </c>
      <c r="AM87">
        <v>42.89</v>
      </c>
      <c r="AN87">
        <v>42.57</v>
      </c>
      <c r="AO87">
        <v>38.81</v>
      </c>
      <c r="AP87">
        <v>37.11</v>
      </c>
      <c r="AQ87">
        <v>36.69</v>
      </c>
      <c r="AR87">
        <v>0</v>
      </c>
      <c r="AS87">
        <v>32.409999999999997</v>
      </c>
      <c r="AT87">
        <v>31.34</v>
      </c>
      <c r="AU87">
        <f>AVERAGE(Complete_data[[#This Row],[2009]:[2019]])</f>
        <v>34.992000000000004</v>
      </c>
      <c r="AV87">
        <f>_xlfn.RANK.EQ(Complete_data[[#This Row],[Average crime rate]],Complete_data[Average crime rate],1)</f>
        <v>32</v>
      </c>
      <c r="AW87">
        <v>25</v>
      </c>
      <c r="AX87">
        <v>28</v>
      </c>
      <c r="AY87">
        <v>42</v>
      </c>
      <c r="AZ87">
        <v>52</v>
      </c>
      <c r="BA87">
        <v>63</v>
      </c>
      <c r="BB87">
        <v>75</v>
      </c>
      <c r="BC87">
        <v>78</v>
      </c>
      <c r="BD87">
        <v>75</v>
      </c>
      <c r="BE87">
        <v>68</v>
      </c>
      <c r="BF87">
        <v>54</v>
      </c>
      <c r="BG87">
        <v>40</v>
      </c>
      <c r="BH87">
        <v>29</v>
      </c>
    </row>
    <row r="88" spans="1:60" x14ac:dyDescent="0.3">
      <c r="A88" t="s">
        <v>274</v>
      </c>
      <c r="B88" t="s">
        <v>277</v>
      </c>
      <c r="C88" t="s">
        <v>278</v>
      </c>
      <c r="E88">
        <v>17</v>
      </c>
      <c r="G88">
        <v>2</v>
      </c>
      <c r="H88">
        <v>8</v>
      </c>
      <c r="I88">
        <v>4</v>
      </c>
      <c r="J88">
        <v>6</v>
      </c>
      <c r="L88">
        <v>2</v>
      </c>
      <c r="N88">
        <v>5</v>
      </c>
      <c r="Q88">
        <f>SUM(Complete_data[[#This Row],[American]:[Indian]])</f>
        <v>44</v>
      </c>
      <c r="R88">
        <f>_xlfn.RANK.EQ(Complete_data[[#This Row],[Restaurant count]],Complete_data[Restaurant count],0)</f>
        <v>143</v>
      </c>
      <c r="S88">
        <v>26</v>
      </c>
      <c r="T88">
        <v>75</v>
      </c>
      <c r="U88" s="1">
        <v>49.416666666666664</v>
      </c>
      <c r="V88" s="1">
        <f>_xlfn.RANK.EQ(Complete_data[[#This Row],[Max Temperature]],Complete_data[Max Temperature],0)</f>
        <v>94</v>
      </c>
      <c r="W88" s="1">
        <f>_xlfn.RANK.EQ(Complete_data[[#This Row],[Min Temperature]],Complete_data[Min Temperature],0)</f>
        <v>108</v>
      </c>
      <c r="X88" s="1">
        <f>_xlfn.RANK.EQ(Complete_data[[#This Row],[Avg Temperature]],Complete_data[Avg Temperature],0)</f>
        <v>121</v>
      </c>
      <c r="Y88">
        <v>1</v>
      </c>
      <c r="Z88">
        <v>0</v>
      </c>
      <c r="AA88">
        <v>0</v>
      </c>
      <c r="AB88">
        <v>0</v>
      </c>
      <c r="AC88">
        <v>0</v>
      </c>
      <c r="AD88">
        <v>0</v>
      </c>
      <c r="AE88">
        <v>0</v>
      </c>
      <c r="AF88">
        <v>0</v>
      </c>
      <c r="AG88">
        <v>0</v>
      </c>
      <c r="AH88">
        <v>0</v>
      </c>
      <c r="AI88">
        <f>SUM(Complete_data[[#This Row],[GENERAL ACUTE CARE]:[CHRONIC DISEASE]])</f>
        <v>1</v>
      </c>
      <c r="AJ88">
        <f>_xlfn.RANK.EQ(Complete_data[[#This Row],[Hospital Count]],Complete_data[Hospital Count],0)</f>
        <v>137</v>
      </c>
      <c r="AK88">
        <v>0</v>
      </c>
      <c r="AL88">
        <v>48.96</v>
      </c>
      <c r="AM88">
        <v>45.12</v>
      </c>
      <c r="AN88">
        <v>48.05</v>
      </c>
      <c r="AO88">
        <v>0</v>
      </c>
      <c r="AP88">
        <v>45.24</v>
      </c>
      <c r="AQ88">
        <v>42.92</v>
      </c>
      <c r="AR88">
        <v>0</v>
      </c>
      <c r="AS88">
        <v>46.56</v>
      </c>
      <c r="AT88">
        <v>38.01</v>
      </c>
      <c r="AU88">
        <f>AVERAGE(Complete_data[[#This Row],[2009]:[2019]])</f>
        <v>31.486000000000001</v>
      </c>
      <c r="AV88">
        <f>_xlfn.RANK.EQ(Complete_data[[#This Row],[Average crime rate]],Complete_data[Average crime rate],1)</f>
        <v>23</v>
      </c>
      <c r="AW88">
        <v>26</v>
      </c>
      <c r="AX88">
        <v>27</v>
      </c>
      <c r="AY88">
        <v>40</v>
      </c>
      <c r="AZ88">
        <v>48</v>
      </c>
      <c r="BA88">
        <v>57</v>
      </c>
      <c r="BB88">
        <v>71</v>
      </c>
      <c r="BC88">
        <v>75</v>
      </c>
      <c r="BD88">
        <v>72</v>
      </c>
      <c r="BE88">
        <v>65</v>
      </c>
      <c r="BF88">
        <v>50</v>
      </c>
      <c r="BG88">
        <v>36</v>
      </c>
      <c r="BH88">
        <v>26</v>
      </c>
    </row>
    <row r="89" spans="1:60" x14ac:dyDescent="0.3">
      <c r="A89" t="s">
        <v>274</v>
      </c>
      <c r="B89" t="s">
        <v>279</v>
      </c>
      <c r="C89" t="s">
        <v>280</v>
      </c>
      <c r="E89">
        <v>357</v>
      </c>
      <c r="F89">
        <v>69</v>
      </c>
      <c r="G89">
        <v>46</v>
      </c>
      <c r="H89">
        <v>235</v>
      </c>
      <c r="I89">
        <v>97</v>
      </c>
      <c r="J89">
        <v>90</v>
      </c>
      <c r="K89">
        <v>18</v>
      </c>
      <c r="L89">
        <v>88</v>
      </c>
      <c r="M89">
        <v>1</v>
      </c>
      <c r="N89">
        <v>129</v>
      </c>
      <c r="O89">
        <v>3</v>
      </c>
      <c r="P89">
        <v>15</v>
      </c>
      <c r="Q89">
        <f>SUM(Complete_data[[#This Row],[American]:[Indian]])</f>
        <v>1148</v>
      </c>
      <c r="R89">
        <f>_xlfn.RANK.EQ(Complete_data[[#This Row],[Restaurant count]],Complete_data[Restaurant count],0)</f>
        <v>59</v>
      </c>
      <c r="S89">
        <v>24</v>
      </c>
      <c r="T89">
        <v>79</v>
      </c>
      <c r="U89" s="1">
        <v>52.416666666666664</v>
      </c>
      <c r="V89" s="1">
        <f>_xlfn.RANK.EQ(Complete_data[[#This Row],[Max Temperature]],Complete_data[Max Temperature],0)</f>
        <v>61</v>
      </c>
      <c r="W89" s="1">
        <f>_xlfn.RANK.EQ(Complete_data[[#This Row],[Min Temperature]],Complete_data[Min Temperature],0)</f>
        <v>127</v>
      </c>
      <c r="X89" s="1">
        <f>_xlfn.RANK.EQ(Complete_data[[#This Row],[Avg Temperature]],Complete_data[Avg Temperature],0)</f>
        <v>97</v>
      </c>
      <c r="Y89">
        <v>8</v>
      </c>
      <c r="Z89">
        <v>2</v>
      </c>
      <c r="AA89">
        <v>2</v>
      </c>
      <c r="AB89">
        <v>0</v>
      </c>
      <c r="AC89">
        <v>2</v>
      </c>
      <c r="AD89">
        <v>1</v>
      </c>
      <c r="AE89">
        <v>0</v>
      </c>
      <c r="AF89">
        <v>1</v>
      </c>
      <c r="AG89">
        <v>0</v>
      </c>
      <c r="AH89">
        <v>0</v>
      </c>
      <c r="AI89">
        <f>SUM(Complete_data[[#This Row],[GENERAL ACUTE CARE]:[CHRONIC DISEASE]])</f>
        <v>16</v>
      </c>
      <c r="AJ89">
        <f>_xlfn.RANK.EQ(Complete_data[[#This Row],[Hospital Count]],Complete_data[Hospital Count],0)</f>
        <v>28</v>
      </c>
      <c r="AK89">
        <v>46.91</v>
      </c>
      <c r="AL89">
        <v>42.43</v>
      </c>
      <c r="AM89">
        <v>51.29</v>
      </c>
      <c r="AN89">
        <v>52</v>
      </c>
      <c r="AO89">
        <v>50.91</v>
      </c>
      <c r="AP89">
        <v>49.14</v>
      </c>
      <c r="AQ89">
        <v>41.28</v>
      </c>
      <c r="AR89">
        <v>45.27</v>
      </c>
      <c r="AS89">
        <v>40.36</v>
      </c>
      <c r="AT89">
        <v>42.57</v>
      </c>
      <c r="AU89">
        <f>AVERAGE(Complete_data[[#This Row],[2009]:[2019]])</f>
        <v>46.216000000000001</v>
      </c>
      <c r="AV89">
        <f>_xlfn.RANK.EQ(Complete_data[[#This Row],[Average crime rate]],Complete_data[Average crime rate],1)</f>
        <v>72</v>
      </c>
      <c r="AW89">
        <v>24</v>
      </c>
      <c r="AX89">
        <v>27</v>
      </c>
      <c r="AY89">
        <v>41</v>
      </c>
      <c r="AZ89">
        <v>53</v>
      </c>
      <c r="BA89">
        <v>63</v>
      </c>
      <c r="BB89">
        <v>75</v>
      </c>
      <c r="BC89">
        <v>79</v>
      </c>
      <c r="BD89">
        <v>75</v>
      </c>
      <c r="BE89">
        <v>69</v>
      </c>
      <c r="BF89">
        <v>54</v>
      </c>
      <c r="BG89">
        <v>40</v>
      </c>
      <c r="BH89">
        <v>29</v>
      </c>
    </row>
    <row r="90" spans="1:60" x14ac:dyDescent="0.3">
      <c r="A90" t="s">
        <v>281</v>
      </c>
      <c r="B90" t="s">
        <v>282</v>
      </c>
      <c r="C90" t="s">
        <v>283</v>
      </c>
      <c r="E90">
        <v>54</v>
      </c>
      <c r="F90">
        <v>5</v>
      </c>
      <c r="G90">
        <v>5</v>
      </c>
      <c r="H90">
        <v>16</v>
      </c>
      <c r="I90">
        <v>20</v>
      </c>
      <c r="J90">
        <v>6</v>
      </c>
      <c r="L90">
        <v>3</v>
      </c>
      <c r="M90">
        <v>2</v>
      </c>
      <c r="N90">
        <v>10</v>
      </c>
      <c r="O90">
        <v>1</v>
      </c>
      <c r="P90">
        <v>1</v>
      </c>
      <c r="Q90">
        <f>SUM(Complete_data[[#This Row],[American]:[Indian]])</f>
        <v>123</v>
      </c>
      <c r="R90">
        <f>_xlfn.RANK.EQ(Complete_data[[#This Row],[Restaurant count]],Complete_data[Restaurant count],0)</f>
        <v>139</v>
      </c>
      <c r="S90">
        <v>24</v>
      </c>
      <c r="T90">
        <v>68</v>
      </c>
      <c r="U90" s="1">
        <v>46.75</v>
      </c>
      <c r="V90" s="1">
        <f>_xlfn.RANK.EQ(Complete_data[[#This Row],[Max Temperature]],Complete_data[Max Temperature],0)</f>
        <v>141</v>
      </c>
      <c r="W90" s="1">
        <f>_xlfn.RANK.EQ(Complete_data[[#This Row],[Min Temperature]],Complete_data[Min Temperature],0)</f>
        <v>127</v>
      </c>
      <c r="X90" s="1">
        <f>_xlfn.RANK.EQ(Complete_data[[#This Row],[Avg Temperature]],Complete_data[Avg Temperature],0)</f>
        <v>135</v>
      </c>
      <c r="Y90">
        <v>1</v>
      </c>
      <c r="Z90">
        <v>0</v>
      </c>
      <c r="AA90">
        <v>0</v>
      </c>
      <c r="AB90">
        <v>0</v>
      </c>
      <c r="AC90">
        <v>0</v>
      </c>
      <c r="AD90">
        <v>1</v>
      </c>
      <c r="AE90">
        <v>0</v>
      </c>
      <c r="AF90">
        <v>0</v>
      </c>
      <c r="AG90">
        <v>0</v>
      </c>
      <c r="AH90">
        <v>0</v>
      </c>
      <c r="AI90">
        <f>SUM(Complete_data[[#This Row],[GENERAL ACUTE CARE]:[CHRONIC DISEASE]])</f>
        <v>2</v>
      </c>
      <c r="AJ90">
        <f>_xlfn.RANK.EQ(Complete_data[[#This Row],[Hospital Count]],Complete_data[Hospital Count],0)</f>
        <v>124</v>
      </c>
      <c r="AK90">
        <v>32.57</v>
      </c>
      <c r="AL90">
        <v>31.6</v>
      </c>
      <c r="AM90">
        <v>33.049999999999997</v>
      </c>
      <c r="AN90">
        <v>32.21</v>
      </c>
      <c r="AO90">
        <v>26.66</v>
      </c>
      <c r="AP90">
        <v>25.1</v>
      </c>
      <c r="AQ90">
        <v>23.31</v>
      </c>
      <c r="AR90">
        <v>22.1</v>
      </c>
      <c r="AS90">
        <v>22.24</v>
      </c>
      <c r="AT90">
        <v>20.04</v>
      </c>
      <c r="AU90">
        <f>AVERAGE(Complete_data[[#This Row],[2009]:[2019]])</f>
        <v>26.887999999999998</v>
      </c>
      <c r="AV90">
        <f>_xlfn.RANK.EQ(Complete_data[[#This Row],[Average crime rate]],Complete_data[Average crime rate],1)</f>
        <v>15</v>
      </c>
      <c r="AW90">
        <v>24</v>
      </c>
      <c r="AX90">
        <v>26</v>
      </c>
      <c r="AY90">
        <v>34</v>
      </c>
      <c r="AZ90">
        <v>46</v>
      </c>
      <c r="BA90">
        <v>57</v>
      </c>
      <c r="BB90">
        <v>65</v>
      </c>
      <c r="BC90">
        <v>62</v>
      </c>
      <c r="BD90">
        <v>68</v>
      </c>
      <c r="BE90">
        <v>62</v>
      </c>
      <c r="BF90">
        <v>50</v>
      </c>
      <c r="BG90">
        <v>38</v>
      </c>
      <c r="BH90">
        <v>29</v>
      </c>
    </row>
    <row r="91" spans="1:60" x14ac:dyDescent="0.3">
      <c r="A91" t="s">
        <v>284</v>
      </c>
      <c r="B91" t="s">
        <v>285</v>
      </c>
      <c r="C91" t="s">
        <v>286</v>
      </c>
      <c r="E91">
        <v>414</v>
      </c>
      <c r="F91">
        <v>44</v>
      </c>
      <c r="G91">
        <v>57</v>
      </c>
      <c r="H91">
        <v>172</v>
      </c>
      <c r="I91">
        <v>162</v>
      </c>
      <c r="J91">
        <v>42</v>
      </c>
      <c r="K91">
        <v>4</v>
      </c>
      <c r="L91">
        <v>28</v>
      </c>
      <c r="M91">
        <v>9</v>
      </c>
      <c r="N91">
        <v>87</v>
      </c>
      <c r="O91">
        <v>1</v>
      </c>
      <c r="P91">
        <v>5</v>
      </c>
      <c r="Q91">
        <f>SUM(Complete_data[[#This Row],[American]:[Indian]])</f>
        <v>1025</v>
      </c>
      <c r="R91">
        <f>_xlfn.RANK.EQ(Complete_data[[#This Row],[Restaurant count]],Complete_data[Restaurant count],0)</f>
        <v>66</v>
      </c>
      <c r="S91">
        <v>34</v>
      </c>
      <c r="T91">
        <v>76</v>
      </c>
      <c r="U91" s="1">
        <v>55.583333333333336</v>
      </c>
      <c r="V91" s="1">
        <f>_xlfn.RANK.EQ(Complete_data[[#This Row],[Max Temperature]],Complete_data[Max Temperature],0)</f>
        <v>82</v>
      </c>
      <c r="W91" s="1">
        <f>_xlfn.RANK.EQ(Complete_data[[#This Row],[Min Temperature]],Complete_data[Min Temperature],0)</f>
        <v>70</v>
      </c>
      <c r="X91" s="1">
        <f>_xlfn.RANK.EQ(Complete_data[[#This Row],[Avg Temperature]],Complete_data[Avg Temperature],0)</f>
        <v>76</v>
      </c>
      <c r="Y91">
        <v>1</v>
      </c>
      <c r="Z91">
        <v>2</v>
      </c>
      <c r="AA91">
        <v>0</v>
      </c>
      <c r="AB91">
        <v>0</v>
      </c>
      <c r="AC91">
        <v>0</v>
      </c>
      <c r="AD91">
        <v>0</v>
      </c>
      <c r="AE91">
        <v>0</v>
      </c>
      <c r="AF91">
        <v>0</v>
      </c>
      <c r="AG91">
        <v>0</v>
      </c>
      <c r="AH91">
        <v>0</v>
      </c>
      <c r="AI91">
        <f>SUM(Complete_data[[#This Row],[GENERAL ACUTE CARE]:[CHRONIC DISEASE]])</f>
        <v>3</v>
      </c>
      <c r="AJ91">
        <f>_xlfn.RANK.EQ(Complete_data[[#This Row],[Hospital Count]],Complete_data[Hospital Count],0)</f>
        <v>117</v>
      </c>
      <c r="AK91">
        <v>84.87</v>
      </c>
      <c r="AL91">
        <v>94.63</v>
      </c>
      <c r="AM91">
        <v>92.82</v>
      </c>
      <c r="AN91">
        <v>79.45</v>
      </c>
      <c r="AO91">
        <v>80.09</v>
      </c>
      <c r="AP91">
        <v>75.180000000000007</v>
      </c>
      <c r="AQ91">
        <v>80.34</v>
      </c>
      <c r="AR91">
        <v>55.93</v>
      </c>
      <c r="AS91">
        <v>38.1</v>
      </c>
      <c r="AT91">
        <v>54.88</v>
      </c>
      <c r="AU91">
        <f>AVERAGE(Complete_data[[#This Row],[2009]:[2019]])</f>
        <v>73.628999999999991</v>
      </c>
      <c r="AV91">
        <f>_xlfn.RANK.EQ(Complete_data[[#This Row],[Average crime rate]],Complete_data[Average crime rate],1)</f>
        <v>141</v>
      </c>
      <c r="AW91">
        <v>34</v>
      </c>
      <c r="AX91">
        <v>37</v>
      </c>
      <c r="AY91">
        <v>43</v>
      </c>
      <c r="AZ91">
        <v>52</v>
      </c>
      <c r="BA91">
        <v>61</v>
      </c>
      <c r="BB91">
        <v>72</v>
      </c>
      <c r="BC91">
        <v>76</v>
      </c>
      <c r="BD91">
        <v>75</v>
      </c>
      <c r="BE91">
        <v>70</v>
      </c>
      <c r="BF91">
        <v>59</v>
      </c>
      <c r="BG91">
        <v>47</v>
      </c>
      <c r="BH91">
        <v>41</v>
      </c>
    </row>
    <row r="92" spans="1:60" x14ac:dyDescent="0.3">
      <c r="A92" t="s">
        <v>284</v>
      </c>
      <c r="B92" t="s">
        <v>287</v>
      </c>
      <c r="C92" t="s">
        <v>288</v>
      </c>
      <c r="I92">
        <v>1</v>
      </c>
      <c r="Q92">
        <f>SUM(Complete_data[[#This Row],[American]:[Indian]])</f>
        <v>1</v>
      </c>
      <c r="R92">
        <f>_xlfn.RANK.EQ(Complete_data[[#This Row],[Restaurant count]],Complete_data[Restaurant count],0)</f>
        <v>148</v>
      </c>
      <c r="S92">
        <v>33</v>
      </c>
      <c r="T92">
        <v>80</v>
      </c>
      <c r="U92" s="1">
        <v>56.416666666666664</v>
      </c>
      <c r="V92" s="1">
        <f>_xlfn.RANK.EQ(Complete_data[[#This Row],[Max Temperature]],Complete_data[Max Temperature],0)</f>
        <v>50</v>
      </c>
      <c r="W92" s="1">
        <f>_xlfn.RANK.EQ(Complete_data[[#This Row],[Min Temperature]],Complete_data[Min Temperature],0)</f>
        <v>76</v>
      </c>
      <c r="X92" s="1">
        <f>_xlfn.RANK.EQ(Complete_data[[#This Row],[Avg Temperature]],Complete_data[Avg Temperature],0)</f>
        <v>72</v>
      </c>
      <c r="Y92">
        <v>3</v>
      </c>
      <c r="Z92">
        <v>0</v>
      </c>
      <c r="AA92">
        <v>1</v>
      </c>
      <c r="AB92">
        <v>1</v>
      </c>
      <c r="AC92">
        <v>0</v>
      </c>
      <c r="AD92">
        <v>0</v>
      </c>
      <c r="AE92">
        <v>0</v>
      </c>
      <c r="AF92">
        <v>0</v>
      </c>
      <c r="AG92">
        <v>0</v>
      </c>
      <c r="AH92">
        <v>0</v>
      </c>
      <c r="AI92">
        <f>SUM(Complete_data[[#This Row],[GENERAL ACUTE CARE]:[CHRONIC DISEASE]])</f>
        <v>5</v>
      </c>
      <c r="AJ92">
        <f>_xlfn.RANK.EQ(Complete_data[[#This Row],[Hospital Count]],Complete_data[Hospital Count],0)</f>
        <v>99</v>
      </c>
      <c r="AK92">
        <v>41.2</v>
      </c>
      <c r="AL92">
        <v>43.32</v>
      </c>
      <c r="AM92">
        <v>47.86</v>
      </c>
      <c r="AN92">
        <v>48.34</v>
      </c>
      <c r="AO92">
        <v>44.98</v>
      </c>
      <c r="AP92">
        <v>39.43</v>
      </c>
      <c r="AQ92">
        <v>0</v>
      </c>
      <c r="AR92">
        <v>33.17</v>
      </c>
      <c r="AS92">
        <v>27.57</v>
      </c>
      <c r="AT92">
        <v>22.67</v>
      </c>
      <c r="AU92">
        <f>AVERAGE(Complete_data[[#This Row],[2009]:[2019]])</f>
        <v>34.853999999999999</v>
      </c>
      <c r="AV92">
        <f>_xlfn.RANK.EQ(Complete_data[[#This Row],[Average crime rate]],Complete_data[Average crime rate],1)</f>
        <v>31</v>
      </c>
      <c r="AW92">
        <v>33</v>
      </c>
      <c r="AX92">
        <v>36</v>
      </c>
      <c r="AY92">
        <v>43</v>
      </c>
      <c r="AZ92">
        <v>54</v>
      </c>
      <c r="BA92">
        <v>64</v>
      </c>
      <c r="BB92">
        <v>73</v>
      </c>
      <c r="BC92">
        <v>80</v>
      </c>
      <c r="BD92">
        <v>77</v>
      </c>
      <c r="BE92">
        <v>71</v>
      </c>
      <c r="BF92">
        <v>59</v>
      </c>
      <c r="BG92">
        <v>47</v>
      </c>
      <c r="BH92">
        <v>40</v>
      </c>
    </row>
    <row r="93" spans="1:60" x14ac:dyDescent="0.3">
      <c r="A93" t="s">
        <v>289</v>
      </c>
      <c r="B93" t="s">
        <v>290</v>
      </c>
      <c r="C93" t="s">
        <v>291</v>
      </c>
      <c r="E93">
        <v>362</v>
      </c>
      <c r="F93">
        <v>95</v>
      </c>
      <c r="G93">
        <v>42</v>
      </c>
      <c r="H93">
        <v>218</v>
      </c>
      <c r="I93">
        <v>109</v>
      </c>
      <c r="J93">
        <v>181</v>
      </c>
      <c r="K93">
        <v>11</v>
      </c>
      <c r="L93">
        <v>49</v>
      </c>
      <c r="M93">
        <v>4</v>
      </c>
      <c r="N93">
        <v>161</v>
      </c>
      <c r="O93">
        <v>2</v>
      </c>
      <c r="P93">
        <v>7</v>
      </c>
      <c r="Q93">
        <f>SUM(Complete_data[[#This Row],[American]:[Indian]])</f>
        <v>1241</v>
      </c>
      <c r="R93">
        <f>_xlfn.RANK.EQ(Complete_data[[#This Row],[Restaurant count]],Complete_data[Restaurant count],0)</f>
        <v>56</v>
      </c>
      <c r="S93">
        <v>37</v>
      </c>
      <c r="T93">
        <v>79</v>
      </c>
      <c r="U93" s="1">
        <v>58.583333333333336</v>
      </c>
      <c r="V93" s="1">
        <f>_xlfn.RANK.EQ(Complete_data[[#This Row],[Max Temperature]],Complete_data[Max Temperature],0)</f>
        <v>61</v>
      </c>
      <c r="W93" s="1">
        <f>_xlfn.RANK.EQ(Complete_data[[#This Row],[Min Temperature]],Complete_data[Min Temperature],0)</f>
        <v>61</v>
      </c>
      <c r="X93" s="1">
        <f>_xlfn.RANK.EQ(Complete_data[[#This Row],[Avg Temperature]],Complete_data[Avg Temperature],0)</f>
        <v>59</v>
      </c>
      <c r="Y93">
        <v>5</v>
      </c>
      <c r="Z93">
        <v>2</v>
      </c>
      <c r="AA93">
        <v>1</v>
      </c>
      <c r="AB93">
        <v>2</v>
      </c>
      <c r="AC93">
        <v>3</v>
      </c>
      <c r="AD93">
        <v>2</v>
      </c>
      <c r="AE93">
        <v>0</v>
      </c>
      <c r="AF93">
        <v>1</v>
      </c>
      <c r="AG93">
        <v>1</v>
      </c>
      <c r="AH93">
        <v>0</v>
      </c>
      <c r="AI93">
        <f>SUM(Complete_data[[#This Row],[GENERAL ACUTE CARE]:[CHRONIC DISEASE]])</f>
        <v>17</v>
      </c>
      <c r="AJ93">
        <f>_xlfn.RANK.EQ(Complete_data[[#This Row],[Hospital Count]],Complete_data[Hospital Count],0)</f>
        <v>21</v>
      </c>
      <c r="AK93">
        <v>62.79</v>
      </c>
      <c r="AL93">
        <v>56.44</v>
      </c>
      <c r="AM93">
        <v>58.55</v>
      </c>
      <c r="AN93">
        <v>61.33</v>
      </c>
      <c r="AO93">
        <v>62.6</v>
      </c>
      <c r="AP93">
        <v>63.44</v>
      </c>
      <c r="AQ93">
        <v>70.55</v>
      </c>
      <c r="AR93">
        <v>87.35</v>
      </c>
      <c r="AS93">
        <v>75.63</v>
      </c>
      <c r="AT93">
        <v>13.69</v>
      </c>
      <c r="AU93">
        <f>AVERAGE(Complete_data[[#This Row],[2009]:[2019]])</f>
        <v>61.237000000000002</v>
      </c>
      <c r="AV93">
        <f>_xlfn.RANK.EQ(Complete_data[[#This Row],[Average crime rate]],Complete_data[Average crime rate],1)</f>
        <v>122</v>
      </c>
      <c r="AW93">
        <v>37</v>
      </c>
      <c r="AX93">
        <v>42</v>
      </c>
      <c r="AY93">
        <v>51</v>
      </c>
      <c r="AZ93">
        <v>58</v>
      </c>
      <c r="BA93">
        <v>66</v>
      </c>
      <c r="BB93">
        <v>79</v>
      </c>
      <c r="BC93">
        <v>79</v>
      </c>
      <c r="BD93">
        <v>77</v>
      </c>
      <c r="BE93">
        <v>72</v>
      </c>
      <c r="BF93">
        <v>59</v>
      </c>
      <c r="BG93">
        <v>46</v>
      </c>
      <c r="BH93">
        <v>37</v>
      </c>
    </row>
    <row r="94" spans="1:60" x14ac:dyDescent="0.3">
      <c r="A94" t="s">
        <v>292</v>
      </c>
      <c r="B94" t="s">
        <v>293</v>
      </c>
      <c r="C94" t="s">
        <v>294</v>
      </c>
      <c r="E94">
        <v>969</v>
      </c>
      <c r="F94">
        <v>89</v>
      </c>
      <c r="G94">
        <v>77</v>
      </c>
      <c r="H94">
        <v>732</v>
      </c>
      <c r="I94">
        <v>393</v>
      </c>
      <c r="J94">
        <v>293</v>
      </c>
      <c r="K94">
        <v>56</v>
      </c>
      <c r="L94">
        <v>155</v>
      </c>
      <c r="M94">
        <v>11</v>
      </c>
      <c r="N94">
        <v>579</v>
      </c>
      <c r="O94">
        <v>5</v>
      </c>
      <c r="P94">
        <v>22</v>
      </c>
      <c r="Q94">
        <f>SUM(Complete_data[[#This Row],[American]:[Indian]])</f>
        <v>3381</v>
      </c>
      <c r="R94">
        <f>_xlfn.RANK.EQ(Complete_data[[#This Row],[Restaurant count]],Complete_data[Restaurant count],0)</f>
        <v>22</v>
      </c>
      <c r="S94">
        <v>49</v>
      </c>
      <c r="T94">
        <v>94</v>
      </c>
      <c r="U94" s="1">
        <v>71</v>
      </c>
      <c r="V94" s="1">
        <f>_xlfn.RANK.EQ(Complete_data[[#This Row],[Max Temperature]],Complete_data[Max Temperature],0)</f>
        <v>2</v>
      </c>
      <c r="W94" s="1">
        <f>_xlfn.RANK.EQ(Complete_data[[#This Row],[Min Temperature]],Complete_data[Min Temperature],0)</f>
        <v>22</v>
      </c>
      <c r="X94" s="1">
        <f>_xlfn.RANK.EQ(Complete_data[[#This Row],[Avg Temperature]],Complete_data[Avg Temperature],0)</f>
        <v>9</v>
      </c>
      <c r="Y94">
        <v>12</v>
      </c>
      <c r="Z94">
        <v>0</v>
      </c>
      <c r="AA94">
        <v>0</v>
      </c>
      <c r="AB94">
        <v>5</v>
      </c>
      <c r="AC94">
        <v>7</v>
      </c>
      <c r="AD94">
        <v>3</v>
      </c>
      <c r="AE94">
        <v>0</v>
      </c>
      <c r="AF94">
        <v>0</v>
      </c>
      <c r="AG94">
        <v>0</v>
      </c>
      <c r="AH94">
        <v>0</v>
      </c>
      <c r="AI94">
        <f>SUM(Complete_data[[#This Row],[GENERAL ACUTE CARE]:[CHRONIC DISEASE]])</f>
        <v>27</v>
      </c>
      <c r="AJ94">
        <f>_xlfn.RANK.EQ(Complete_data[[#This Row],[Hospital Count]],Complete_data[Hospital Count],0)</f>
        <v>8</v>
      </c>
      <c r="AK94">
        <v>79.53</v>
      </c>
      <c r="AL94">
        <v>39.61</v>
      </c>
      <c r="AM94">
        <v>35.979999999999997</v>
      </c>
      <c r="AN94">
        <v>72.010000000000005</v>
      </c>
      <c r="AO94">
        <v>74.209999999999994</v>
      </c>
      <c r="AP94">
        <v>69.599999999999994</v>
      </c>
      <c r="AQ94">
        <v>71.150000000000006</v>
      </c>
      <c r="AR94">
        <v>69.73</v>
      </c>
      <c r="AS94">
        <v>65.290000000000006</v>
      </c>
      <c r="AT94">
        <v>62.09</v>
      </c>
      <c r="AU94">
        <f>AVERAGE(Complete_data[[#This Row],[2009]:[2019]])</f>
        <v>63.919999999999995</v>
      </c>
      <c r="AV94">
        <f>_xlfn.RANK.EQ(Complete_data[[#This Row],[Average crime rate]],Complete_data[Average crime rate],1)</f>
        <v>131</v>
      </c>
      <c r="AW94">
        <v>50</v>
      </c>
      <c r="AX94">
        <v>54</v>
      </c>
      <c r="AY94">
        <v>62</v>
      </c>
      <c r="AZ94">
        <v>69</v>
      </c>
      <c r="BA94">
        <v>77</v>
      </c>
      <c r="BB94">
        <v>91</v>
      </c>
      <c r="BC94">
        <v>94</v>
      </c>
      <c r="BD94">
        <v>92</v>
      </c>
      <c r="BE94">
        <v>85</v>
      </c>
      <c r="BF94">
        <v>71</v>
      </c>
      <c r="BG94">
        <v>58</v>
      </c>
      <c r="BH94">
        <v>49</v>
      </c>
    </row>
    <row r="95" spans="1:60" x14ac:dyDescent="0.3">
      <c r="A95" t="s">
        <v>292</v>
      </c>
      <c r="B95" t="s">
        <v>295</v>
      </c>
      <c r="C95" t="s">
        <v>296</v>
      </c>
      <c r="E95">
        <v>259</v>
      </c>
      <c r="F95">
        <v>42</v>
      </c>
      <c r="G95">
        <v>21</v>
      </c>
      <c r="H95">
        <v>168</v>
      </c>
      <c r="I95">
        <v>88</v>
      </c>
      <c r="J95">
        <v>96</v>
      </c>
      <c r="K95">
        <v>4</v>
      </c>
      <c r="L95">
        <v>51</v>
      </c>
      <c r="M95">
        <v>7</v>
      </c>
      <c r="N95">
        <v>112</v>
      </c>
      <c r="P95">
        <v>8</v>
      </c>
      <c r="Q95">
        <f>SUM(Complete_data[[#This Row],[American]:[Indian]])</f>
        <v>856</v>
      </c>
      <c r="R95">
        <f>_xlfn.RANK.EQ(Complete_data[[#This Row],[Restaurant count]],Complete_data[Restaurant count],0)</f>
        <v>72</v>
      </c>
      <c r="S95">
        <v>36</v>
      </c>
      <c r="T95">
        <v>78</v>
      </c>
      <c r="U95" s="1">
        <v>55.333333333333336</v>
      </c>
      <c r="V95" s="1">
        <f>_xlfn.RANK.EQ(Complete_data[[#This Row],[Max Temperature]],Complete_data[Max Temperature],0)</f>
        <v>71</v>
      </c>
      <c r="W95" s="1">
        <f>_xlfn.RANK.EQ(Complete_data[[#This Row],[Min Temperature]],Complete_data[Min Temperature],0)</f>
        <v>67</v>
      </c>
      <c r="X95" s="1">
        <f>_xlfn.RANK.EQ(Complete_data[[#This Row],[Avg Temperature]],Complete_data[Avg Temperature],0)</f>
        <v>77</v>
      </c>
      <c r="Y95">
        <v>3</v>
      </c>
      <c r="Z95">
        <v>0</v>
      </c>
      <c r="AA95">
        <v>0</v>
      </c>
      <c r="AB95">
        <v>1</v>
      </c>
      <c r="AC95">
        <v>3</v>
      </c>
      <c r="AD95">
        <v>1</v>
      </c>
      <c r="AE95">
        <v>0</v>
      </c>
      <c r="AF95">
        <v>1</v>
      </c>
      <c r="AG95">
        <v>0</v>
      </c>
      <c r="AH95">
        <v>0</v>
      </c>
      <c r="AI95">
        <f>SUM(Complete_data[[#This Row],[GENERAL ACUTE CARE]:[CHRONIC DISEASE]])</f>
        <v>9</v>
      </c>
      <c r="AJ95">
        <f>_xlfn.RANK.EQ(Complete_data[[#This Row],[Hospital Count]],Complete_data[Hospital Count],0)</f>
        <v>61</v>
      </c>
      <c r="AK95">
        <v>46.68</v>
      </c>
      <c r="AL95">
        <v>38.99</v>
      </c>
      <c r="AM95">
        <v>33.83</v>
      </c>
      <c r="AN95">
        <v>37.5</v>
      </c>
      <c r="AO95">
        <v>35.909999999999997</v>
      </c>
      <c r="AP95">
        <v>33.86</v>
      </c>
      <c r="AQ95">
        <v>37.44</v>
      </c>
      <c r="AR95">
        <v>37.67</v>
      </c>
      <c r="AS95">
        <v>30.53</v>
      </c>
      <c r="AT95">
        <v>26.65</v>
      </c>
      <c r="AU95">
        <f>AVERAGE(Complete_data[[#This Row],[2009]:[2019]])</f>
        <v>35.905999999999992</v>
      </c>
      <c r="AV95">
        <f>_xlfn.RANK.EQ(Complete_data[[#This Row],[Average crime rate]],Complete_data[Average crime rate],1)</f>
        <v>34</v>
      </c>
      <c r="AW95">
        <v>37</v>
      </c>
      <c r="AX95">
        <v>40</v>
      </c>
      <c r="AY95">
        <v>46</v>
      </c>
      <c r="AZ95">
        <v>53</v>
      </c>
      <c r="BA95">
        <v>60</v>
      </c>
      <c r="BB95">
        <v>71</v>
      </c>
      <c r="BC95">
        <v>78</v>
      </c>
      <c r="BD95">
        <v>76</v>
      </c>
      <c r="BE95">
        <v>68</v>
      </c>
      <c r="BF95">
        <v>55</v>
      </c>
      <c r="BG95">
        <v>44</v>
      </c>
      <c r="BH95">
        <v>36</v>
      </c>
    </row>
    <row r="96" spans="1:60" x14ac:dyDescent="0.3">
      <c r="A96" t="s">
        <v>297</v>
      </c>
      <c r="B96" t="s">
        <v>298</v>
      </c>
      <c r="C96" t="s">
        <v>299</v>
      </c>
      <c r="E96">
        <v>432</v>
      </c>
      <c r="F96">
        <v>76</v>
      </c>
      <c r="G96">
        <v>58</v>
      </c>
      <c r="H96">
        <v>270</v>
      </c>
      <c r="I96">
        <v>248</v>
      </c>
      <c r="J96">
        <v>56</v>
      </c>
      <c r="K96">
        <v>11</v>
      </c>
      <c r="L96">
        <v>52</v>
      </c>
      <c r="M96">
        <v>11</v>
      </c>
      <c r="N96">
        <v>151</v>
      </c>
      <c r="O96">
        <v>6</v>
      </c>
      <c r="P96">
        <v>22</v>
      </c>
      <c r="Q96">
        <f>SUM(Complete_data[[#This Row],[American]:[Indian]])</f>
        <v>1393</v>
      </c>
      <c r="R96">
        <f>_xlfn.RANK.EQ(Complete_data[[#This Row],[Restaurant count]],Complete_data[Restaurant count],0)</f>
        <v>49</v>
      </c>
      <c r="S96">
        <v>26</v>
      </c>
      <c r="T96">
        <v>74</v>
      </c>
      <c r="U96" s="1">
        <v>50.083333333333336</v>
      </c>
      <c r="V96" s="1">
        <f>_xlfn.RANK.EQ(Complete_data[[#This Row],[Max Temperature]],Complete_data[Max Temperature],0)</f>
        <v>103</v>
      </c>
      <c r="W96" s="1">
        <f>_xlfn.RANK.EQ(Complete_data[[#This Row],[Min Temperature]],Complete_data[Min Temperature],0)</f>
        <v>108</v>
      </c>
      <c r="X96" s="1">
        <f>_xlfn.RANK.EQ(Complete_data[[#This Row],[Avg Temperature]],Complete_data[Avg Temperature],0)</f>
        <v>115</v>
      </c>
      <c r="Y96">
        <v>4</v>
      </c>
      <c r="Z96">
        <v>0</v>
      </c>
      <c r="AA96">
        <v>0</v>
      </c>
      <c r="AB96">
        <v>0</v>
      </c>
      <c r="AC96">
        <v>1</v>
      </c>
      <c r="AD96">
        <v>0</v>
      </c>
      <c r="AE96">
        <v>0</v>
      </c>
      <c r="AF96">
        <v>1</v>
      </c>
      <c r="AG96">
        <v>0</v>
      </c>
      <c r="AH96">
        <v>0</v>
      </c>
      <c r="AI96">
        <f>SUM(Complete_data[[#This Row],[GENERAL ACUTE CARE]:[CHRONIC DISEASE]])</f>
        <v>6</v>
      </c>
      <c r="AJ96">
        <f>_xlfn.RANK.EQ(Complete_data[[#This Row],[Hospital Count]],Complete_data[Hospital Count],0)</f>
        <v>90</v>
      </c>
      <c r="AK96">
        <v>56.5</v>
      </c>
      <c r="AL96">
        <v>60.83</v>
      </c>
      <c r="AM96">
        <v>56.58</v>
      </c>
      <c r="AN96">
        <v>52.37</v>
      </c>
      <c r="AO96">
        <v>49.83</v>
      </c>
      <c r="AP96">
        <v>47.69</v>
      </c>
      <c r="AQ96">
        <v>40.61</v>
      </c>
      <c r="AR96">
        <v>43.64</v>
      </c>
      <c r="AS96">
        <v>40.590000000000003</v>
      </c>
      <c r="AT96">
        <v>37.76</v>
      </c>
      <c r="AU96">
        <f>AVERAGE(Complete_data[[#This Row],[2009]:[2019]])</f>
        <v>48.64</v>
      </c>
      <c r="AV96">
        <f>_xlfn.RANK.EQ(Complete_data[[#This Row],[Average crime rate]],Complete_data[Average crime rate],1)</f>
        <v>82</v>
      </c>
      <c r="AW96">
        <v>26</v>
      </c>
      <c r="AX96">
        <v>28</v>
      </c>
      <c r="AY96">
        <v>36</v>
      </c>
      <c r="AZ96">
        <v>48</v>
      </c>
      <c r="BA96">
        <v>60</v>
      </c>
      <c r="BB96">
        <v>68</v>
      </c>
      <c r="BC96">
        <v>74</v>
      </c>
      <c r="BD96">
        <v>71</v>
      </c>
      <c r="BE96">
        <v>65</v>
      </c>
      <c r="BF96">
        <v>53</v>
      </c>
      <c r="BG96">
        <v>40</v>
      </c>
      <c r="BH96">
        <v>32</v>
      </c>
    </row>
    <row r="97" spans="1:60" x14ac:dyDescent="0.3">
      <c r="A97" t="s">
        <v>297</v>
      </c>
      <c r="B97" t="s">
        <v>300</v>
      </c>
      <c r="C97" t="s">
        <v>301</v>
      </c>
      <c r="E97">
        <v>635</v>
      </c>
      <c r="F97">
        <v>92</v>
      </c>
      <c r="G97">
        <v>81</v>
      </c>
      <c r="H97">
        <v>351</v>
      </c>
      <c r="I97">
        <v>285</v>
      </c>
      <c r="J97">
        <v>67</v>
      </c>
      <c r="K97">
        <v>12</v>
      </c>
      <c r="L97">
        <v>91</v>
      </c>
      <c r="M97">
        <v>7</v>
      </c>
      <c r="N97">
        <v>165</v>
      </c>
      <c r="O97">
        <v>10</v>
      </c>
      <c r="P97">
        <v>21</v>
      </c>
      <c r="Q97">
        <f>SUM(Complete_data[[#This Row],[American]:[Indian]])</f>
        <v>1817</v>
      </c>
      <c r="R97">
        <f>_xlfn.RANK.EQ(Complete_data[[#This Row],[Restaurant count]],Complete_data[Restaurant count],0)</f>
        <v>42</v>
      </c>
      <c r="S97">
        <v>26</v>
      </c>
      <c r="T97">
        <v>73</v>
      </c>
      <c r="U97" s="1">
        <v>49.5</v>
      </c>
      <c r="V97" s="1">
        <f>_xlfn.RANK.EQ(Complete_data[[#This Row],[Max Temperature]],Complete_data[Max Temperature],0)</f>
        <v>116</v>
      </c>
      <c r="W97" s="1">
        <f>_xlfn.RANK.EQ(Complete_data[[#This Row],[Min Temperature]],Complete_data[Min Temperature],0)</f>
        <v>108</v>
      </c>
      <c r="X97" s="1">
        <f>_xlfn.RANK.EQ(Complete_data[[#This Row],[Avg Temperature]],Complete_data[Avg Temperature],0)</f>
        <v>118</v>
      </c>
      <c r="Y97">
        <v>6</v>
      </c>
      <c r="Z97">
        <v>0</v>
      </c>
      <c r="AA97">
        <v>1</v>
      </c>
      <c r="AB97">
        <v>0</v>
      </c>
      <c r="AC97">
        <v>2</v>
      </c>
      <c r="AD97">
        <v>0</v>
      </c>
      <c r="AE97">
        <v>0</v>
      </c>
      <c r="AF97">
        <v>1</v>
      </c>
      <c r="AG97">
        <v>0</v>
      </c>
      <c r="AH97">
        <v>0</v>
      </c>
      <c r="AI97">
        <f>SUM(Complete_data[[#This Row],[GENERAL ACUTE CARE]:[CHRONIC DISEASE]])</f>
        <v>10</v>
      </c>
      <c r="AJ97">
        <f>_xlfn.RANK.EQ(Complete_data[[#This Row],[Hospital Count]],Complete_data[Hospital Count],0)</f>
        <v>56</v>
      </c>
      <c r="AK97">
        <v>68.87</v>
      </c>
      <c r="AL97">
        <v>69.56</v>
      </c>
      <c r="AM97">
        <v>68.2</v>
      </c>
      <c r="AN97">
        <v>65.27</v>
      </c>
      <c r="AO97">
        <v>60.82</v>
      </c>
      <c r="AP97">
        <v>60.46</v>
      </c>
      <c r="AQ97">
        <v>55.16</v>
      </c>
      <c r="AR97">
        <v>49.3</v>
      </c>
      <c r="AS97">
        <v>49.19</v>
      </c>
      <c r="AT97">
        <v>42.92</v>
      </c>
      <c r="AU97">
        <f>AVERAGE(Complete_data[[#This Row],[2009]:[2019]])</f>
        <v>58.974999999999987</v>
      </c>
      <c r="AV97">
        <f>_xlfn.RANK.EQ(Complete_data[[#This Row],[Average crime rate]],Complete_data[Average crime rate],1)</f>
        <v>116</v>
      </c>
      <c r="AW97">
        <v>26</v>
      </c>
      <c r="AX97">
        <v>27</v>
      </c>
      <c r="AY97">
        <v>35</v>
      </c>
      <c r="AZ97">
        <v>45</v>
      </c>
      <c r="BA97">
        <v>58</v>
      </c>
      <c r="BB97">
        <v>67</v>
      </c>
      <c r="BC97">
        <v>73</v>
      </c>
      <c r="BD97">
        <v>71</v>
      </c>
      <c r="BE97">
        <v>65</v>
      </c>
      <c r="BF97">
        <v>53</v>
      </c>
      <c r="BG97">
        <v>41</v>
      </c>
      <c r="BH97">
        <v>33</v>
      </c>
    </row>
    <row r="98" spans="1:60" x14ac:dyDescent="0.3">
      <c r="A98" t="s">
        <v>297</v>
      </c>
      <c r="B98" t="s">
        <v>302</v>
      </c>
      <c r="C98" t="s">
        <v>303</v>
      </c>
      <c r="E98">
        <v>5292</v>
      </c>
      <c r="F98">
        <v>1610</v>
      </c>
      <c r="G98">
        <v>1012</v>
      </c>
      <c r="H98">
        <v>8713</v>
      </c>
      <c r="I98">
        <v>4436</v>
      </c>
      <c r="J98">
        <v>1301</v>
      </c>
      <c r="K98">
        <v>124</v>
      </c>
      <c r="L98">
        <v>942</v>
      </c>
      <c r="M98">
        <v>162</v>
      </c>
      <c r="N98">
        <v>3430</v>
      </c>
      <c r="O98">
        <v>161</v>
      </c>
      <c r="P98">
        <v>333</v>
      </c>
      <c r="Q98">
        <f>SUM(Complete_data[[#This Row],[American]:[Indian]])</f>
        <v>27516</v>
      </c>
      <c r="R98">
        <f>_xlfn.RANK.EQ(Complete_data[[#This Row],[Restaurant count]],Complete_data[Restaurant count],0)</f>
        <v>1</v>
      </c>
      <c r="S98">
        <v>34</v>
      </c>
      <c r="T98">
        <v>80</v>
      </c>
      <c r="U98" s="1">
        <v>56.583333333333336</v>
      </c>
      <c r="V98" s="1">
        <f>_xlfn.RANK.EQ(Complete_data[[#This Row],[Max Temperature]],Complete_data[Max Temperature],0)</f>
        <v>50</v>
      </c>
      <c r="W98" s="1">
        <f>_xlfn.RANK.EQ(Complete_data[[#This Row],[Min Temperature]],Complete_data[Min Temperature],0)</f>
        <v>70</v>
      </c>
      <c r="X98" s="1">
        <f>_xlfn.RANK.EQ(Complete_data[[#This Row],[Avg Temperature]],Complete_data[Avg Temperature],0)</f>
        <v>69</v>
      </c>
      <c r="Y98">
        <v>15</v>
      </c>
      <c r="Z98">
        <v>3</v>
      </c>
      <c r="AA98">
        <v>1</v>
      </c>
      <c r="AB98">
        <v>1</v>
      </c>
      <c r="AC98">
        <v>2</v>
      </c>
      <c r="AD98">
        <v>0</v>
      </c>
      <c r="AE98">
        <v>0</v>
      </c>
      <c r="AF98">
        <v>1</v>
      </c>
      <c r="AG98">
        <v>0</v>
      </c>
      <c r="AH98">
        <v>0</v>
      </c>
      <c r="AI98">
        <f>SUM(Complete_data[[#This Row],[GENERAL ACUTE CARE]:[CHRONIC DISEASE]])</f>
        <v>23</v>
      </c>
      <c r="AJ98">
        <f>_xlfn.RANK.EQ(Complete_data[[#This Row],[Hospital Count]],Complete_data[Hospital Count],0)</f>
        <v>11</v>
      </c>
      <c r="AK98">
        <v>22.42</v>
      </c>
      <c r="AL98">
        <v>22.57</v>
      </c>
      <c r="AM98">
        <v>23.34</v>
      </c>
      <c r="AN98">
        <v>23.61</v>
      </c>
      <c r="AO98">
        <v>23.15</v>
      </c>
      <c r="AP98">
        <v>21.99</v>
      </c>
      <c r="AQ98">
        <v>21.04</v>
      </c>
      <c r="AR98">
        <v>19.87</v>
      </c>
      <c r="AS98">
        <v>20.43</v>
      </c>
      <c r="AT98">
        <v>20.3</v>
      </c>
      <c r="AU98">
        <f>AVERAGE(Complete_data[[#This Row],[2009]:[2019]])</f>
        <v>21.872000000000003</v>
      </c>
      <c r="AV98">
        <f>_xlfn.RANK.EQ(Complete_data[[#This Row],[Average crime rate]],Complete_data[Average crime rate],1)</f>
        <v>10</v>
      </c>
      <c r="AW98">
        <v>34</v>
      </c>
      <c r="AX98">
        <v>36</v>
      </c>
      <c r="AY98">
        <v>43</v>
      </c>
      <c r="AZ98">
        <v>53</v>
      </c>
      <c r="BA98">
        <v>63</v>
      </c>
      <c r="BB98">
        <v>73</v>
      </c>
      <c r="BC98">
        <v>80</v>
      </c>
      <c r="BD98">
        <v>77</v>
      </c>
      <c r="BE98">
        <v>71</v>
      </c>
      <c r="BF98">
        <v>60</v>
      </c>
      <c r="BG98">
        <v>48</v>
      </c>
      <c r="BH98">
        <v>41</v>
      </c>
    </row>
    <row r="99" spans="1:60" x14ac:dyDescent="0.3">
      <c r="A99" t="s">
        <v>297</v>
      </c>
      <c r="B99" t="s">
        <v>304</v>
      </c>
      <c r="C99" t="s">
        <v>305</v>
      </c>
      <c r="E99">
        <v>441</v>
      </c>
      <c r="F99">
        <v>81</v>
      </c>
      <c r="G99">
        <v>72</v>
      </c>
      <c r="H99">
        <v>273</v>
      </c>
      <c r="I99">
        <v>221</v>
      </c>
      <c r="J99">
        <v>56</v>
      </c>
      <c r="K99">
        <v>13</v>
      </c>
      <c r="L99">
        <v>67</v>
      </c>
      <c r="M99">
        <v>3</v>
      </c>
      <c r="N99">
        <v>140</v>
      </c>
      <c r="O99">
        <v>5</v>
      </c>
      <c r="P99">
        <v>13</v>
      </c>
      <c r="Q99">
        <f>SUM(Complete_data[[#This Row],[American]:[Indian]])</f>
        <v>1385</v>
      </c>
      <c r="R99">
        <f>_xlfn.RANK.EQ(Complete_data[[#This Row],[Restaurant count]],Complete_data[Restaurant count],0)</f>
        <v>50</v>
      </c>
      <c r="S99">
        <v>26</v>
      </c>
      <c r="T99">
        <v>73</v>
      </c>
      <c r="U99" s="1">
        <v>49.5</v>
      </c>
      <c r="V99" s="1">
        <f>_xlfn.RANK.EQ(Complete_data[[#This Row],[Max Temperature]],Complete_data[Max Temperature],0)</f>
        <v>116</v>
      </c>
      <c r="W99" s="1">
        <f>_xlfn.RANK.EQ(Complete_data[[#This Row],[Min Temperature]],Complete_data[Min Temperature],0)</f>
        <v>108</v>
      </c>
      <c r="X99" s="1">
        <f>_xlfn.RANK.EQ(Complete_data[[#This Row],[Avg Temperature]],Complete_data[Avg Temperature],0)</f>
        <v>118</v>
      </c>
      <c r="Y99">
        <v>4</v>
      </c>
      <c r="Z99">
        <v>0</v>
      </c>
      <c r="AA99">
        <v>0</v>
      </c>
      <c r="AB99">
        <v>1</v>
      </c>
      <c r="AC99">
        <v>2</v>
      </c>
      <c r="AD99">
        <v>0</v>
      </c>
      <c r="AE99">
        <v>0</v>
      </c>
      <c r="AF99">
        <v>0</v>
      </c>
      <c r="AG99">
        <v>0</v>
      </c>
      <c r="AH99">
        <v>0</v>
      </c>
      <c r="AI99">
        <f>SUM(Complete_data[[#This Row],[GENERAL ACUTE CARE]:[CHRONIC DISEASE]])</f>
        <v>7</v>
      </c>
      <c r="AJ99">
        <f>_xlfn.RANK.EQ(Complete_data[[#This Row],[Hospital Count]],Complete_data[Hospital Count],0)</f>
        <v>80</v>
      </c>
      <c r="AK99">
        <v>64.31</v>
      </c>
      <c r="AL99">
        <v>69.8</v>
      </c>
      <c r="AM99">
        <v>62.12</v>
      </c>
      <c r="AN99">
        <v>63.9</v>
      </c>
      <c r="AO99">
        <v>58.37</v>
      </c>
      <c r="AP99">
        <v>51.13</v>
      </c>
      <c r="AQ99">
        <v>48.65</v>
      </c>
      <c r="AR99">
        <v>47.51</v>
      </c>
      <c r="AS99">
        <v>42.06</v>
      </c>
      <c r="AT99">
        <v>42.6</v>
      </c>
      <c r="AU99">
        <f>AVERAGE(Complete_data[[#This Row],[2009]:[2019]])</f>
        <v>55.044999999999995</v>
      </c>
      <c r="AV99">
        <f>_xlfn.RANK.EQ(Complete_data[[#This Row],[Average crime rate]],Complete_data[Average crime rate],1)</f>
        <v>104</v>
      </c>
      <c r="AW99">
        <v>26</v>
      </c>
      <c r="AX99">
        <v>27</v>
      </c>
      <c r="AY99">
        <v>35</v>
      </c>
      <c r="AZ99">
        <v>46</v>
      </c>
      <c r="BA99">
        <v>59</v>
      </c>
      <c r="BB99">
        <v>67</v>
      </c>
      <c r="BC99">
        <v>73</v>
      </c>
      <c r="BD99">
        <v>70</v>
      </c>
      <c r="BE99">
        <v>64</v>
      </c>
      <c r="BF99">
        <v>53</v>
      </c>
      <c r="BG99">
        <v>41</v>
      </c>
      <c r="BH99">
        <v>33</v>
      </c>
    </row>
    <row r="100" spans="1:60" x14ac:dyDescent="0.3">
      <c r="A100" t="s">
        <v>297</v>
      </c>
      <c r="B100" t="s">
        <v>306</v>
      </c>
      <c r="C100" t="s">
        <v>307</v>
      </c>
      <c r="E100">
        <v>246</v>
      </c>
      <c r="F100">
        <v>54</v>
      </c>
      <c r="G100">
        <v>31</v>
      </c>
      <c r="H100">
        <v>183</v>
      </c>
      <c r="I100">
        <v>128</v>
      </c>
      <c r="J100">
        <v>27</v>
      </c>
      <c r="K100">
        <v>4</v>
      </c>
      <c r="L100">
        <v>39</v>
      </c>
      <c r="M100">
        <v>5</v>
      </c>
      <c r="N100">
        <v>82</v>
      </c>
      <c r="O100">
        <v>3</v>
      </c>
      <c r="P100">
        <v>7</v>
      </c>
      <c r="Q100">
        <f>SUM(Complete_data[[#This Row],[American]:[Indian]])</f>
        <v>809</v>
      </c>
      <c r="R100">
        <f>_xlfn.RANK.EQ(Complete_data[[#This Row],[Restaurant count]],Complete_data[Restaurant count],0)</f>
        <v>76</v>
      </c>
      <c r="S100">
        <v>25</v>
      </c>
      <c r="T100">
        <v>73</v>
      </c>
      <c r="U100" s="1">
        <v>49.25</v>
      </c>
      <c r="V100" s="1">
        <f>_xlfn.RANK.EQ(Complete_data[[#This Row],[Max Temperature]],Complete_data[Max Temperature],0)</f>
        <v>116</v>
      </c>
      <c r="W100" s="1">
        <f>_xlfn.RANK.EQ(Complete_data[[#This Row],[Min Temperature]],Complete_data[Min Temperature],0)</f>
        <v>118</v>
      </c>
      <c r="X100" s="1">
        <f>_xlfn.RANK.EQ(Complete_data[[#This Row],[Avg Temperature]],Complete_data[Avg Temperature],0)</f>
        <v>122</v>
      </c>
      <c r="Y100">
        <v>4</v>
      </c>
      <c r="Z100">
        <v>1</v>
      </c>
      <c r="AA100">
        <v>0</v>
      </c>
      <c r="AB100">
        <v>0</v>
      </c>
      <c r="AC100">
        <v>1</v>
      </c>
      <c r="AD100">
        <v>0</v>
      </c>
      <c r="AE100">
        <v>0</v>
      </c>
      <c r="AF100">
        <v>1</v>
      </c>
      <c r="AG100">
        <v>0</v>
      </c>
      <c r="AH100">
        <v>0</v>
      </c>
      <c r="AI100">
        <f>SUM(Complete_data[[#This Row],[GENERAL ACUTE CARE]:[CHRONIC DISEASE]])</f>
        <v>7</v>
      </c>
      <c r="AJ100">
        <f>_xlfn.RANK.EQ(Complete_data[[#This Row],[Hospital Count]],Complete_data[Hospital Count],0)</f>
        <v>80</v>
      </c>
      <c r="AK100">
        <v>52.2</v>
      </c>
      <c r="AL100">
        <v>51.75</v>
      </c>
      <c r="AM100">
        <v>45.51</v>
      </c>
      <c r="AN100">
        <v>50.66</v>
      </c>
      <c r="AO100">
        <v>53.69</v>
      </c>
      <c r="AP100">
        <v>48.27</v>
      </c>
      <c r="AQ100">
        <v>43.53</v>
      </c>
      <c r="AR100">
        <v>41.11</v>
      </c>
      <c r="AS100">
        <v>38.15</v>
      </c>
      <c r="AT100">
        <v>39.54</v>
      </c>
      <c r="AU100">
        <f>AVERAGE(Complete_data[[#This Row],[2009]:[2019]])</f>
        <v>46.441000000000003</v>
      </c>
      <c r="AV100">
        <f>_xlfn.RANK.EQ(Complete_data[[#This Row],[Average crime rate]],Complete_data[Average crime rate],1)</f>
        <v>73</v>
      </c>
      <c r="AW100">
        <v>25</v>
      </c>
      <c r="AX100">
        <v>26</v>
      </c>
      <c r="AY100">
        <v>35</v>
      </c>
      <c r="AZ100">
        <v>46</v>
      </c>
      <c r="BA100">
        <v>59</v>
      </c>
      <c r="BB100">
        <v>67</v>
      </c>
      <c r="BC100">
        <v>73</v>
      </c>
      <c r="BD100">
        <v>71</v>
      </c>
      <c r="BE100">
        <v>64</v>
      </c>
      <c r="BF100">
        <v>53</v>
      </c>
      <c r="BG100">
        <v>40</v>
      </c>
      <c r="BH100">
        <v>32</v>
      </c>
    </row>
    <row r="101" spans="1:60" x14ac:dyDescent="0.3">
      <c r="A101" t="s">
        <v>308</v>
      </c>
      <c r="B101" t="s">
        <v>309</v>
      </c>
      <c r="C101" t="s">
        <v>310</v>
      </c>
      <c r="E101">
        <v>302</v>
      </c>
      <c r="F101">
        <v>51</v>
      </c>
      <c r="G101">
        <v>50</v>
      </c>
      <c r="H101">
        <v>193</v>
      </c>
      <c r="I101">
        <v>139</v>
      </c>
      <c r="J101">
        <v>51</v>
      </c>
      <c r="K101">
        <v>10</v>
      </c>
      <c r="L101">
        <v>52</v>
      </c>
      <c r="M101">
        <v>4</v>
      </c>
      <c r="N101">
        <v>67</v>
      </c>
      <c r="O101">
        <v>1</v>
      </c>
      <c r="P101">
        <v>4</v>
      </c>
      <c r="Q101">
        <f>SUM(Complete_data[[#This Row],[American]:[Indian]])</f>
        <v>924</v>
      </c>
      <c r="R101">
        <f>_xlfn.RANK.EQ(Complete_data[[#This Row],[Restaurant count]],Complete_data[Restaurant count],0)</f>
        <v>70</v>
      </c>
      <c r="S101">
        <v>27</v>
      </c>
      <c r="T101">
        <v>74</v>
      </c>
      <c r="U101" s="1">
        <v>51.75</v>
      </c>
      <c r="V101" s="1">
        <f>_xlfn.RANK.EQ(Complete_data[[#This Row],[Max Temperature]],Complete_data[Max Temperature],0)</f>
        <v>103</v>
      </c>
      <c r="W101" s="1">
        <f>_xlfn.RANK.EQ(Complete_data[[#This Row],[Min Temperature]],Complete_data[Min Temperature],0)</f>
        <v>106</v>
      </c>
      <c r="X101" s="1">
        <f>_xlfn.RANK.EQ(Complete_data[[#This Row],[Avg Temperature]],Complete_data[Avg Temperature],0)</f>
        <v>102</v>
      </c>
      <c r="Y101">
        <v>5</v>
      </c>
      <c r="Z101">
        <v>1</v>
      </c>
      <c r="AA101">
        <v>1</v>
      </c>
      <c r="AB101">
        <v>3</v>
      </c>
      <c r="AC101">
        <v>0</v>
      </c>
      <c r="AD101">
        <v>1</v>
      </c>
      <c r="AE101">
        <v>0</v>
      </c>
      <c r="AF101">
        <v>0</v>
      </c>
      <c r="AG101">
        <v>0</v>
      </c>
      <c r="AH101">
        <v>0</v>
      </c>
      <c r="AI101">
        <f>SUM(Complete_data[[#This Row],[GENERAL ACUTE CARE]:[CHRONIC DISEASE]])</f>
        <v>11</v>
      </c>
      <c r="AJ101">
        <f>_xlfn.RANK.EQ(Complete_data[[#This Row],[Hospital Count]],Complete_data[Hospital Count],0)</f>
        <v>50</v>
      </c>
      <c r="AK101">
        <v>60.57</v>
      </c>
      <c r="AL101">
        <v>61.34</v>
      </c>
      <c r="AM101">
        <v>63.93</v>
      </c>
      <c r="AN101">
        <v>59.96</v>
      </c>
      <c r="AO101">
        <v>56.97</v>
      </c>
      <c r="AP101">
        <v>52.99</v>
      </c>
      <c r="AQ101">
        <v>46.96</v>
      </c>
      <c r="AR101">
        <v>49.84</v>
      </c>
      <c r="AS101">
        <v>45.25</v>
      </c>
      <c r="AT101">
        <v>42.53</v>
      </c>
      <c r="AU101">
        <f>AVERAGE(Complete_data[[#This Row],[2009]:[2019]])</f>
        <v>54.033999999999992</v>
      </c>
      <c r="AV101">
        <f>_xlfn.RANK.EQ(Complete_data[[#This Row],[Average crime rate]],Complete_data[Average crime rate],1)</f>
        <v>99</v>
      </c>
      <c r="AW101">
        <v>27</v>
      </c>
      <c r="AX101">
        <v>30</v>
      </c>
      <c r="AY101">
        <v>39</v>
      </c>
      <c r="AZ101">
        <v>50</v>
      </c>
      <c r="BA101">
        <v>62</v>
      </c>
      <c r="BB101">
        <v>70</v>
      </c>
      <c r="BC101">
        <v>74</v>
      </c>
      <c r="BD101">
        <v>72</v>
      </c>
      <c r="BE101">
        <v>66</v>
      </c>
      <c r="BF101">
        <v>55</v>
      </c>
      <c r="BG101">
        <v>42</v>
      </c>
      <c r="BH101">
        <v>34</v>
      </c>
    </row>
    <row r="102" spans="1:60" x14ac:dyDescent="0.3">
      <c r="A102" t="s">
        <v>308</v>
      </c>
      <c r="B102" t="s">
        <v>311</v>
      </c>
      <c r="C102" t="s">
        <v>312</v>
      </c>
      <c r="E102">
        <v>733</v>
      </c>
      <c r="F102">
        <v>129</v>
      </c>
      <c r="G102">
        <v>94</v>
      </c>
      <c r="H102">
        <v>474</v>
      </c>
      <c r="I102">
        <v>253</v>
      </c>
      <c r="J102">
        <v>142</v>
      </c>
      <c r="K102">
        <v>29</v>
      </c>
      <c r="L102">
        <v>118</v>
      </c>
      <c r="M102">
        <v>13</v>
      </c>
      <c r="N102">
        <v>205</v>
      </c>
      <c r="O102">
        <v>2</v>
      </c>
      <c r="P102">
        <v>41</v>
      </c>
      <c r="Q102">
        <f>SUM(Complete_data[[#This Row],[American]:[Indian]])</f>
        <v>2233</v>
      </c>
      <c r="R102">
        <f>_xlfn.RANK.EQ(Complete_data[[#This Row],[Restaurant count]],Complete_data[Restaurant count],0)</f>
        <v>36</v>
      </c>
      <c r="S102">
        <v>31</v>
      </c>
      <c r="T102">
        <v>77</v>
      </c>
      <c r="U102" s="1">
        <v>55.166666666666664</v>
      </c>
      <c r="V102" s="1">
        <f>_xlfn.RANK.EQ(Complete_data[[#This Row],[Max Temperature]],Complete_data[Max Temperature],0)</f>
        <v>78</v>
      </c>
      <c r="W102" s="1">
        <f>_xlfn.RANK.EQ(Complete_data[[#This Row],[Min Temperature]],Complete_data[Min Temperature],0)</f>
        <v>83</v>
      </c>
      <c r="X102" s="1">
        <f>_xlfn.RANK.EQ(Complete_data[[#This Row],[Avg Temperature]],Complete_data[Avg Temperature],0)</f>
        <v>78</v>
      </c>
      <c r="Y102">
        <v>9</v>
      </c>
      <c r="Z102">
        <v>0</v>
      </c>
      <c r="AA102">
        <v>2</v>
      </c>
      <c r="AB102">
        <v>4</v>
      </c>
      <c r="AC102">
        <v>4</v>
      </c>
      <c r="AD102">
        <v>2</v>
      </c>
      <c r="AE102">
        <v>0</v>
      </c>
      <c r="AF102">
        <v>1</v>
      </c>
      <c r="AG102">
        <v>0</v>
      </c>
      <c r="AH102">
        <v>0</v>
      </c>
      <c r="AI102">
        <f>SUM(Complete_data[[#This Row],[GENERAL ACUTE CARE]:[CHRONIC DISEASE]])</f>
        <v>22</v>
      </c>
      <c r="AJ102">
        <f>_xlfn.RANK.EQ(Complete_data[[#This Row],[Hospital Count]],Complete_data[Hospital Count],0)</f>
        <v>14</v>
      </c>
      <c r="AK102">
        <v>73.62</v>
      </c>
      <c r="AL102">
        <v>73.17</v>
      </c>
      <c r="AM102">
        <v>80.28</v>
      </c>
      <c r="AN102">
        <v>72.400000000000006</v>
      </c>
      <c r="AO102">
        <v>68.48</v>
      </c>
      <c r="AP102">
        <v>65.86</v>
      </c>
      <c r="AQ102">
        <v>65.819999999999993</v>
      </c>
      <c r="AR102">
        <v>59.97</v>
      </c>
      <c r="AS102">
        <v>53.8</v>
      </c>
      <c r="AT102">
        <v>51.47</v>
      </c>
      <c r="AU102">
        <f>AVERAGE(Complete_data[[#This Row],[2009]:[2019]])</f>
        <v>66.486999999999995</v>
      </c>
      <c r="AV102">
        <f>_xlfn.RANK.EQ(Complete_data[[#This Row],[Average crime rate]],Complete_data[Average crime rate],1)</f>
        <v>135</v>
      </c>
      <c r="AW102">
        <v>31</v>
      </c>
      <c r="AX102">
        <v>35</v>
      </c>
      <c r="AY102">
        <v>44</v>
      </c>
      <c r="AZ102">
        <v>55</v>
      </c>
      <c r="BA102">
        <v>65</v>
      </c>
      <c r="BB102">
        <v>73</v>
      </c>
      <c r="BC102">
        <v>77</v>
      </c>
      <c r="BD102">
        <v>75</v>
      </c>
      <c r="BE102">
        <v>69</v>
      </c>
      <c r="BF102">
        <v>57</v>
      </c>
      <c r="BG102">
        <v>44</v>
      </c>
      <c r="BH102">
        <v>37</v>
      </c>
    </row>
    <row r="103" spans="1:60" x14ac:dyDescent="0.3">
      <c r="A103" t="s">
        <v>308</v>
      </c>
      <c r="B103" t="s">
        <v>313</v>
      </c>
      <c r="C103" t="s">
        <v>314</v>
      </c>
      <c r="E103">
        <v>960</v>
      </c>
      <c r="F103">
        <v>166</v>
      </c>
      <c r="G103">
        <v>148</v>
      </c>
      <c r="H103">
        <v>698</v>
      </c>
      <c r="I103">
        <v>465</v>
      </c>
      <c r="J103">
        <v>138</v>
      </c>
      <c r="K103">
        <v>40</v>
      </c>
      <c r="L103">
        <v>185</v>
      </c>
      <c r="M103">
        <v>22</v>
      </c>
      <c r="N103">
        <v>268</v>
      </c>
      <c r="O103">
        <v>10</v>
      </c>
      <c r="P103">
        <v>28</v>
      </c>
      <c r="Q103">
        <f>SUM(Complete_data[[#This Row],[American]:[Indian]])</f>
        <v>3128</v>
      </c>
      <c r="R103">
        <f>_xlfn.RANK.EQ(Complete_data[[#This Row],[Restaurant count]],Complete_data[Restaurant count],0)</f>
        <v>25</v>
      </c>
      <c r="S103">
        <v>28</v>
      </c>
      <c r="T103">
        <v>75</v>
      </c>
      <c r="U103" s="1">
        <v>52.416666666666664</v>
      </c>
      <c r="V103" s="1">
        <f>_xlfn.RANK.EQ(Complete_data[[#This Row],[Max Temperature]],Complete_data[Max Temperature],0)</f>
        <v>94</v>
      </c>
      <c r="W103" s="1">
        <f>_xlfn.RANK.EQ(Complete_data[[#This Row],[Min Temperature]],Complete_data[Min Temperature],0)</f>
        <v>98</v>
      </c>
      <c r="X103" s="1">
        <f>_xlfn.RANK.EQ(Complete_data[[#This Row],[Avg Temperature]],Complete_data[Avg Temperature],0)</f>
        <v>97</v>
      </c>
      <c r="Y103">
        <v>7</v>
      </c>
      <c r="Z103">
        <v>0</v>
      </c>
      <c r="AA103">
        <v>2</v>
      </c>
      <c r="AB103">
        <v>2</v>
      </c>
      <c r="AC103">
        <v>0</v>
      </c>
      <c r="AD103">
        <v>0</v>
      </c>
      <c r="AE103">
        <v>0</v>
      </c>
      <c r="AF103">
        <v>1</v>
      </c>
      <c r="AG103">
        <v>0</v>
      </c>
      <c r="AH103">
        <v>0</v>
      </c>
      <c r="AI103">
        <f>SUM(Complete_data[[#This Row],[GENERAL ACUTE CARE]:[CHRONIC DISEASE]])</f>
        <v>12</v>
      </c>
      <c r="AJ103">
        <f>_xlfn.RANK.EQ(Complete_data[[#This Row],[Hospital Count]],Complete_data[Hospital Count],0)</f>
        <v>46</v>
      </c>
      <c r="AK103">
        <v>71.099999999999994</v>
      </c>
      <c r="AL103">
        <v>68.86</v>
      </c>
      <c r="AM103">
        <v>78.239999999999995</v>
      </c>
      <c r="AN103">
        <v>76.34</v>
      </c>
      <c r="AO103">
        <v>75.12</v>
      </c>
      <c r="AP103">
        <v>68.47</v>
      </c>
      <c r="AQ103">
        <v>0</v>
      </c>
      <c r="AR103">
        <v>65.38</v>
      </c>
      <c r="AS103">
        <v>59.04</v>
      </c>
      <c r="AT103">
        <v>60.25</v>
      </c>
      <c r="AU103">
        <f>AVERAGE(Complete_data[[#This Row],[2009]:[2019]])</f>
        <v>62.279999999999994</v>
      </c>
      <c r="AV103">
        <f>_xlfn.RANK.EQ(Complete_data[[#This Row],[Average crime rate]],Complete_data[Average crime rate],1)</f>
        <v>123</v>
      </c>
      <c r="AW103">
        <v>28</v>
      </c>
      <c r="AX103">
        <v>30</v>
      </c>
      <c r="AY103">
        <v>39</v>
      </c>
      <c r="AZ103">
        <v>50</v>
      </c>
      <c r="BA103">
        <v>62</v>
      </c>
      <c r="BB103">
        <v>71</v>
      </c>
      <c r="BC103">
        <v>75</v>
      </c>
      <c r="BD103">
        <v>73</v>
      </c>
      <c r="BE103">
        <v>67</v>
      </c>
      <c r="BF103">
        <v>56</v>
      </c>
      <c r="BG103">
        <v>43</v>
      </c>
      <c r="BH103">
        <v>35</v>
      </c>
    </row>
    <row r="104" spans="1:60" x14ac:dyDescent="0.3">
      <c r="A104" t="s">
        <v>308</v>
      </c>
      <c r="B104" t="s">
        <v>164</v>
      </c>
      <c r="C104" t="s">
        <v>315</v>
      </c>
      <c r="E104">
        <v>699</v>
      </c>
      <c r="F104">
        <v>151</v>
      </c>
      <c r="G104">
        <v>102</v>
      </c>
      <c r="H104">
        <v>546</v>
      </c>
      <c r="I104">
        <v>331</v>
      </c>
      <c r="J104">
        <v>143</v>
      </c>
      <c r="K104">
        <v>15</v>
      </c>
      <c r="L104">
        <v>142</v>
      </c>
      <c r="M104">
        <v>11</v>
      </c>
      <c r="N104">
        <v>261</v>
      </c>
      <c r="O104">
        <v>4</v>
      </c>
      <c r="P104">
        <v>32</v>
      </c>
      <c r="Q104">
        <f>SUM(Complete_data[[#This Row],[American]:[Indian]])</f>
        <v>2437</v>
      </c>
      <c r="R104">
        <f>_xlfn.RANK.EQ(Complete_data[[#This Row],[Restaurant count]],Complete_data[Restaurant count],0)</f>
        <v>31</v>
      </c>
      <c r="S104">
        <v>30</v>
      </c>
      <c r="T104">
        <v>76</v>
      </c>
      <c r="U104" s="1">
        <v>54</v>
      </c>
      <c r="V104" s="1">
        <f>_xlfn.RANK.EQ(Complete_data[[#This Row],[Max Temperature]],Complete_data[Max Temperature],0)</f>
        <v>82</v>
      </c>
      <c r="W104" s="1">
        <f>_xlfn.RANK.EQ(Complete_data[[#This Row],[Min Temperature]],Complete_data[Min Temperature],0)</f>
        <v>89</v>
      </c>
      <c r="X104" s="1">
        <f>_xlfn.RANK.EQ(Complete_data[[#This Row],[Avg Temperature]],Complete_data[Avg Temperature],0)</f>
        <v>83</v>
      </c>
      <c r="Y104">
        <v>8</v>
      </c>
      <c r="Z104">
        <v>1</v>
      </c>
      <c r="AA104">
        <v>1</v>
      </c>
      <c r="AB104">
        <v>4</v>
      </c>
      <c r="AC104">
        <v>4</v>
      </c>
      <c r="AD104">
        <v>1</v>
      </c>
      <c r="AE104">
        <v>0</v>
      </c>
      <c r="AF104">
        <v>1</v>
      </c>
      <c r="AG104">
        <v>0</v>
      </c>
      <c r="AH104">
        <v>0</v>
      </c>
      <c r="AI104">
        <f>SUM(Complete_data[[#This Row],[GENERAL ACUTE CARE]:[CHRONIC DISEASE]])</f>
        <v>20</v>
      </c>
      <c r="AJ104">
        <f>_xlfn.RANK.EQ(Complete_data[[#This Row],[Hospital Count]],Complete_data[Hospital Count],0)</f>
        <v>16</v>
      </c>
      <c r="AK104">
        <v>71.88</v>
      </c>
      <c r="AL104">
        <v>72.48</v>
      </c>
      <c r="AM104">
        <v>68.849999999999994</v>
      </c>
      <c r="AN104">
        <v>0</v>
      </c>
      <c r="AO104">
        <v>0</v>
      </c>
      <c r="AP104">
        <v>48.02</v>
      </c>
      <c r="AQ104">
        <v>45.28</v>
      </c>
      <c r="AR104">
        <v>45.02</v>
      </c>
      <c r="AS104">
        <v>40.25</v>
      </c>
      <c r="AT104">
        <v>38.11</v>
      </c>
      <c r="AU104">
        <f>AVERAGE(Complete_data[[#This Row],[2009]:[2019]])</f>
        <v>42.988999999999997</v>
      </c>
      <c r="AV104">
        <f>_xlfn.RANK.EQ(Complete_data[[#This Row],[Average crime rate]],Complete_data[Average crime rate],1)</f>
        <v>56</v>
      </c>
      <c r="AW104">
        <v>30</v>
      </c>
      <c r="AX104">
        <v>32</v>
      </c>
      <c r="AY104">
        <v>42</v>
      </c>
      <c r="AZ104">
        <v>54</v>
      </c>
      <c r="BA104">
        <v>64</v>
      </c>
      <c r="BB104">
        <v>73</v>
      </c>
      <c r="BC104">
        <v>76</v>
      </c>
      <c r="BD104">
        <v>74</v>
      </c>
      <c r="BE104">
        <v>68</v>
      </c>
      <c r="BF104">
        <v>56</v>
      </c>
      <c r="BG104">
        <v>43</v>
      </c>
      <c r="BH104">
        <v>36</v>
      </c>
    </row>
    <row r="105" spans="1:60" x14ac:dyDescent="0.3">
      <c r="A105" t="s">
        <v>308</v>
      </c>
      <c r="B105" t="s">
        <v>316</v>
      </c>
      <c r="C105" t="s">
        <v>317</v>
      </c>
      <c r="E105">
        <v>387</v>
      </c>
      <c r="F105">
        <v>68</v>
      </c>
      <c r="G105">
        <v>54</v>
      </c>
      <c r="H105">
        <v>223</v>
      </c>
      <c r="I105">
        <v>143</v>
      </c>
      <c r="J105">
        <v>79</v>
      </c>
      <c r="K105">
        <v>10</v>
      </c>
      <c r="L105">
        <v>54</v>
      </c>
      <c r="M105">
        <v>7</v>
      </c>
      <c r="N105">
        <v>115</v>
      </c>
      <c r="P105">
        <v>8</v>
      </c>
      <c r="Q105">
        <f>SUM(Complete_data[[#This Row],[American]:[Indian]])</f>
        <v>1148</v>
      </c>
      <c r="R105">
        <f>_xlfn.RANK.EQ(Complete_data[[#This Row],[Restaurant count]],Complete_data[Restaurant count],0)</f>
        <v>59</v>
      </c>
      <c r="S105">
        <v>28</v>
      </c>
      <c r="T105">
        <v>75</v>
      </c>
      <c r="U105" s="1">
        <v>53.333333333333336</v>
      </c>
      <c r="V105" s="1">
        <f>_xlfn.RANK.EQ(Complete_data[[#This Row],[Max Temperature]],Complete_data[Max Temperature],0)</f>
        <v>94</v>
      </c>
      <c r="W105" s="1">
        <f>_xlfn.RANK.EQ(Complete_data[[#This Row],[Min Temperature]],Complete_data[Min Temperature],0)</f>
        <v>98</v>
      </c>
      <c r="X105" s="1">
        <f>_xlfn.RANK.EQ(Complete_data[[#This Row],[Avg Temperature]],Complete_data[Avg Temperature],0)</f>
        <v>90</v>
      </c>
      <c r="Y105">
        <v>6</v>
      </c>
      <c r="Z105">
        <v>0</v>
      </c>
      <c r="AA105">
        <v>1</v>
      </c>
      <c r="AB105">
        <v>1</v>
      </c>
      <c r="AC105">
        <v>3</v>
      </c>
      <c r="AD105">
        <v>1</v>
      </c>
      <c r="AE105">
        <v>0</v>
      </c>
      <c r="AF105">
        <v>1</v>
      </c>
      <c r="AG105">
        <v>0</v>
      </c>
      <c r="AH105">
        <v>0</v>
      </c>
      <c r="AI105">
        <f>SUM(Complete_data[[#This Row],[GENERAL ACUTE CARE]:[CHRONIC DISEASE]])</f>
        <v>13</v>
      </c>
      <c r="AJ105">
        <f>_xlfn.RANK.EQ(Complete_data[[#This Row],[Hospital Count]],Complete_data[Hospital Count],0)</f>
        <v>41</v>
      </c>
      <c r="AK105">
        <v>69.72</v>
      </c>
      <c r="AL105">
        <v>69.61</v>
      </c>
      <c r="AM105">
        <v>69.38</v>
      </c>
      <c r="AN105">
        <v>69.64</v>
      </c>
      <c r="AO105">
        <v>63.84</v>
      </c>
      <c r="AP105">
        <v>64.739999999999995</v>
      </c>
      <c r="AQ105">
        <v>60.43</v>
      </c>
      <c r="AR105">
        <v>52.37</v>
      </c>
      <c r="AS105">
        <v>54.66</v>
      </c>
      <c r="AT105">
        <v>50.08</v>
      </c>
      <c r="AU105">
        <f>AVERAGE(Complete_data[[#This Row],[2009]:[2019]])</f>
        <v>62.446999999999989</v>
      </c>
      <c r="AV105">
        <f>_xlfn.RANK.EQ(Complete_data[[#This Row],[Average crime rate]],Complete_data[Average crime rate],1)</f>
        <v>125</v>
      </c>
      <c r="AW105">
        <v>28</v>
      </c>
      <c r="AX105">
        <v>32</v>
      </c>
      <c r="AY105">
        <v>42</v>
      </c>
      <c r="AZ105">
        <v>53</v>
      </c>
      <c r="BA105">
        <v>64</v>
      </c>
      <c r="BB105">
        <v>72</v>
      </c>
      <c r="BC105">
        <v>75</v>
      </c>
      <c r="BD105">
        <v>73</v>
      </c>
      <c r="BE105">
        <v>68</v>
      </c>
      <c r="BF105">
        <v>56</v>
      </c>
      <c r="BG105">
        <v>42</v>
      </c>
      <c r="BH105">
        <v>35</v>
      </c>
    </row>
    <row r="106" spans="1:60" x14ac:dyDescent="0.3">
      <c r="A106" t="s">
        <v>308</v>
      </c>
      <c r="B106" t="s">
        <v>318</v>
      </c>
      <c r="C106" t="s">
        <v>319</v>
      </c>
      <c r="E106">
        <v>260</v>
      </c>
      <c r="F106">
        <v>43</v>
      </c>
      <c r="G106">
        <v>41</v>
      </c>
      <c r="H106">
        <v>193</v>
      </c>
      <c r="I106">
        <v>98</v>
      </c>
      <c r="J106">
        <v>56</v>
      </c>
      <c r="K106">
        <v>11</v>
      </c>
      <c r="L106">
        <v>32</v>
      </c>
      <c r="M106">
        <v>4</v>
      </c>
      <c r="N106">
        <v>89</v>
      </c>
      <c r="O106">
        <v>3</v>
      </c>
      <c r="P106">
        <v>3</v>
      </c>
      <c r="Q106">
        <f>SUM(Complete_data[[#This Row],[American]:[Indian]])</f>
        <v>833</v>
      </c>
      <c r="R106">
        <f>_xlfn.RANK.EQ(Complete_data[[#This Row],[Restaurant count]],Complete_data[Restaurant count],0)</f>
        <v>74</v>
      </c>
      <c r="S106">
        <v>26</v>
      </c>
      <c r="T106">
        <v>74</v>
      </c>
      <c r="U106" s="1">
        <v>50.75</v>
      </c>
      <c r="V106" s="1">
        <f>_xlfn.RANK.EQ(Complete_data[[#This Row],[Max Temperature]],Complete_data[Max Temperature],0)</f>
        <v>103</v>
      </c>
      <c r="W106" s="1">
        <f>_xlfn.RANK.EQ(Complete_data[[#This Row],[Min Temperature]],Complete_data[Min Temperature],0)</f>
        <v>108</v>
      </c>
      <c r="X106" s="1">
        <f>_xlfn.RANK.EQ(Complete_data[[#This Row],[Avg Temperature]],Complete_data[Avg Temperature],0)</f>
        <v>112</v>
      </c>
      <c r="Y106">
        <v>4</v>
      </c>
      <c r="Z106">
        <v>1</v>
      </c>
      <c r="AA106">
        <v>0</v>
      </c>
      <c r="AB106">
        <v>1</v>
      </c>
      <c r="AC106">
        <v>1</v>
      </c>
      <c r="AD106">
        <v>1</v>
      </c>
      <c r="AE106">
        <v>0</v>
      </c>
      <c r="AF106">
        <v>0</v>
      </c>
      <c r="AG106">
        <v>0</v>
      </c>
      <c r="AH106">
        <v>0</v>
      </c>
      <c r="AI106">
        <f>SUM(Complete_data[[#This Row],[GENERAL ACUTE CARE]:[CHRONIC DISEASE]])</f>
        <v>8</v>
      </c>
      <c r="AJ106">
        <f>_xlfn.RANK.EQ(Complete_data[[#This Row],[Hospital Count]],Complete_data[Hospital Count],0)</f>
        <v>69</v>
      </c>
      <c r="AK106">
        <v>12.92</v>
      </c>
      <c r="AL106">
        <v>10.6</v>
      </c>
      <c r="AM106">
        <v>11.75</v>
      </c>
      <c r="AN106">
        <v>13.57</v>
      </c>
      <c r="AO106">
        <v>10.25</v>
      </c>
      <c r="AP106">
        <v>10.91</v>
      </c>
      <c r="AQ106">
        <v>56.04</v>
      </c>
      <c r="AR106">
        <v>0</v>
      </c>
      <c r="AS106">
        <v>45.65</v>
      </c>
      <c r="AT106">
        <v>44.15</v>
      </c>
      <c r="AU106">
        <f>AVERAGE(Complete_data[[#This Row],[2009]:[2019]])</f>
        <v>21.584</v>
      </c>
      <c r="AV106">
        <f>_xlfn.RANK.EQ(Complete_data[[#This Row],[Average crime rate]],Complete_data[Average crime rate],1)</f>
        <v>9</v>
      </c>
      <c r="AW106">
        <v>26</v>
      </c>
      <c r="AX106">
        <v>28</v>
      </c>
      <c r="AY106">
        <v>38</v>
      </c>
      <c r="AZ106">
        <v>49</v>
      </c>
      <c r="BA106">
        <v>61</v>
      </c>
      <c r="BB106">
        <v>70</v>
      </c>
      <c r="BC106">
        <v>74</v>
      </c>
      <c r="BD106">
        <v>71</v>
      </c>
      <c r="BE106">
        <v>65</v>
      </c>
      <c r="BF106">
        <v>54</v>
      </c>
      <c r="BG106">
        <v>41</v>
      </c>
      <c r="BH106">
        <v>32</v>
      </c>
    </row>
    <row r="107" spans="1:60" x14ac:dyDescent="0.3">
      <c r="A107" t="s">
        <v>308</v>
      </c>
      <c r="B107" t="s">
        <v>320</v>
      </c>
      <c r="C107" t="s">
        <v>321</v>
      </c>
      <c r="E107">
        <v>168</v>
      </c>
      <c r="F107">
        <v>26</v>
      </c>
      <c r="G107">
        <v>37</v>
      </c>
      <c r="H107">
        <v>156</v>
      </c>
      <c r="I107">
        <v>129</v>
      </c>
      <c r="J107">
        <v>34</v>
      </c>
      <c r="K107">
        <v>5</v>
      </c>
      <c r="L107">
        <v>29</v>
      </c>
      <c r="M107">
        <v>3</v>
      </c>
      <c r="N107">
        <v>26</v>
      </c>
      <c r="P107">
        <v>3</v>
      </c>
      <c r="Q107">
        <f>SUM(Complete_data[[#This Row],[American]:[Indian]])</f>
        <v>616</v>
      </c>
      <c r="R107">
        <f>_xlfn.RANK.EQ(Complete_data[[#This Row],[Restaurant count]],Complete_data[Restaurant count],0)</f>
        <v>85</v>
      </c>
      <c r="S107">
        <v>27</v>
      </c>
      <c r="T107">
        <v>72</v>
      </c>
      <c r="U107" s="1">
        <v>50.333333333333336</v>
      </c>
      <c r="V107" s="1">
        <f>_xlfn.RANK.EQ(Complete_data[[#This Row],[Max Temperature]],Complete_data[Max Temperature],0)</f>
        <v>124</v>
      </c>
      <c r="W107" s="1">
        <f>_xlfn.RANK.EQ(Complete_data[[#This Row],[Min Temperature]],Complete_data[Min Temperature],0)</f>
        <v>106</v>
      </c>
      <c r="X107" s="1">
        <f>_xlfn.RANK.EQ(Complete_data[[#This Row],[Avg Temperature]],Complete_data[Avg Temperature],0)</f>
        <v>113</v>
      </c>
      <c r="Y107">
        <v>3</v>
      </c>
      <c r="Z107">
        <v>0</v>
      </c>
      <c r="AA107">
        <v>0</v>
      </c>
      <c r="AB107">
        <v>1</v>
      </c>
      <c r="AC107">
        <v>1</v>
      </c>
      <c r="AD107">
        <v>0</v>
      </c>
      <c r="AE107">
        <v>0</v>
      </c>
      <c r="AF107">
        <v>0</v>
      </c>
      <c r="AG107">
        <v>0</v>
      </c>
      <c r="AH107">
        <v>0</v>
      </c>
      <c r="AI107">
        <f>SUM(Complete_data[[#This Row],[GENERAL ACUTE CARE]:[CHRONIC DISEASE]])</f>
        <v>5</v>
      </c>
      <c r="AJ107">
        <f>_xlfn.RANK.EQ(Complete_data[[#This Row],[Hospital Count]],Complete_data[Hospital Count],0)</f>
        <v>99</v>
      </c>
      <c r="AK107">
        <v>74.709999999999994</v>
      </c>
      <c r="AL107">
        <v>75.19</v>
      </c>
      <c r="AM107">
        <v>71.83</v>
      </c>
      <c r="AN107">
        <v>68.849999999999994</v>
      </c>
      <c r="AO107">
        <v>63.51</v>
      </c>
      <c r="AP107">
        <v>57.54</v>
      </c>
      <c r="AQ107">
        <v>54.99</v>
      </c>
      <c r="AR107">
        <v>45.25</v>
      </c>
      <c r="AS107">
        <v>44.21</v>
      </c>
      <c r="AT107">
        <v>0</v>
      </c>
      <c r="AU107">
        <f>AVERAGE(Complete_data[[#This Row],[2009]:[2019]])</f>
        <v>55.60799999999999</v>
      </c>
      <c r="AV107">
        <f>_xlfn.RANK.EQ(Complete_data[[#This Row],[Average crime rate]],Complete_data[Average crime rate],1)</f>
        <v>105</v>
      </c>
      <c r="AW107">
        <v>27</v>
      </c>
      <c r="AX107">
        <v>29</v>
      </c>
      <c r="AY107">
        <v>38</v>
      </c>
      <c r="AZ107">
        <v>49</v>
      </c>
      <c r="BA107">
        <v>60</v>
      </c>
      <c r="BB107">
        <v>68</v>
      </c>
      <c r="BC107">
        <v>72</v>
      </c>
      <c r="BD107">
        <v>70</v>
      </c>
      <c r="BE107">
        <v>64</v>
      </c>
      <c r="BF107">
        <v>53</v>
      </c>
      <c r="BG107">
        <v>41</v>
      </c>
      <c r="BH107">
        <v>33</v>
      </c>
    </row>
    <row r="108" spans="1:60" x14ac:dyDescent="0.3">
      <c r="A108" t="s">
        <v>101</v>
      </c>
      <c r="B108" t="s">
        <v>322</v>
      </c>
      <c r="C108" t="s">
        <v>323</v>
      </c>
      <c r="E108">
        <v>388</v>
      </c>
      <c r="F108">
        <v>51</v>
      </c>
      <c r="G108">
        <v>34</v>
      </c>
      <c r="H108">
        <v>243</v>
      </c>
      <c r="I108">
        <v>98</v>
      </c>
      <c r="J108">
        <v>127</v>
      </c>
      <c r="K108">
        <v>31</v>
      </c>
      <c r="L108">
        <v>51</v>
      </c>
      <c r="M108">
        <v>2</v>
      </c>
      <c r="N108">
        <v>128</v>
      </c>
      <c r="P108">
        <v>3</v>
      </c>
      <c r="Q108">
        <f>SUM(Complete_data[[#This Row],[American]:[Indian]])</f>
        <v>1156</v>
      </c>
      <c r="R108">
        <f>_xlfn.RANK.EQ(Complete_data[[#This Row],[Restaurant count]],Complete_data[Restaurant count],0)</f>
        <v>58</v>
      </c>
      <c r="S108">
        <v>39</v>
      </c>
      <c r="T108">
        <v>84</v>
      </c>
      <c r="U108" s="1">
        <v>62</v>
      </c>
      <c r="V108" s="1">
        <f>_xlfn.RANK.EQ(Complete_data[[#This Row],[Max Temperature]],Complete_data[Max Temperature],0)</f>
        <v>15</v>
      </c>
      <c r="W108" s="1">
        <f>_xlfn.RANK.EQ(Complete_data[[#This Row],[Min Temperature]],Complete_data[Min Temperature],0)</f>
        <v>53</v>
      </c>
      <c r="X108" s="1">
        <f>_xlfn.RANK.EQ(Complete_data[[#This Row],[Avg Temperature]],Complete_data[Avg Temperature],0)</f>
        <v>44</v>
      </c>
      <c r="Y108">
        <v>8</v>
      </c>
      <c r="Z108">
        <v>2</v>
      </c>
      <c r="AA108">
        <v>0</v>
      </c>
      <c r="AB108">
        <v>2</v>
      </c>
      <c r="AC108">
        <v>4</v>
      </c>
      <c r="AD108">
        <v>1</v>
      </c>
      <c r="AE108">
        <v>0</v>
      </c>
      <c r="AF108">
        <v>0</v>
      </c>
      <c r="AG108">
        <v>0</v>
      </c>
      <c r="AH108">
        <v>0</v>
      </c>
      <c r="AI108">
        <f>SUM(Complete_data[[#This Row],[GENERAL ACUTE CARE]:[CHRONIC DISEASE]])</f>
        <v>17</v>
      </c>
      <c r="AJ108">
        <f>_xlfn.RANK.EQ(Complete_data[[#This Row],[Hospital Count]],Complete_data[Hospital Count],0)</f>
        <v>21</v>
      </c>
      <c r="AK108">
        <v>72.02</v>
      </c>
      <c r="AL108">
        <v>65.739999999999995</v>
      </c>
      <c r="AM108">
        <v>66</v>
      </c>
      <c r="AN108">
        <v>62.66</v>
      </c>
      <c r="AO108">
        <v>63.27</v>
      </c>
      <c r="AP108">
        <v>59.21</v>
      </c>
      <c r="AQ108">
        <v>61.5</v>
      </c>
      <c r="AR108">
        <v>65.319999999999993</v>
      </c>
      <c r="AS108">
        <v>65.510000000000005</v>
      </c>
      <c r="AT108">
        <v>63.5</v>
      </c>
      <c r="AU108">
        <f>AVERAGE(Complete_data[[#This Row],[2009]:[2019]])</f>
        <v>64.472999999999985</v>
      </c>
      <c r="AV108">
        <f>_xlfn.RANK.EQ(Complete_data[[#This Row],[Average crime rate]],Complete_data[Average crime rate],1)</f>
        <v>133</v>
      </c>
      <c r="AW108">
        <v>39</v>
      </c>
      <c r="AX108">
        <v>42</v>
      </c>
      <c r="AY108">
        <v>53</v>
      </c>
      <c r="AZ108">
        <v>62</v>
      </c>
      <c r="BA108">
        <v>70</v>
      </c>
      <c r="BB108">
        <v>81</v>
      </c>
      <c r="BC108">
        <v>84</v>
      </c>
      <c r="BD108">
        <v>82</v>
      </c>
      <c r="BE108">
        <v>76</v>
      </c>
      <c r="BF108">
        <v>63</v>
      </c>
      <c r="BG108">
        <v>50</v>
      </c>
      <c r="BH108">
        <v>42</v>
      </c>
    </row>
    <row r="109" spans="1:60" x14ac:dyDescent="0.3">
      <c r="A109" t="s">
        <v>324</v>
      </c>
      <c r="B109" t="s">
        <v>325</v>
      </c>
      <c r="C109" t="s">
        <v>326</v>
      </c>
      <c r="E109">
        <v>159</v>
      </c>
      <c r="F109">
        <v>41</v>
      </c>
      <c r="G109">
        <v>16</v>
      </c>
      <c r="H109">
        <v>138</v>
      </c>
      <c r="I109">
        <v>55</v>
      </c>
      <c r="J109">
        <v>56</v>
      </c>
      <c r="K109">
        <v>10</v>
      </c>
      <c r="L109">
        <v>43</v>
      </c>
      <c r="M109">
        <v>5</v>
      </c>
      <c r="N109">
        <v>75</v>
      </c>
      <c r="O109">
        <v>1</v>
      </c>
      <c r="P109">
        <v>4</v>
      </c>
      <c r="Q109">
        <f>SUM(Complete_data[[#This Row],[American]:[Indian]])</f>
        <v>603</v>
      </c>
      <c r="R109">
        <f>_xlfn.RANK.EQ(Complete_data[[#This Row],[Restaurant count]],Complete_data[Restaurant count],0)</f>
        <v>86</v>
      </c>
      <c r="S109">
        <v>39</v>
      </c>
      <c r="T109">
        <v>69</v>
      </c>
      <c r="U109" s="1">
        <v>53.166666666666664</v>
      </c>
      <c r="V109" s="1">
        <f>_xlfn.RANK.EQ(Complete_data[[#This Row],[Max Temperature]],Complete_data[Max Temperature],0)</f>
        <v>139</v>
      </c>
      <c r="W109" s="1">
        <f>_xlfn.RANK.EQ(Complete_data[[#This Row],[Min Temperature]],Complete_data[Min Temperature],0)</f>
        <v>53</v>
      </c>
      <c r="X109" s="1">
        <f>_xlfn.RANK.EQ(Complete_data[[#This Row],[Avg Temperature]],Complete_data[Avg Temperature],0)</f>
        <v>92</v>
      </c>
      <c r="Y109">
        <v>1</v>
      </c>
      <c r="Z109">
        <v>0</v>
      </c>
      <c r="AA109">
        <v>0</v>
      </c>
      <c r="AB109">
        <v>0</v>
      </c>
      <c r="AC109">
        <v>0</v>
      </c>
      <c r="AD109">
        <v>0</v>
      </c>
      <c r="AE109">
        <v>0</v>
      </c>
      <c r="AF109">
        <v>0</v>
      </c>
      <c r="AG109">
        <v>0</v>
      </c>
      <c r="AH109">
        <v>0</v>
      </c>
      <c r="AI109">
        <f>SUM(Complete_data[[#This Row],[GENERAL ACUTE CARE]:[CHRONIC DISEASE]])</f>
        <v>1</v>
      </c>
      <c r="AJ109">
        <f>_xlfn.RANK.EQ(Complete_data[[#This Row],[Hospital Count]],Complete_data[Hospital Count],0)</f>
        <v>137</v>
      </c>
      <c r="AK109">
        <v>60.56</v>
      </c>
      <c r="AL109">
        <v>49.21</v>
      </c>
      <c r="AM109">
        <v>53.22</v>
      </c>
      <c r="AN109">
        <v>53.88</v>
      </c>
      <c r="AO109">
        <v>52.85</v>
      </c>
      <c r="AP109">
        <v>0</v>
      </c>
      <c r="AQ109">
        <v>42.16</v>
      </c>
      <c r="AR109">
        <v>41.48</v>
      </c>
      <c r="AS109">
        <v>36.36</v>
      </c>
      <c r="AT109">
        <v>0</v>
      </c>
      <c r="AU109">
        <f>AVERAGE(Complete_data[[#This Row],[2009]:[2019]])</f>
        <v>38.972000000000001</v>
      </c>
      <c r="AV109">
        <f>_xlfn.RANK.EQ(Complete_data[[#This Row],[Average crime rate]],Complete_data[Average crime rate],1)</f>
        <v>45</v>
      </c>
      <c r="AW109">
        <v>41</v>
      </c>
      <c r="AX109">
        <v>43</v>
      </c>
      <c r="AY109">
        <v>46</v>
      </c>
      <c r="AZ109">
        <v>51</v>
      </c>
      <c r="BA109">
        <v>56</v>
      </c>
      <c r="BB109">
        <v>62</v>
      </c>
      <c r="BC109">
        <v>68</v>
      </c>
      <c r="BD109">
        <v>69</v>
      </c>
      <c r="BE109">
        <v>63</v>
      </c>
      <c r="BF109">
        <v>54</v>
      </c>
      <c r="BG109">
        <v>46</v>
      </c>
      <c r="BH109">
        <v>39</v>
      </c>
    </row>
    <row r="110" spans="1:60" x14ac:dyDescent="0.3">
      <c r="A110" t="s">
        <v>324</v>
      </c>
      <c r="B110" t="s">
        <v>327</v>
      </c>
      <c r="C110" t="s">
        <v>328</v>
      </c>
      <c r="E110">
        <v>164</v>
      </c>
      <c r="F110">
        <v>27</v>
      </c>
      <c r="G110">
        <v>13</v>
      </c>
      <c r="H110">
        <v>71</v>
      </c>
      <c r="I110">
        <v>36</v>
      </c>
      <c r="J110">
        <v>47</v>
      </c>
      <c r="K110">
        <v>4</v>
      </c>
      <c r="L110">
        <v>17</v>
      </c>
      <c r="M110">
        <v>2</v>
      </c>
      <c r="N110">
        <v>55</v>
      </c>
      <c r="P110">
        <v>4</v>
      </c>
      <c r="Q110">
        <f>SUM(Complete_data[[#This Row],[American]:[Indian]])</f>
        <v>440</v>
      </c>
      <c r="R110">
        <f>_xlfn.RANK.EQ(Complete_data[[#This Row],[Restaurant count]],Complete_data[Restaurant count],0)</f>
        <v>102</v>
      </c>
      <c r="S110">
        <v>39</v>
      </c>
      <c r="T110">
        <v>76</v>
      </c>
      <c r="U110" s="1">
        <v>55.916666666666664</v>
      </c>
      <c r="V110" s="1">
        <f>_xlfn.RANK.EQ(Complete_data[[#This Row],[Max Temperature]],Complete_data[Max Temperature],0)</f>
        <v>82</v>
      </c>
      <c r="W110" s="1">
        <f>_xlfn.RANK.EQ(Complete_data[[#This Row],[Min Temperature]],Complete_data[Min Temperature],0)</f>
        <v>53</v>
      </c>
      <c r="X110" s="1">
        <f>_xlfn.RANK.EQ(Complete_data[[#This Row],[Avg Temperature]],Complete_data[Avg Temperature],0)</f>
        <v>75</v>
      </c>
      <c r="Y110">
        <v>2</v>
      </c>
      <c r="Z110">
        <v>0</v>
      </c>
      <c r="AA110">
        <v>0</v>
      </c>
      <c r="AB110">
        <v>0</v>
      </c>
      <c r="AC110">
        <v>0</v>
      </c>
      <c r="AD110">
        <v>0</v>
      </c>
      <c r="AE110">
        <v>0</v>
      </c>
      <c r="AF110">
        <v>0</v>
      </c>
      <c r="AG110">
        <v>0</v>
      </c>
      <c r="AH110">
        <v>0</v>
      </c>
      <c r="AI110">
        <f>SUM(Complete_data[[#This Row],[GENERAL ACUTE CARE]:[CHRONIC DISEASE]])</f>
        <v>2</v>
      </c>
      <c r="AJ110">
        <f>_xlfn.RANK.EQ(Complete_data[[#This Row],[Hospital Count]],Complete_data[Hospital Count],0)</f>
        <v>124</v>
      </c>
      <c r="AK110">
        <v>43.69</v>
      </c>
      <c r="AL110">
        <v>48.35</v>
      </c>
      <c r="AM110">
        <v>57.13</v>
      </c>
      <c r="AN110">
        <v>64.34</v>
      </c>
      <c r="AO110">
        <v>69.510000000000005</v>
      </c>
      <c r="AP110">
        <v>71.319999999999993</v>
      </c>
      <c r="AQ110">
        <v>66.52</v>
      </c>
      <c r="AR110">
        <v>64.599999999999994</v>
      </c>
      <c r="AS110">
        <v>59.28</v>
      </c>
      <c r="AT110">
        <v>0</v>
      </c>
      <c r="AU110">
        <f>AVERAGE(Complete_data[[#This Row],[2009]:[2019]])</f>
        <v>54.47399999999999</v>
      </c>
      <c r="AV110">
        <f>_xlfn.RANK.EQ(Complete_data[[#This Row],[Average crime rate]],Complete_data[Average crime rate],1)</f>
        <v>102</v>
      </c>
      <c r="AW110">
        <v>40</v>
      </c>
      <c r="AX110">
        <v>43</v>
      </c>
      <c r="AY110">
        <v>48</v>
      </c>
      <c r="AZ110">
        <v>53</v>
      </c>
      <c r="BA110">
        <v>61</v>
      </c>
      <c r="BB110">
        <v>68</v>
      </c>
      <c r="BC110">
        <v>76</v>
      </c>
      <c r="BD110">
        <v>75</v>
      </c>
      <c r="BE110">
        <v>67</v>
      </c>
      <c r="BF110">
        <v>56</v>
      </c>
      <c r="BG110">
        <v>45</v>
      </c>
      <c r="BH110">
        <v>39</v>
      </c>
    </row>
    <row r="111" spans="1:60" x14ac:dyDescent="0.3">
      <c r="A111" t="s">
        <v>324</v>
      </c>
      <c r="B111" t="s">
        <v>227</v>
      </c>
      <c r="C111" t="s">
        <v>329</v>
      </c>
      <c r="E111">
        <v>1044</v>
      </c>
      <c r="F111">
        <v>421</v>
      </c>
      <c r="G111">
        <v>121</v>
      </c>
      <c r="H111">
        <v>1153</v>
      </c>
      <c r="I111">
        <v>345</v>
      </c>
      <c r="J111">
        <v>295</v>
      </c>
      <c r="K111">
        <v>37</v>
      </c>
      <c r="L111">
        <v>288</v>
      </c>
      <c r="M111">
        <v>23</v>
      </c>
      <c r="N111">
        <v>674</v>
      </c>
      <c r="O111">
        <v>21</v>
      </c>
      <c r="P111">
        <v>52</v>
      </c>
      <c r="Q111">
        <f>SUM(Complete_data[[#This Row],[American]:[Indian]])</f>
        <v>4474</v>
      </c>
      <c r="R111">
        <f>_xlfn.RANK.EQ(Complete_data[[#This Row],[Restaurant count]],Complete_data[Restaurant count],0)</f>
        <v>17</v>
      </c>
      <c r="S111">
        <v>41</v>
      </c>
      <c r="T111">
        <v>70</v>
      </c>
      <c r="U111" s="1">
        <v>54.583333333333336</v>
      </c>
      <c r="V111" s="1">
        <f>_xlfn.RANK.EQ(Complete_data[[#This Row],[Max Temperature]],Complete_data[Max Temperature],0)</f>
        <v>134</v>
      </c>
      <c r="W111" s="1">
        <f>_xlfn.RANK.EQ(Complete_data[[#This Row],[Min Temperature]],Complete_data[Min Temperature],0)</f>
        <v>47</v>
      </c>
      <c r="X111" s="1">
        <f>_xlfn.RANK.EQ(Complete_data[[#This Row],[Avg Temperature]],Complete_data[Avg Temperature],0)</f>
        <v>81</v>
      </c>
      <c r="Y111">
        <v>6</v>
      </c>
      <c r="Z111">
        <v>2</v>
      </c>
      <c r="AA111">
        <v>1</v>
      </c>
      <c r="AB111">
        <v>1</v>
      </c>
      <c r="AC111">
        <v>1</v>
      </c>
      <c r="AD111">
        <v>0</v>
      </c>
      <c r="AE111">
        <v>0</v>
      </c>
      <c r="AF111">
        <v>1</v>
      </c>
      <c r="AG111">
        <v>0</v>
      </c>
      <c r="AH111">
        <v>0</v>
      </c>
      <c r="AI111">
        <f>SUM(Complete_data[[#This Row],[GENERAL ACUTE CARE]:[CHRONIC DISEASE]])</f>
        <v>12</v>
      </c>
      <c r="AJ111">
        <f>_xlfn.RANK.EQ(Complete_data[[#This Row],[Hospital Count]],Complete_data[Hospital Count],0)</f>
        <v>46</v>
      </c>
      <c r="AK111">
        <v>53.25</v>
      </c>
      <c r="AL111">
        <v>56.09</v>
      </c>
      <c r="AM111">
        <v>56.56</v>
      </c>
      <c r="AN111">
        <v>56.52</v>
      </c>
      <c r="AO111">
        <v>53.75</v>
      </c>
      <c r="AP111">
        <v>57.35</v>
      </c>
      <c r="AQ111">
        <v>0</v>
      </c>
      <c r="AR111">
        <v>62.4</v>
      </c>
      <c r="AS111">
        <v>59.8</v>
      </c>
      <c r="AT111">
        <v>0</v>
      </c>
      <c r="AU111">
        <f>AVERAGE(Complete_data[[#This Row],[2009]:[2019]])</f>
        <v>45.572000000000003</v>
      </c>
      <c r="AV111">
        <f>_xlfn.RANK.EQ(Complete_data[[#This Row],[Average crime rate]],Complete_data[Average crime rate],1)</f>
        <v>70</v>
      </c>
      <c r="AW111">
        <v>42</v>
      </c>
      <c r="AX111">
        <v>43</v>
      </c>
      <c r="AY111">
        <v>48</v>
      </c>
      <c r="AZ111">
        <v>52</v>
      </c>
      <c r="BA111">
        <v>59</v>
      </c>
      <c r="BB111">
        <v>64</v>
      </c>
      <c r="BC111">
        <v>69</v>
      </c>
      <c r="BD111">
        <v>70</v>
      </c>
      <c r="BE111">
        <v>65</v>
      </c>
      <c r="BF111">
        <v>55</v>
      </c>
      <c r="BG111">
        <v>47</v>
      </c>
      <c r="BH111">
        <v>41</v>
      </c>
    </row>
    <row r="112" spans="1:60" x14ac:dyDescent="0.3">
      <c r="A112" t="s">
        <v>324</v>
      </c>
      <c r="B112" t="s">
        <v>330</v>
      </c>
      <c r="C112" t="s">
        <v>331</v>
      </c>
      <c r="E112">
        <v>143</v>
      </c>
      <c r="F112">
        <v>33</v>
      </c>
      <c r="G112">
        <v>18</v>
      </c>
      <c r="H112">
        <v>95</v>
      </c>
      <c r="I112">
        <v>44</v>
      </c>
      <c r="J112">
        <v>49</v>
      </c>
      <c r="K112">
        <v>3</v>
      </c>
      <c r="L112">
        <v>33</v>
      </c>
      <c r="M112">
        <v>1</v>
      </c>
      <c r="N112">
        <v>69</v>
      </c>
      <c r="O112">
        <v>1</v>
      </c>
      <c r="P112">
        <v>4</v>
      </c>
      <c r="Q112">
        <f>SUM(Complete_data[[#This Row],[American]:[Indian]])</f>
        <v>493</v>
      </c>
      <c r="R112">
        <f>_xlfn.RANK.EQ(Complete_data[[#This Row],[Restaurant count]],Complete_data[Restaurant count],0)</f>
        <v>95</v>
      </c>
      <c r="S112">
        <v>41</v>
      </c>
      <c r="T112">
        <v>70</v>
      </c>
      <c r="U112" s="1">
        <v>54</v>
      </c>
      <c r="V112" s="1">
        <f>_xlfn.RANK.EQ(Complete_data[[#This Row],[Max Temperature]],Complete_data[Max Temperature],0)</f>
        <v>134</v>
      </c>
      <c r="W112" s="1">
        <f>_xlfn.RANK.EQ(Complete_data[[#This Row],[Min Temperature]],Complete_data[Min Temperature],0)</f>
        <v>47</v>
      </c>
      <c r="X112" s="1">
        <f>_xlfn.RANK.EQ(Complete_data[[#This Row],[Avg Temperature]],Complete_data[Avg Temperature],0)</f>
        <v>83</v>
      </c>
      <c r="Y112">
        <v>1</v>
      </c>
      <c r="Z112">
        <v>0</v>
      </c>
      <c r="AA112">
        <v>0</v>
      </c>
      <c r="AB112">
        <v>0</v>
      </c>
      <c r="AC112">
        <v>0</v>
      </c>
      <c r="AD112">
        <v>0</v>
      </c>
      <c r="AE112">
        <v>0</v>
      </c>
      <c r="AF112">
        <v>0</v>
      </c>
      <c r="AG112">
        <v>0</v>
      </c>
      <c r="AH112">
        <v>0</v>
      </c>
      <c r="AI112">
        <f>SUM(Complete_data[[#This Row],[GENERAL ACUTE CARE]:[CHRONIC DISEASE]])</f>
        <v>1</v>
      </c>
      <c r="AJ112">
        <f>_xlfn.RANK.EQ(Complete_data[[#This Row],[Hospital Count]],Complete_data[Hospital Count],0)</f>
        <v>137</v>
      </c>
      <c r="AK112">
        <v>43.93</v>
      </c>
      <c r="AL112">
        <v>42.2</v>
      </c>
      <c r="AM112">
        <v>41.69</v>
      </c>
      <c r="AN112">
        <v>46.68</v>
      </c>
      <c r="AO112">
        <v>46.41</v>
      </c>
      <c r="AP112">
        <v>46.73</v>
      </c>
      <c r="AQ112">
        <v>44.28</v>
      </c>
      <c r="AR112">
        <v>46.41</v>
      </c>
      <c r="AS112">
        <v>46.17</v>
      </c>
      <c r="AT112">
        <v>0</v>
      </c>
      <c r="AU112">
        <f>AVERAGE(Complete_data[[#This Row],[2009]:[2019]])</f>
        <v>40.449999999999996</v>
      </c>
      <c r="AV112">
        <f>_xlfn.RANK.EQ(Complete_data[[#This Row],[Average crime rate]],Complete_data[Average crime rate],1)</f>
        <v>48</v>
      </c>
      <c r="AW112">
        <v>42</v>
      </c>
      <c r="AX112">
        <v>43</v>
      </c>
      <c r="AY112">
        <v>47</v>
      </c>
      <c r="AZ112">
        <v>52</v>
      </c>
      <c r="BA112">
        <v>58</v>
      </c>
      <c r="BB112">
        <v>63</v>
      </c>
      <c r="BC112">
        <v>69</v>
      </c>
      <c r="BD112">
        <v>70</v>
      </c>
      <c r="BE112">
        <v>63</v>
      </c>
      <c r="BF112">
        <v>54</v>
      </c>
      <c r="BG112">
        <v>46</v>
      </c>
      <c r="BH112">
        <v>41</v>
      </c>
    </row>
    <row r="113" spans="1:60" x14ac:dyDescent="0.3">
      <c r="A113" t="s">
        <v>332</v>
      </c>
      <c r="B113" t="s">
        <v>333</v>
      </c>
      <c r="C113" t="s">
        <v>334</v>
      </c>
      <c r="E113">
        <v>407</v>
      </c>
      <c r="F113">
        <v>56</v>
      </c>
      <c r="G113">
        <v>60</v>
      </c>
      <c r="H113">
        <v>282</v>
      </c>
      <c r="I113">
        <v>229</v>
      </c>
      <c r="J113">
        <v>68</v>
      </c>
      <c r="K113">
        <v>8</v>
      </c>
      <c r="L113">
        <v>52</v>
      </c>
      <c r="M113">
        <v>7</v>
      </c>
      <c r="N113">
        <v>126</v>
      </c>
      <c r="O113">
        <v>4</v>
      </c>
      <c r="P113">
        <v>11</v>
      </c>
      <c r="Q113">
        <f>SUM(Complete_data[[#This Row],[American]:[Indian]])</f>
        <v>1310</v>
      </c>
      <c r="R113">
        <f>_xlfn.RANK.EQ(Complete_data[[#This Row],[Restaurant count]],Complete_data[Restaurant count],0)</f>
        <v>53</v>
      </c>
      <c r="S113">
        <v>30</v>
      </c>
      <c r="T113">
        <v>76</v>
      </c>
      <c r="U113" s="1">
        <v>53.416666666666664</v>
      </c>
      <c r="V113" s="1">
        <f>_xlfn.RANK.EQ(Complete_data[[#This Row],[Max Temperature]],Complete_data[Max Temperature],0)</f>
        <v>82</v>
      </c>
      <c r="W113" s="1">
        <f>_xlfn.RANK.EQ(Complete_data[[#This Row],[Min Temperature]],Complete_data[Min Temperature],0)</f>
        <v>89</v>
      </c>
      <c r="X113" s="1">
        <f>_xlfn.RANK.EQ(Complete_data[[#This Row],[Avg Temperature]],Complete_data[Avg Temperature],0)</f>
        <v>88</v>
      </c>
      <c r="Y113">
        <v>4</v>
      </c>
      <c r="Z113">
        <v>0</v>
      </c>
      <c r="AA113">
        <v>0</v>
      </c>
      <c r="AB113">
        <v>0</v>
      </c>
      <c r="AC113">
        <v>0</v>
      </c>
      <c r="AD113">
        <v>1</v>
      </c>
      <c r="AE113">
        <v>0</v>
      </c>
      <c r="AF113">
        <v>0</v>
      </c>
      <c r="AG113">
        <v>0</v>
      </c>
      <c r="AH113">
        <v>0</v>
      </c>
      <c r="AI113">
        <f>SUM(Complete_data[[#This Row],[GENERAL ACUTE CARE]:[CHRONIC DISEASE]])</f>
        <v>5</v>
      </c>
      <c r="AJ113">
        <f>_xlfn.RANK.EQ(Complete_data[[#This Row],[Hospital Count]],Complete_data[Hospital Count],0)</f>
        <v>99</v>
      </c>
      <c r="AK113">
        <v>56.32</v>
      </c>
      <c r="AL113">
        <v>53.93</v>
      </c>
      <c r="AM113">
        <v>44.26</v>
      </c>
      <c r="AN113">
        <v>44.14</v>
      </c>
      <c r="AO113">
        <v>41.6</v>
      </c>
      <c r="AP113">
        <v>37.44</v>
      </c>
      <c r="AQ113">
        <v>31.36</v>
      </c>
      <c r="AR113">
        <v>32.049999999999997</v>
      </c>
      <c r="AS113">
        <v>26.63</v>
      </c>
      <c r="AT113">
        <v>26.74</v>
      </c>
      <c r="AU113">
        <f>AVERAGE(Complete_data[[#This Row],[2009]:[2019]])</f>
        <v>39.446999999999996</v>
      </c>
      <c r="AV113">
        <f>_xlfn.RANK.EQ(Complete_data[[#This Row],[Average crime rate]],Complete_data[Average crime rate],1)</f>
        <v>46</v>
      </c>
      <c r="AW113">
        <v>30</v>
      </c>
      <c r="AX113">
        <v>33</v>
      </c>
      <c r="AY113">
        <v>41</v>
      </c>
      <c r="AZ113">
        <v>52</v>
      </c>
      <c r="BA113">
        <v>63</v>
      </c>
      <c r="BB113">
        <v>71</v>
      </c>
      <c r="BC113">
        <v>76</v>
      </c>
      <c r="BD113">
        <v>73</v>
      </c>
      <c r="BE113">
        <v>67</v>
      </c>
      <c r="BF113">
        <v>56</v>
      </c>
      <c r="BG113">
        <v>43</v>
      </c>
      <c r="BH113">
        <v>36</v>
      </c>
    </row>
    <row r="114" spans="1:60" x14ac:dyDescent="0.3">
      <c r="A114" t="s">
        <v>332</v>
      </c>
      <c r="B114" t="s">
        <v>335</v>
      </c>
      <c r="C114" t="s">
        <v>336</v>
      </c>
      <c r="E114">
        <v>131</v>
      </c>
      <c r="F114">
        <v>14</v>
      </c>
      <c r="G114">
        <v>15</v>
      </c>
      <c r="H114">
        <v>47</v>
      </c>
      <c r="I114">
        <v>56</v>
      </c>
      <c r="J114">
        <v>13</v>
      </c>
      <c r="K114">
        <v>1</v>
      </c>
      <c r="L114">
        <v>24</v>
      </c>
      <c r="N114">
        <v>26</v>
      </c>
      <c r="O114">
        <v>1</v>
      </c>
      <c r="P114">
        <v>2</v>
      </c>
      <c r="Q114">
        <f>SUM(Complete_data[[#This Row],[American]:[Indian]])</f>
        <v>330</v>
      </c>
      <c r="R114">
        <f>_xlfn.RANK.EQ(Complete_data[[#This Row],[Restaurant count]],Complete_data[Restaurant count],0)</f>
        <v>114</v>
      </c>
      <c r="S114">
        <v>28</v>
      </c>
      <c r="T114">
        <v>74</v>
      </c>
      <c r="U114" s="1">
        <v>50.916666666666664</v>
      </c>
      <c r="V114" s="1">
        <f>_xlfn.RANK.EQ(Complete_data[[#This Row],[Max Temperature]],Complete_data[Max Temperature],0)</f>
        <v>103</v>
      </c>
      <c r="W114" s="1">
        <f>_xlfn.RANK.EQ(Complete_data[[#This Row],[Min Temperature]],Complete_data[Min Temperature],0)</f>
        <v>98</v>
      </c>
      <c r="X114" s="1">
        <f>_xlfn.RANK.EQ(Complete_data[[#This Row],[Avg Temperature]],Complete_data[Avg Temperature],0)</f>
        <v>110</v>
      </c>
      <c r="Y114">
        <v>4</v>
      </c>
      <c r="Z114">
        <v>0</v>
      </c>
      <c r="AA114">
        <v>0</v>
      </c>
      <c r="AB114">
        <v>1</v>
      </c>
      <c r="AC114">
        <v>0</v>
      </c>
      <c r="AD114">
        <v>1</v>
      </c>
      <c r="AE114">
        <v>0</v>
      </c>
      <c r="AF114">
        <v>1</v>
      </c>
      <c r="AG114">
        <v>0</v>
      </c>
      <c r="AH114">
        <v>0</v>
      </c>
      <c r="AI114">
        <f>SUM(Complete_data[[#This Row],[GENERAL ACUTE CARE]:[CHRONIC DISEASE]])</f>
        <v>7</v>
      </c>
      <c r="AJ114">
        <f>_xlfn.RANK.EQ(Complete_data[[#This Row],[Hospital Count]],Complete_data[Hospital Count],0)</f>
        <v>80</v>
      </c>
      <c r="AK114">
        <v>33.799999999999997</v>
      </c>
      <c r="AL114">
        <v>38.69</v>
      </c>
      <c r="AM114">
        <v>41.14</v>
      </c>
      <c r="AN114">
        <v>39.18</v>
      </c>
      <c r="AO114">
        <v>36.590000000000003</v>
      </c>
      <c r="AP114">
        <v>30.73</v>
      </c>
      <c r="AQ114">
        <v>29.93</v>
      </c>
      <c r="AR114">
        <v>26.58</v>
      </c>
      <c r="AS114">
        <v>23.09</v>
      </c>
      <c r="AT114">
        <v>24.27</v>
      </c>
      <c r="AU114">
        <f>AVERAGE(Complete_data[[#This Row],[2009]:[2019]])</f>
        <v>32.399999999999991</v>
      </c>
      <c r="AV114">
        <f>_xlfn.RANK.EQ(Complete_data[[#This Row],[Average crime rate]],Complete_data[Average crime rate],1)</f>
        <v>24</v>
      </c>
      <c r="AW114">
        <v>28</v>
      </c>
      <c r="AX114">
        <v>28</v>
      </c>
      <c r="AY114">
        <v>36</v>
      </c>
      <c r="AZ114">
        <v>47</v>
      </c>
      <c r="BA114">
        <v>59</v>
      </c>
      <c r="BB114">
        <v>68</v>
      </c>
      <c r="BC114">
        <v>74</v>
      </c>
      <c r="BD114">
        <v>72</v>
      </c>
      <c r="BE114">
        <v>66</v>
      </c>
      <c r="BF114">
        <v>55</v>
      </c>
      <c r="BG114">
        <v>43</v>
      </c>
      <c r="BH114">
        <v>35</v>
      </c>
    </row>
    <row r="115" spans="1:60" x14ac:dyDescent="0.3">
      <c r="A115" t="s">
        <v>332</v>
      </c>
      <c r="B115" t="s">
        <v>337</v>
      </c>
      <c r="C115" t="s">
        <v>338</v>
      </c>
      <c r="E115">
        <v>1951</v>
      </c>
      <c r="F115">
        <v>384</v>
      </c>
      <c r="G115">
        <v>281</v>
      </c>
      <c r="H115">
        <v>1784</v>
      </c>
      <c r="I115">
        <v>1443</v>
      </c>
      <c r="J115">
        <v>269</v>
      </c>
      <c r="K115">
        <v>52</v>
      </c>
      <c r="L115">
        <v>289</v>
      </c>
      <c r="M115">
        <v>45</v>
      </c>
      <c r="N115">
        <v>814</v>
      </c>
      <c r="O115">
        <v>28</v>
      </c>
      <c r="P115">
        <v>99</v>
      </c>
      <c r="Q115">
        <f>SUM(Complete_data[[#This Row],[American]:[Indian]])</f>
        <v>7439</v>
      </c>
      <c r="R115">
        <f>_xlfn.RANK.EQ(Complete_data[[#This Row],[Restaurant count]],Complete_data[Restaurant count],0)</f>
        <v>10</v>
      </c>
      <c r="S115">
        <v>34</v>
      </c>
      <c r="T115">
        <v>80</v>
      </c>
      <c r="U115" s="1">
        <v>57.083333333333336</v>
      </c>
      <c r="V115" s="1">
        <f>_xlfn.RANK.EQ(Complete_data[[#This Row],[Max Temperature]],Complete_data[Max Temperature],0)</f>
        <v>50</v>
      </c>
      <c r="W115" s="1">
        <f>_xlfn.RANK.EQ(Complete_data[[#This Row],[Min Temperature]],Complete_data[Min Temperature],0)</f>
        <v>70</v>
      </c>
      <c r="X115" s="1">
        <f>_xlfn.RANK.EQ(Complete_data[[#This Row],[Avg Temperature]],Complete_data[Avg Temperature],0)</f>
        <v>66</v>
      </c>
      <c r="Y115">
        <v>19</v>
      </c>
      <c r="Z115">
        <v>1</v>
      </c>
      <c r="AA115">
        <v>3</v>
      </c>
      <c r="AB115">
        <v>3</v>
      </c>
      <c r="AC115">
        <v>6</v>
      </c>
      <c r="AD115">
        <v>1</v>
      </c>
      <c r="AE115">
        <v>0</v>
      </c>
      <c r="AF115">
        <v>1</v>
      </c>
      <c r="AG115">
        <v>0</v>
      </c>
      <c r="AH115">
        <v>0</v>
      </c>
      <c r="AI115">
        <f>SUM(Complete_data[[#This Row],[GENERAL ACUTE CARE]:[CHRONIC DISEASE]])</f>
        <v>34</v>
      </c>
      <c r="AJ115">
        <f>_xlfn.RANK.EQ(Complete_data[[#This Row],[Hospital Count]],Complete_data[Hospital Count],0)</f>
        <v>4</v>
      </c>
      <c r="AK115">
        <v>48.49</v>
      </c>
      <c r="AL115">
        <v>48.98</v>
      </c>
      <c r="AM115">
        <v>50.88</v>
      </c>
      <c r="AN115">
        <v>48.64</v>
      </c>
      <c r="AO115">
        <v>45.41</v>
      </c>
      <c r="AP115">
        <v>44.35</v>
      </c>
      <c r="AQ115">
        <v>41.97</v>
      </c>
      <c r="AR115">
        <v>40.369999999999997</v>
      </c>
      <c r="AS115">
        <v>40.33</v>
      </c>
      <c r="AT115">
        <v>0</v>
      </c>
      <c r="AU115">
        <f>AVERAGE(Complete_data[[#This Row],[2009]:[2019]])</f>
        <v>40.942</v>
      </c>
      <c r="AV115">
        <f>_xlfn.RANK.EQ(Complete_data[[#This Row],[Average crime rate]],Complete_data[Average crime rate],1)</f>
        <v>49</v>
      </c>
      <c r="AW115">
        <v>34</v>
      </c>
      <c r="AX115">
        <v>37</v>
      </c>
      <c r="AY115">
        <v>44</v>
      </c>
      <c r="AZ115">
        <v>55</v>
      </c>
      <c r="BA115">
        <v>65</v>
      </c>
      <c r="BB115">
        <v>74</v>
      </c>
      <c r="BC115">
        <v>80</v>
      </c>
      <c r="BD115">
        <v>77</v>
      </c>
      <c r="BE115">
        <v>71</v>
      </c>
      <c r="BF115">
        <v>60</v>
      </c>
      <c r="BG115">
        <v>47</v>
      </c>
      <c r="BH115">
        <v>41</v>
      </c>
    </row>
    <row r="116" spans="1:60" x14ac:dyDescent="0.3">
      <c r="A116" t="s">
        <v>332</v>
      </c>
      <c r="B116" t="s">
        <v>339</v>
      </c>
      <c r="C116" t="s">
        <v>340</v>
      </c>
      <c r="E116">
        <v>1062</v>
      </c>
      <c r="F116">
        <v>211</v>
      </c>
      <c r="G116">
        <v>151</v>
      </c>
      <c r="H116">
        <v>708</v>
      </c>
      <c r="I116">
        <v>701</v>
      </c>
      <c r="J116">
        <v>123</v>
      </c>
      <c r="K116">
        <v>41</v>
      </c>
      <c r="L116">
        <v>193</v>
      </c>
      <c r="M116">
        <v>11</v>
      </c>
      <c r="N116">
        <v>300</v>
      </c>
      <c r="O116">
        <v>11</v>
      </c>
      <c r="P116">
        <v>29</v>
      </c>
      <c r="Q116">
        <f>SUM(Complete_data[[#This Row],[American]:[Indian]])</f>
        <v>3541</v>
      </c>
      <c r="R116">
        <f>_xlfn.RANK.EQ(Complete_data[[#This Row],[Restaurant count]],Complete_data[Restaurant count],0)</f>
        <v>20</v>
      </c>
      <c r="S116">
        <v>28</v>
      </c>
      <c r="T116">
        <v>74</v>
      </c>
      <c r="U116" s="1">
        <v>52.333333333333336</v>
      </c>
      <c r="V116" s="1">
        <f>_xlfn.RANK.EQ(Complete_data[[#This Row],[Max Temperature]],Complete_data[Max Temperature],0)</f>
        <v>103</v>
      </c>
      <c r="W116" s="1">
        <f>_xlfn.RANK.EQ(Complete_data[[#This Row],[Min Temperature]],Complete_data[Min Temperature],0)</f>
        <v>98</v>
      </c>
      <c r="X116" s="1">
        <f>_xlfn.RANK.EQ(Complete_data[[#This Row],[Avg Temperature]],Complete_data[Avg Temperature],0)</f>
        <v>100</v>
      </c>
      <c r="Y116">
        <v>12</v>
      </c>
      <c r="Z116">
        <v>0</v>
      </c>
      <c r="AA116">
        <v>2</v>
      </c>
      <c r="AB116">
        <v>2</v>
      </c>
      <c r="AC116">
        <v>1</v>
      </c>
      <c r="AD116">
        <v>1</v>
      </c>
      <c r="AE116">
        <v>0</v>
      </c>
      <c r="AF116">
        <v>2</v>
      </c>
      <c r="AG116">
        <v>0</v>
      </c>
      <c r="AH116">
        <v>0</v>
      </c>
      <c r="AI116">
        <f>SUM(Complete_data[[#This Row],[GENERAL ACUTE CARE]:[CHRONIC DISEASE]])</f>
        <v>20</v>
      </c>
      <c r="AJ116">
        <f>_xlfn.RANK.EQ(Complete_data[[#This Row],[Hospital Count]],Complete_data[Hospital Count],0)</f>
        <v>16</v>
      </c>
      <c r="AK116">
        <v>48.07</v>
      </c>
      <c r="AL116">
        <v>45.56</v>
      </c>
      <c r="AM116">
        <v>41.26</v>
      </c>
      <c r="AN116">
        <v>42.57</v>
      </c>
      <c r="AO116">
        <v>40.68</v>
      </c>
      <c r="AP116">
        <v>40.729999999999997</v>
      </c>
      <c r="AQ116">
        <v>39.869999999999997</v>
      </c>
      <c r="AR116">
        <v>38.15</v>
      </c>
      <c r="AS116">
        <v>36.29</v>
      </c>
      <c r="AT116">
        <v>0</v>
      </c>
      <c r="AU116">
        <f>AVERAGE(Complete_data[[#This Row],[2009]:[2019]])</f>
        <v>37.317999999999998</v>
      </c>
      <c r="AV116">
        <f>_xlfn.RANK.EQ(Complete_data[[#This Row],[Average crime rate]],Complete_data[Average crime rate],1)</f>
        <v>38</v>
      </c>
      <c r="AW116">
        <v>28</v>
      </c>
      <c r="AX116">
        <v>32</v>
      </c>
      <c r="AY116">
        <v>40</v>
      </c>
      <c r="AZ116">
        <v>52</v>
      </c>
      <c r="BA116">
        <v>62</v>
      </c>
      <c r="BB116">
        <v>70</v>
      </c>
      <c r="BC116">
        <v>74</v>
      </c>
      <c r="BD116">
        <v>72</v>
      </c>
      <c r="BE116">
        <v>66</v>
      </c>
      <c r="BF116">
        <v>55</v>
      </c>
      <c r="BG116">
        <v>42</v>
      </c>
      <c r="BH116">
        <v>35</v>
      </c>
    </row>
    <row r="117" spans="1:60" x14ac:dyDescent="0.3">
      <c r="A117" t="s">
        <v>341</v>
      </c>
      <c r="B117" t="s">
        <v>342</v>
      </c>
      <c r="C117" t="s">
        <v>343</v>
      </c>
      <c r="E117">
        <v>616</v>
      </c>
      <c r="F117">
        <v>76</v>
      </c>
      <c r="G117">
        <v>69</v>
      </c>
      <c r="H117">
        <v>276</v>
      </c>
      <c r="I117">
        <v>139</v>
      </c>
      <c r="J117">
        <v>105</v>
      </c>
      <c r="K117">
        <v>14</v>
      </c>
      <c r="L117">
        <v>73</v>
      </c>
      <c r="M117">
        <v>11</v>
      </c>
      <c r="N117">
        <v>159</v>
      </c>
      <c r="O117">
        <v>1</v>
      </c>
      <c r="P117">
        <v>4</v>
      </c>
      <c r="Q117">
        <f>SUM(Complete_data[[#This Row],[American]:[Indian]])</f>
        <v>1543</v>
      </c>
      <c r="R117">
        <f>_xlfn.RANK.EQ(Complete_data[[#This Row],[Restaurant count]],Complete_data[Restaurant count],0)</f>
        <v>48</v>
      </c>
      <c r="S117">
        <v>49</v>
      </c>
      <c r="T117">
        <v>82</v>
      </c>
      <c r="U117" s="1">
        <v>66.583333333333329</v>
      </c>
      <c r="V117" s="1">
        <f>_xlfn.RANK.EQ(Complete_data[[#This Row],[Max Temperature]],Complete_data[Max Temperature],0)</f>
        <v>29</v>
      </c>
      <c r="W117" s="1">
        <f>_xlfn.RANK.EQ(Complete_data[[#This Row],[Min Temperature]],Complete_data[Min Temperature],0)</f>
        <v>22</v>
      </c>
      <c r="X117" s="1">
        <f>_xlfn.RANK.EQ(Complete_data[[#This Row],[Avg Temperature]],Complete_data[Avg Temperature],0)</f>
        <v>24</v>
      </c>
      <c r="Y117">
        <v>4</v>
      </c>
      <c r="Z117">
        <v>0</v>
      </c>
      <c r="AA117">
        <v>0</v>
      </c>
      <c r="AB117">
        <v>0</v>
      </c>
      <c r="AC117">
        <v>0</v>
      </c>
      <c r="AD117">
        <v>0</v>
      </c>
      <c r="AE117">
        <v>0</v>
      </c>
      <c r="AF117">
        <v>1</v>
      </c>
      <c r="AG117">
        <v>0</v>
      </c>
      <c r="AH117">
        <v>0</v>
      </c>
      <c r="AI117">
        <f>SUM(Complete_data[[#This Row],[GENERAL ACUTE CARE]:[CHRONIC DISEASE]])</f>
        <v>5</v>
      </c>
      <c r="AJ117">
        <f>_xlfn.RANK.EQ(Complete_data[[#This Row],[Hospital Count]],Complete_data[Hospital Count],0)</f>
        <v>99</v>
      </c>
      <c r="AK117">
        <v>40.44</v>
      </c>
      <c r="AL117">
        <v>37.53</v>
      </c>
      <c r="AM117">
        <v>34.229999999999997</v>
      </c>
      <c r="AN117">
        <v>29.67</v>
      </c>
      <c r="AO117">
        <v>26.92</v>
      </c>
      <c r="AP117">
        <v>25</v>
      </c>
      <c r="AQ117">
        <v>27</v>
      </c>
      <c r="AR117">
        <v>25.9</v>
      </c>
      <c r="AS117">
        <v>23.86</v>
      </c>
      <c r="AT117">
        <v>26.38</v>
      </c>
      <c r="AU117">
        <f>AVERAGE(Complete_data[[#This Row],[2009]:[2019]])</f>
        <v>29.693000000000001</v>
      </c>
      <c r="AV117">
        <f>_xlfn.RANK.EQ(Complete_data[[#This Row],[Average crime rate]],Complete_data[Average crime rate],1)</f>
        <v>19</v>
      </c>
      <c r="AW117">
        <v>49</v>
      </c>
      <c r="AX117">
        <v>53</v>
      </c>
      <c r="AY117">
        <v>59</v>
      </c>
      <c r="AZ117">
        <v>66</v>
      </c>
      <c r="BA117">
        <v>73</v>
      </c>
      <c r="BB117">
        <v>80</v>
      </c>
      <c r="BC117">
        <v>82</v>
      </c>
      <c r="BD117">
        <v>81</v>
      </c>
      <c r="BE117">
        <v>77</v>
      </c>
      <c r="BF117">
        <v>68</v>
      </c>
      <c r="BG117">
        <v>57</v>
      </c>
      <c r="BH117">
        <v>54</v>
      </c>
    </row>
    <row r="118" spans="1:60" x14ac:dyDescent="0.3">
      <c r="A118" t="s">
        <v>341</v>
      </c>
      <c r="B118" t="s">
        <v>344</v>
      </c>
      <c r="C118" t="s">
        <v>345</v>
      </c>
      <c r="E118">
        <v>381</v>
      </c>
      <c r="F118">
        <v>44</v>
      </c>
      <c r="G118">
        <v>36</v>
      </c>
      <c r="H118">
        <v>215</v>
      </c>
      <c r="I118">
        <v>87</v>
      </c>
      <c r="J118">
        <v>75</v>
      </c>
      <c r="K118">
        <v>22</v>
      </c>
      <c r="L118">
        <v>46</v>
      </c>
      <c r="M118">
        <v>7</v>
      </c>
      <c r="N118">
        <v>110</v>
      </c>
      <c r="P118">
        <v>4</v>
      </c>
      <c r="Q118">
        <f>SUM(Complete_data[[#This Row],[American]:[Indian]])</f>
        <v>1027</v>
      </c>
      <c r="R118">
        <f>_xlfn.RANK.EQ(Complete_data[[#This Row],[Restaurant count]],Complete_data[Restaurant count],0)</f>
        <v>65</v>
      </c>
      <c r="S118">
        <v>46</v>
      </c>
      <c r="T118">
        <v>83</v>
      </c>
      <c r="U118" s="1">
        <v>65.25</v>
      </c>
      <c r="V118" s="1">
        <f>_xlfn.RANK.EQ(Complete_data[[#This Row],[Max Temperature]],Complete_data[Max Temperature],0)</f>
        <v>21</v>
      </c>
      <c r="W118" s="1">
        <f>_xlfn.RANK.EQ(Complete_data[[#This Row],[Min Temperature]],Complete_data[Min Temperature],0)</f>
        <v>31</v>
      </c>
      <c r="X118" s="1">
        <f>_xlfn.RANK.EQ(Complete_data[[#This Row],[Avg Temperature]],Complete_data[Avg Temperature],0)</f>
        <v>32</v>
      </c>
      <c r="Y118">
        <v>9</v>
      </c>
      <c r="Z118">
        <v>0</v>
      </c>
      <c r="AA118">
        <v>0</v>
      </c>
      <c r="AB118">
        <v>1</v>
      </c>
      <c r="AC118">
        <v>3</v>
      </c>
      <c r="AD118">
        <v>1</v>
      </c>
      <c r="AE118">
        <v>0</v>
      </c>
      <c r="AF118">
        <v>1</v>
      </c>
      <c r="AG118">
        <v>0</v>
      </c>
      <c r="AH118">
        <v>0</v>
      </c>
      <c r="AI118">
        <f>SUM(Complete_data[[#This Row],[GENERAL ACUTE CARE]:[CHRONIC DISEASE]])</f>
        <v>15</v>
      </c>
      <c r="AJ118">
        <f>_xlfn.RANK.EQ(Complete_data[[#This Row],[Hospital Count]],Complete_data[Hospital Count],0)</f>
        <v>32</v>
      </c>
      <c r="AK118">
        <v>70.67</v>
      </c>
      <c r="AL118">
        <v>70.61</v>
      </c>
      <c r="AM118">
        <v>0</v>
      </c>
      <c r="AN118">
        <v>0</v>
      </c>
      <c r="AO118">
        <v>67.680000000000007</v>
      </c>
      <c r="AP118">
        <v>61.18</v>
      </c>
      <c r="AQ118">
        <v>62.49</v>
      </c>
      <c r="AR118">
        <v>60.33</v>
      </c>
      <c r="AS118">
        <v>58.17</v>
      </c>
      <c r="AT118">
        <v>60.39</v>
      </c>
      <c r="AU118">
        <f>AVERAGE(Complete_data[[#This Row],[2009]:[2019]])</f>
        <v>51.152000000000001</v>
      </c>
      <c r="AV118">
        <f>_xlfn.RANK.EQ(Complete_data[[#This Row],[Average crime rate]],Complete_data[Average crime rate],1)</f>
        <v>94</v>
      </c>
      <c r="AW118">
        <v>46</v>
      </c>
      <c r="AX118">
        <v>50</v>
      </c>
      <c r="AY118">
        <v>57</v>
      </c>
      <c r="AZ118">
        <v>66</v>
      </c>
      <c r="BA118">
        <v>73</v>
      </c>
      <c r="BB118">
        <v>80</v>
      </c>
      <c r="BC118">
        <v>83</v>
      </c>
      <c r="BD118">
        <v>81</v>
      </c>
      <c r="BE118">
        <v>77</v>
      </c>
      <c r="BF118">
        <v>66</v>
      </c>
      <c r="BG118">
        <v>54</v>
      </c>
      <c r="BH118">
        <v>50</v>
      </c>
    </row>
    <row r="119" spans="1:60" x14ac:dyDescent="0.3">
      <c r="A119" t="s">
        <v>346</v>
      </c>
      <c r="B119" t="s">
        <v>347</v>
      </c>
      <c r="C119" t="s">
        <v>348</v>
      </c>
      <c r="E119">
        <v>73</v>
      </c>
      <c r="F119">
        <v>15</v>
      </c>
      <c r="G119">
        <v>11</v>
      </c>
      <c r="H119">
        <v>24</v>
      </c>
      <c r="I119">
        <v>20</v>
      </c>
      <c r="J119">
        <v>14</v>
      </c>
      <c r="L119">
        <v>9</v>
      </c>
      <c r="M119">
        <v>1</v>
      </c>
      <c r="N119">
        <v>18</v>
      </c>
      <c r="P119">
        <v>3</v>
      </c>
      <c r="Q119">
        <f>SUM(Complete_data[[#This Row],[American]:[Indian]])</f>
        <v>188</v>
      </c>
      <c r="R119">
        <f>_xlfn.RANK.EQ(Complete_data[[#This Row],[Restaurant count]],Complete_data[Restaurant count],0)</f>
        <v>131</v>
      </c>
      <c r="S119">
        <v>24</v>
      </c>
      <c r="T119">
        <v>73</v>
      </c>
      <c r="U119" s="1">
        <v>46.583333333333336</v>
      </c>
      <c r="V119" s="1">
        <f>_xlfn.RANK.EQ(Complete_data[[#This Row],[Max Temperature]],Complete_data[Max Temperature],0)</f>
        <v>116</v>
      </c>
      <c r="W119" s="1">
        <f>_xlfn.RANK.EQ(Complete_data[[#This Row],[Min Temperature]],Complete_data[Min Temperature],0)</f>
        <v>127</v>
      </c>
      <c r="X119" s="1">
        <f>_xlfn.RANK.EQ(Complete_data[[#This Row],[Avg Temperature]],Complete_data[Avg Temperature],0)</f>
        <v>136</v>
      </c>
      <c r="Y119">
        <v>2</v>
      </c>
      <c r="Z119">
        <v>1</v>
      </c>
      <c r="AA119">
        <v>0</v>
      </c>
      <c r="AB119">
        <v>0</v>
      </c>
      <c r="AC119">
        <v>1</v>
      </c>
      <c r="AD119">
        <v>1</v>
      </c>
      <c r="AE119">
        <v>1</v>
      </c>
      <c r="AF119">
        <v>0</v>
      </c>
      <c r="AG119">
        <v>0</v>
      </c>
      <c r="AH119">
        <v>0</v>
      </c>
      <c r="AI119">
        <f>SUM(Complete_data[[#This Row],[GENERAL ACUTE CARE]:[CHRONIC DISEASE]])</f>
        <v>6</v>
      </c>
      <c r="AJ119">
        <f>_xlfn.RANK.EQ(Complete_data[[#This Row],[Hospital Count]],Complete_data[Hospital Count],0)</f>
        <v>90</v>
      </c>
      <c r="AK119">
        <v>47.71</v>
      </c>
      <c r="AL119">
        <v>47.97</v>
      </c>
      <c r="AM119">
        <v>49.52</v>
      </c>
      <c r="AN119">
        <v>57.09</v>
      </c>
      <c r="AO119">
        <v>43.25</v>
      </c>
      <c r="AP119">
        <v>43.83</v>
      </c>
      <c r="AQ119">
        <v>45.69</v>
      </c>
      <c r="AR119">
        <v>44.81</v>
      </c>
      <c r="AS119">
        <v>35.770000000000003</v>
      </c>
      <c r="AT119">
        <v>39.340000000000003</v>
      </c>
      <c r="AU119">
        <f>AVERAGE(Complete_data[[#This Row],[2009]:[2019]])</f>
        <v>45.498000000000005</v>
      </c>
      <c r="AV119">
        <f>_xlfn.RANK.EQ(Complete_data[[#This Row],[Average crime rate]],Complete_data[Average crime rate],1)</f>
        <v>69</v>
      </c>
      <c r="AW119">
        <v>25</v>
      </c>
      <c r="AX119">
        <v>24</v>
      </c>
      <c r="AY119">
        <v>36</v>
      </c>
      <c r="AZ119">
        <v>44</v>
      </c>
      <c r="BA119">
        <v>53</v>
      </c>
      <c r="BB119">
        <v>66</v>
      </c>
      <c r="BC119">
        <v>73</v>
      </c>
      <c r="BD119">
        <v>70</v>
      </c>
      <c r="BE119">
        <v>62</v>
      </c>
      <c r="BF119">
        <v>47</v>
      </c>
      <c r="BG119">
        <v>34</v>
      </c>
      <c r="BH119">
        <v>25</v>
      </c>
    </row>
    <row r="120" spans="1:60" x14ac:dyDescent="0.3">
      <c r="A120" t="s">
        <v>346</v>
      </c>
      <c r="B120" t="s">
        <v>349</v>
      </c>
      <c r="C120" t="s">
        <v>350</v>
      </c>
      <c r="E120">
        <v>120</v>
      </c>
      <c r="F120">
        <v>22</v>
      </c>
      <c r="G120">
        <v>19</v>
      </c>
      <c r="H120">
        <v>64</v>
      </c>
      <c r="I120">
        <v>35</v>
      </c>
      <c r="J120">
        <v>23</v>
      </c>
      <c r="K120">
        <v>4</v>
      </c>
      <c r="L120">
        <v>13</v>
      </c>
      <c r="M120">
        <v>1</v>
      </c>
      <c r="N120">
        <v>31</v>
      </c>
      <c r="O120">
        <v>1</v>
      </c>
      <c r="P120">
        <v>3</v>
      </c>
      <c r="Q120">
        <f>SUM(Complete_data[[#This Row],[American]:[Indian]])</f>
        <v>336</v>
      </c>
      <c r="R120">
        <f>_xlfn.RANK.EQ(Complete_data[[#This Row],[Restaurant count]],Complete_data[Restaurant count],0)</f>
        <v>113</v>
      </c>
      <c r="S120">
        <v>18</v>
      </c>
      <c r="T120">
        <v>75</v>
      </c>
      <c r="U120" s="1">
        <v>47.166666666666664</v>
      </c>
      <c r="V120" s="1">
        <f>_xlfn.RANK.EQ(Complete_data[[#This Row],[Max Temperature]],Complete_data[Max Temperature],0)</f>
        <v>94</v>
      </c>
      <c r="W120" s="1">
        <f>_xlfn.RANK.EQ(Complete_data[[#This Row],[Min Temperature]],Complete_data[Min Temperature],0)</f>
        <v>141</v>
      </c>
      <c r="X120" s="1">
        <f>_xlfn.RANK.EQ(Complete_data[[#This Row],[Avg Temperature]],Complete_data[Avg Temperature],0)</f>
        <v>133</v>
      </c>
      <c r="Y120">
        <v>2</v>
      </c>
      <c r="Z120">
        <v>2</v>
      </c>
      <c r="AA120">
        <v>1</v>
      </c>
      <c r="AB120">
        <v>1</v>
      </c>
      <c r="AC120">
        <v>2</v>
      </c>
      <c r="AD120">
        <v>0</v>
      </c>
      <c r="AE120">
        <v>0</v>
      </c>
      <c r="AF120">
        <v>1</v>
      </c>
      <c r="AG120">
        <v>0</v>
      </c>
      <c r="AH120">
        <v>0</v>
      </c>
      <c r="AI120">
        <f>SUM(Complete_data[[#This Row],[GENERAL ACUTE CARE]:[CHRONIC DISEASE]])</f>
        <v>9</v>
      </c>
      <c r="AJ120">
        <f>_xlfn.RANK.EQ(Complete_data[[#This Row],[Hospital Count]],Complete_data[Hospital Count],0)</f>
        <v>61</v>
      </c>
      <c r="AK120">
        <v>32.06</v>
      </c>
      <c r="AL120">
        <v>33.36</v>
      </c>
      <c r="AM120">
        <v>33.43</v>
      </c>
      <c r="AN120">
        <v>36.17</v>
      </c>
      <c r="AO120">
        <v>34.58</v>
      </c>
      <c r="AP120">
        <v>34.08</v>
      </c>
      <c r="AQ120">
        <v>37.9</v>
      </c>
      <c r="AR120">
        <v>33.340000000000003</v>
      </c>
      <c r="AS120">
        <v>33.89</v>
      </c>
      <c r="AT120">
        <v>35.44</v>
      </c>
      <c r="AU120">
        <f>AVERAGE(Complete_data[[#This Row],[2009]:[2019]])</f>
        <v>34.424999999999997</v>
      </c>
      <c r="AV120">
        <f>_xlfn.RANK.EQ(Complete_data[[#This Row],[Average crime rate]],Complete_data[Average crime rate],1)</f>
        <v>29</v>
      </c>
      <c r="AW120">
        <v>18</v>
      </c>
      <c r="AX120">
        <v>20</v>
      </c>
      <c r="AY120">
        <v>35</v>
      </c>
      <c r="AZ120">
        <v>47</v>
      </c>
      <c r="BA120">
        <v>58</v>
      </c>
      <c r="BB120">
        <v>70</v>
      </c>
      <c r="BC120">
        <v>75</v>
      </c>
      <c r="BD120">
        <v>71</v>
      </c>
      <c r="BE120">
        <v>64</v>
      </c>
      <c r="BF120">
        <v>50</v>
      </c>
      <c r="BG120">
        <v>35</v>
      </c>
      <c r="BH120">
        <v>23</v>
      </c>
    </row>
    <row r="121" spans="1:60" x14ac:dyDescent="0.3">
      <c r="A121" t="s">
        <v>91</v>
      </c>
      <c r="B121" t="s">
        <v>351</v>
      </c>
      <c r="C121" t="s">
        <v>352</v>
      </c>
      <c r="E121">
        <v>320</v>
      </c>
      <c r="F121">
        <v>38</v>
      </c>
      <c r="G121">
        <v>35</v>
      </c>
      <c r="H121">
        <v>126</v>
      </c>
      <c r="I121">
        <v>59</v>
      </c>
      <c r="J121">
        <v>57</v>
      </c>
      <c r="K121">
        <v>21</v>
      </c>
      <c r="L121">
        <v>26</v>
      </c>
      <c r="M121">
        <v>4</v>
      </c>
      <c r="N121">
        <v>72</v>
      </c>
      <c r="P121">
        <v>4</v>
      </c>
      <c r="Q121">
        <f>SUM(Complete_data[[#This Row],[American]:[Indian]])</f>
        <v>762</v>
      </c>
      <c r="R121">
        <f>_xlfn.RANK.EQ(Complete_data[[#This Row],[Restaurant count]],Complete_data[Restaurant count],0)</f>
        <v>79</v>
      </c>
      <c r="S121">
        <v>41</v>
      </c>
      <c r="T121">
        <v>80</v>
      </c>
      <c r="U121" s="1">
        <v>61.916666666666664</v>
      </c>
      <c r="V121" s="1">
        <f>_xlfn.RANK.EQ(Complete_data[[#This Row],[Max Temperature]],Complete_data[Max Temperature],0)</f>
        <v>50</v>
      </c>
      <c r="W121" s="1">
        <f>_xlfn.RANK.EQ(Complete_data[[#This Row],[Min Temperature]],Complete_data[Min Temperature],0)</f>
        <v>47</v>
      </c>
      <c r="X121" s="1">
        <f>_xlfn.RANK.EQ(Complete_data[[#This Row],[Avg Temperature]],Complete_data[Avg Temperature],0)</f>
        <v>46</v>
      </c>
      <c r="Y121">
        <v>7</v>
      </c>
      <c r="Z121">
        <v>0</v>
      </c>
      <c r="AA121">
        <v>0</v>
      </c>
      <c r="AB121">
        <v>1</v>
      </c>
      <c r="AC121">
        <v>1</v>
      </c>
      <c r="AD121">
        <v>2</v>
      </c>
      <c r="AE121">
        <v>0</v>
      </c>
      <c r="AF121">
        <v>0</v>
      </c>
      <c r="AG121">
        <v>0</v>
      </c>
      <c r="AH121">
        <v>0</v>
      </c>
      <c r="AI121">
        <f>SUM(Complete_data[[#This Row],[GENERAL ACUTE CARE]:[CHRONIC DISEASE]])</f>
        <v>11</v>
      </c>
      <c r="AJ121">
        <f>_xlfn.RANK.EQ(Complete_data[[#This Row],[Hospital Count]],Complete_data[Hospital Count],0)</f>
        <v>50</v>
      </c>
      <c r="AK121">
        <v>84.93</v>
      </c>
      <c r="AL121">
        <v>72.069999999999993</v>
      </c>
      <c r="AM121">
        <v>71.55</v>
      </c>
      <c r="AN121">
        <v>0</v>
      </c>
      <c r="AO121">
        <v>76.47</v>
      </c>
      <c r="AP121">
        <v>72.69</v>
      </c>
      <c r="AQ121">
        <v>69.17</v>
      </c>
      <c r="AR121">
        <v>70.61</v>
      </c>
      <c r="AS121">
        <v>71.17</v>
      </c>
      <c r="AT121">
        <v>66.41</v>
      </c>
      <c r="AU121">
        <f>AVERAGE(Complete_data[[#This Row],[2009]:[2019]])</f>
        <v>65.506999999999991</v>
      </c>
      <c r="AV121">
        <f>_xlfn.RANK.EQ(Complete_data[[#This Row],[Average crime rate]],Complete_data[Average crime rate],1)</f>
        <v>134</v>
      </c>
      <c r="AW121">
        <v>41</v>
      </c>
      <c r="AX121">
        <v>46</v>
      </c>
      <c r="AY121">
        <v>53</v>
      </c>
      <c r="AZ121">
        <v>63</v>
      </c>
      <c r="BA121">
        <v>70</v>
      </c>
      <c r="BB121">
        <v>78</v>
      </c>
      <c r="BC121">
        <v>80</v>
      </c>
      <c r="BD121">
        <v>79</v>
      </c>
      <c r="BE121">
        <v>74</v>
      </c>
      <c r="BF121">
        <v>63</v>
      </c>
      <c r="BG121">
        <v>50</v>
      </c>
      <c r="BH121">
        <v>46</v>
      </c>
    </row>
    <row r="122" spans="1:60" x14ac:dyDescent="0.3">
      <c r="A122" t="s">
        <v>91</v>
      </c>
      <c r="B122" t="s">
        <v>353</v>
      </c>
      <c r="C122" t="s">
        <v>354</v>
      </c>
      <c r="E122">
        <v>470</v>
      </c>
      <c r="F122">
        <v>51</v>
      </c>
      <c r="G122">
        <v>61</v>
      </c>
      <c r="H122">
        <v>223</v>
      </c>
      <c r="I122">
        <v>124</v>
      </c>
      <c r="J122">
        <v>105</v>
      </c>
      <c r="K122">
        <v>21</v>
      </c>
      <c r="L122">
        <v>41</v>
      </c>
      <c r="M122">
        <v>5</v>
      </c>
      <c r="N122">
        <v>112</v>
      </c>
      <c r="O122">
        <v>1</v>
      </c>
      <c r="P122">
        <v>5</v>
      </c>
      <c r="Q122">
        <f>SUM(Complete_data[[#This Row],[American]:[Indian]])</f>
        <v>1219</v>
      </c>
      <c r="R122">
        <f>_xlfn.RANK.EQ(Complete_data[[#This Row],[Restaurant count]],Complete_data[Restaurant count],0)</f>
        <v>57</v>
      </c>
      <c r="S122">
        <v>39</v>
      </c>
      <c r="T122">
        <v>78</v>
      </c>
      <c r="U122" s="1">
        <v>59.833333333333336</v>
      </c>
      <c r="V122" s="1">
        <f>_xlfn.RANK.EQ(Complete_data[[#This Row],[Max Temperature]],Complete_data[Max Temperature],0)</f>
        <v>71</v>
      </c>
      <c r="W122" s="1">
        <f>_xlfn.RANK.EQ(Complete_data[[#This Row],[Min Temperature]],Complete_data[Min Temperature],0)</f>
        <v>53</v>
      </c>
      <c r="X122" s="1">
        <f>_xlfn.RANK.EQ(Complete_data[[#This Row],[Avg Temperature]],Complete_data[Avg Temperature],0)</f>
        <v>52</v>
      </c>
      <c r="Y122">
        <v>5</v>
      </c>
      <c r="Z122">
        <v>0</v>
      </c>
      <c r="AA122">
        <v>1</v>
      </c>
      <c r="AB122">
        <v>2</v>
      </c>
      <c r="AC122">
        <v>0</v>
      </c>
      <c r="AD122">
        <v>0</v>
      </c>
      <c r="AE122">
        <v>0</v>
      </c>
      <c r="AF122">
        <v>0</v>
      </c>
      <c r="AG122">
        <v>1</v>
      </c>
      <c r="AH122">
        <v>0</v>
      </c>
      <c r="AI122">
        <f>SUM(Complete_data[[#This Row],[GENERAL ACUTE CARE]:[CHRONIC DISEASE]])</f>
        <v>9</v>
      </c>
      <c r="AJ122">
        <f>_xlfn.RANK.EQ(Complete_data[[#This Row],[Hospital Count]],Complete_data[Hospital Count],0)</f>
        <v>61</v>
      </c>
      <c r="AK122">
        <v>74.569999999999993</v>
      </c>
      <c r="AL122">
        <v>76.14</v>
      </c>
      <c r="AM122">
        <v>80.87</v>
      </c>
      <c r="AN122">
        <v>76.63</v>
      </c>
      <c r="AO122">
        <v>70.94</v>
      </c>
      <c r="AP122">
        <v>74.05</v>
      </c>
      <c r="AQ122">
        <v>69.38</v>
      </c>
      <c r="AR122">
        <v>63.45</v>
      </c>
      <c r="AS122">
        <v>54.82</v>
      </c>
      <c r="AT122">
        <v>50.23</v>
      </c>
      <c r="AU122">
        <f>AVERAGE(Complete_data[[#This Row],[2009]:[2019]])</f>
        <v>69.108000000000004</v>
      </c>
      <c r="AV122">
        <f>_xlfn.RANK.EQ(Complete_data[[#This Row],[Average crime rate]],Complete_data[Average crime rate],1)</f>
        <v>137</v>
      </c>
      <c r="AW122">
        <v>39</v>
      </c>
      <c r="AX122">
        <v>43</v>
      </c>
      <c r="AY122">
        <v>51</v>
      </c>
      <c r="AZ122">
        <v>61</v>
      </c>
      <c r="BA122">
        <v>68</v>
      </c>
      <c r="BB122">
        <v>76</v>
      </c>
      <c r="BC122">
        <v>78</v>
      </c>
      <c r="BD122">
        <v>77</v>
      </c>
      <c r="BE122">
        <v>72</v>
      </c>
      <c r="BF122">
        <v>61</v>
      </c>
      <c r="BG122">
        <v>49</v>
      </c>
      <c r="BH122">
        <v>43</v>
      </c>
    </row>
    <row r="123" spans="1:60" x14ac:dyDescent="0.3">
      <c r="A123" t="s">
        <v>91</v>
      </c>
      <c r="B123" t="s">
        <v>355</v>
      </c>
      <c r="C123" t="s">
        <v>356</v>
      </c>
      <c r="E123">
        <v>492</v>
      </c>
      <c r="F123">
        <v>54</v>
      </c>
      <c r="G123">
        <v>39</v>
      </c>
      <c r="H123">
        <v>314</v>
      </c>
      <c r="I123">
        <v>105</v>
      </c>
      <c r="J123">
        <v>87</v>
      </c>
      <c r="K123">
        <v>34</v>
      </c>
      <c r="L123">
        <v>72</v>
      </c>
      <c r="M123">
        <v>10</v>
      </c>
      <c r="N123">
        <v>137</v>
      </c>
      <c r="O123">
        <v>3</v>
      </c>
      <c r="P123">
        <v>8</v>
      </c>
      <c r="Q123">
        <f>SUM(Complete_data[[#This Row],[American]:[Indian]])</f>
        <v>1355</v>
      </c>
      <c r="R123">
        <f>_xlfn.RANK.EQ(Complete_data[[#This Row],[Restaurant count]],Complete_data[Restaurant count],0)</f>
        <v>51</v>
      </c>
      <c r="S123">
        <v>42</v>
      </c>
      <c r="T123">
        <v>83</v>
      </c>
      <c r="U123" s="1">
        <v>63.75</v>
      </c>
      <c r="V123" s="1">
        <f>_xlfn.RANK.EQ(Complete_data[[#This Row],[Max Temperature]],Complete_data[Max Temperature],0)</f>
        <v>21</v>
      </c>
      <c r="W123" s="1">
        <f>_xlfn.RANK.EQ(Complete_data[[#This Row],[Min Temperature]],Complete_data[Min Temperature],0)</f>
        <v>40</v>
      </c>
      <c r="X123" s="1">
        <f>_xlfn.RANK.EQ(Complete_data[[#This Row],[Avg Temperature]],Complete_data[Avg Temperature],0)</f>
        <v>37</v>
      </c>
      <c r="Y123">
        <v>7</v>
      </c>
      <c r="Z123">
        <v>0</v>
      </c>
      <c r="AA123">
        <v>2</v>
      </c>
      <c r="AB123">
        <v>3</v>
      </c>
      <c r="AC123">
        <v>0</v>
      </c>
      <c r="AD123">
        <v>2</v>
      </c>
      <c r="AE123">
        <v>0</v>
      </c>
      <c r="AF123">
        <v>1</v>
      </c>
      <c r="AG123">
        <v>1</v>
      </c>
      <c r="AH123">
        <v>0</v>
      </c>
      <c r="AI123">
        <f>SUM(Complete_data[[#This Row],[GENERAL ACUTE CARE]:[CHRONIC DISEASE]])</f>
        <v>16</v>
      </c>
      <c r="AJ123">
        <f>_xlfn.RANK.EQ(Complete_data[[#This Row],[Hospital Count]],Complete_data[Hospital Count],0)</f>
        <v>28</v>
      </c>
      <c r="AK123">
        <v>89.27</v>
      </c>
      <c r="AL123">
        <v>78.45</v>
      </c>
      <c r="AM123">
        <v>81.209999999999994</v>
      </c>
      <c r="AN123">
        <v>81.25</v>
      </c>
      <c r="AO123">
        <v>77.64</v>
      </c>
      <c r="AP123">
        <v>77.819999999999993</v>
      </c>
      <c r="AQ123">
        <v>74.17</v>
      </c>
      <c r="AR123">
        <v>83.57</v>
      </c>
      <c r="AS123">
        <v>83.93</v>
      </c>
      <c r="AT123">
        <v>80.819999999999993</v>
      </c>
      <c r="AU123">
        <f>AVERAGE(Complete_data[[#This Row],[2009]:[2019]])</f>
        <v>80.812999999999988</v>
      </c>
      <c r="AV123">
        <f>_xlfn.RANK.EQ(Complete_data[[#This Row],[Average crime rate]],Complete_data[Average crime rate],1)</f>
        <v>142</v>
      </c>
      <c r="AW123">
        <v>42</v>
      </c>
      <c r="AX123">
        <v>46</v>
      </c>
      <c r="AY123">
        <v>55</v>
      </c>
      <c r="AZ123">
        <v>64</v>
      </c>
      <c r="BA123">
        <v>72</v>
      </c>
      <c r="BB123">
        <v>81</v>
      </c>
      <c r="BC123">
        <v>83</v>
      </c>
      <c r="BD123">
        <v>82</v>
      </c>
      <c r="BE123">
        <v>77</v>
      </c>
      <c r="BF123">
        <v>65</v>
      </c>
      <c r="BG123">
        <v>52</v>
      </c>
      <c r="BH123">
        <v>46</v>
      </c>
    </row>
    <row r="124" spans="1:60" x14ac:dyDescent="0.3">
      <c r="A124" t="s">
        <v>83</v>
      </c>
      <c r="B124" t="s">
        <v>357</v>
      </c>
      <c r="C124" t="s">
        <v>358</v>
      </c>
      <c r="E124">
        <v>82</v>
      </c>
      <c r="F124">
        <v>10</v>
      </c>
      <c r="G124">
        <v>11</v>
      </c>
      <c r="H124">
        <v>38</v>
      </c>
      <c r="I124">
        <v>20</v>
      </c>
      <c r="J124">
        <v>26</v>
      </c>
      <c r="K124">
        <v>4</v>
      </c>
      <c r="L124">
        <v>5</v>
      </c>
      <c r="N124">
        <v>19</v>
      </c>
      <c r="P124">
        <v>1</v>
      </c>
      <c r="Q124">
        <f>SUM(Complete_data[[#This Row],[American]:[Indian]])</f>
        <v>216</v>
      </c>
      <c r="R124">
        <f>_xlfn.RANK.EQ(Complete_data[[#This Row],[Restaurant count]],Complete_data[Restaurant count],0)</f>
        <v>126</v>
      </c>
      <c r="S124">
        <v>45</v>
      </c>
      <c r="T124">
        <v>84</v>
      </c>
      <c r="U124" s="1">
        <v>65.333333333333329</v>
      </c>
      <c r="V124" s="1">
        <f>_xlfn.RANK.EQ(Complete_data[[#This Row],[Max Temperature]],Complete_data[Max Temperature],0)</f>
        <v>15</v>
      </c>
      <c r="W124" s="1">
        <f>_xlfn.RANK.EQ(Complete_data[[#This Row],[Min Temperature]],Complete_data[Min Temperature],0)</f>
        <v>36</v>
      </c>
      <c r="X124" s="1">
        <f>_xlfn.RANK.EQ(Complete_data[[#This Row],[Avg Temperature]],Complete_data[Avg Temperature],0)</f>
        <v>30</v>
      </c>
      <c r="Y124">
        <v>2</v>
      </c>
      <c r="Z124">
        <v>0</v>
      </c>
      <c r="AA124">
        <v>0</v>
      </c>
      <c r="AB124">
        <v>1</v>
      </c>
      <c r="AC124">
        <v>1</v>
      </c>
      <c r="AD124">
        <v>1</v>
      </c>
      <c r="AE124">
        <v>0</v>
      </c>
      <c r="AF124">
        <v>0</v>
      </c>
      <c r="AG124">
        <v>0</v>
      </c>
      <c r="AH124">
        <v>0</v>
      </c>
      <c r="AI124">
        <f>SUM(Complete_data[[#This Row],[GENERAL ACUTE CARE]:[CHRONIC DISEASE]])</f>
        <v>5</v>
      </c>
      <c r="AJ124">
        <f>_xlfn.RANK.EQ(Complete_data[[#This Row],[Hospital Count]],Complete_data[Hospital Count],0)</f>
        <v>99</v>
      </c>
      <c r="AK124">
        <v>47.34</v>
      </c>
      <c r="AL124">
        <v>47.04</v>
      </c>
      <c r="AM124">
        <v>40.520000000000003</v>
      </c>
      <c r="AN124">
        <v>40.729999999999997</v>
      </c>
      <c r="AO124">
        <v>44.07</v>
      </c>
      <c r="AP124">
        <v>49.24</v>
      </c>
      <c r="AQ124">
        <v>49.23</v>
      </c>
      <c r="AR124">
        <v>0</v>
      </c>
      <c r="AS124">
        <v>33.65</v>
      </c>
      <c r="AT124">
        <v>28.92</v>
      </c>
      <c r="AU124">
        <f>AVERAGE(Complete_data[[#This Row],[2009]:[2019]])</f>
        <v>38.073999999999998</v>
      </c>
      <c r="AV124">
        <f>_xlfn.RANK.EQ(Complete_data[[#This Row],[Average crime rate]],Complete_data[Average crime rate],1)</f>
        <v>42</v>
      </c>
      <c r="AW124">
        <v>45</v>
      </c>
      <c r="AX124">
        <v>48</v>
      </c>
      <c r="AY124">
        <v>58</v>
      </c>
      <c r="AZ124">
        <v>66</v>
      </c>
      <c r="BA124">
        <v>73</v>
      </c>
      <c r="BB124">
        <v>81</v>
      </c>
      <c r="BC124">
        <v>84</v>
      </c>
      <c r="BD124">
        <v>84</v>
      </c>
      <c r="BE124">
        <v>77</v>
      </c>
      <c r="BF124">
        <v>67</v>
      </c>
      <c r="BG124">
        <v>55</v>
      </c>
      <c r="BH124">
        <v>46</v>
      </c>
    </row>
    <row r="125" spans="1:60" x14ac:dyDescent="0.3">
      <c r="A125" t="s">
        <v>83</v>
      </c>
      <c r="B125" t="s">
        <v>359</v>
      </c>
      <c r="C125" t="s">
        <v>360</v>
      </c>
      <c r="E125">
        <v>108</v>
      </c>
      <c r="F125">
        <v>14</v>
      </c>
      <c r="G125">
        <v>13</v>
      </c>
      <c r="H125">
        <v>61</v>
      </c>
      <c r="I125">
        <v>31</v>
      </c>
      <c r="J125">
        <v>47</v>
      </c>
      <c r="K125">
        <v>10</v>
      </c>
      <c r="L125">
        <v>11</v>
      </c>
      <c r="M125">
        <v>1</v>
      </c>
      <c r="N125">
        <v>40</v>
      </c>
      <c r="P125">
        <v>2</v>
      </c>
      <c r="Q125">
        <f>SUM(Complete_data[[#This Row],[American]:[Indian]])</f>
        <v>338</v>
      </c>
      <c r="R125">
        <f>_xlfn.RANK.EQ(Complete_data[[#This Row],[Restaurant count]],Complete_data[Restaurant count],0)</f>
        <v>112</v>
      </c>
      <c r="S125">
        <v>37</v>
      </c>
      <c r="T125">
        <v>80</v>
      </c>
      <c r="U125" s="1">
        <v>58.416666666666664</v>
      </c>
      <c r="V125" s="1">
        <f>_xlfn.RANK.EQ(Complete_data[[#This Row],[Max Temperature]],Complete_data[Max Temperature],0)</f>
        <v>50</v>
      </c>
      <c r="W125" s="1">
        <f>_xlfn.RANK.EQ(Complete_data[[#This Row],[Min Temperature]],Complete_data[Min Temperature],0)</f>
        <v>61</v>
      </c>
      <c r="X125" s="1">
        <f>_xlfn.RANK.EQ(Complete_data[[#This Row],[Avg Temperature]],Complete_data[Avg Temperature],0)</f>
        <v>60</v>
      </c>
      <c r="Y125">
        <v>3</v>
      </c>
      <c r="Z125">
        <v>2</v>
      </c>
      <c r="AA125">
        <v>0</v>
      </c>
      <c r="AB125">
        <v>2</v>
      </c>
      <c r="AC125">
        <v>1</v>
      </c>
      <c r="AD125">
        <v>1</v>
      </c>
      <c r="AE125">
        <v>0</v>
      </c>
      <c r="AF125">
        <v>1</v>
      </c>
      <c r="AG125">
        <v>0</v>
      </c>
      <c r="AH125">
        <v>0</v>
      </c>
      <c r="AI125">
        <f>SUM(Complete_data[[#This Row],[GENERAL ACUTE CARE]:[CHRONIC DISEASE]])</f>
        <v>10</v>
      </c>
      <c r="AJ125">
        <f>_xlfn.RANK.EQ(Complete_data[[#This Row],[Hospital Count]],Complete_data[Hospital Count],0)</f>
        <v>56</v>
      </c>
      <c r="AK125">
        <v>67.25</v>
      </c>
      <c r="AL125">
        <v>64.62</v>
      </c>
      <c r="AM125">
        <v>54.88</v>
      </c>
      <c r="AN125">
        <v>52.05</v>
      </c>
      <c r="AO125">
        <v>48.28</v>
      </c>
      <c r="AP125">
        <v>54.23</v>
      </c>
      <c r="AQ125">
        <v>53.19</v>
      </c>
      <c r="AR125">
        <v>51.5</v>
      </c>
      <c r="AS125">
        <v>50.18</v>
      </c>
      <c r="AT125">
        <v>46.36</v>
      </c>
      <c r="AU125">
        <f>AVERAGE(Complete_data[[#This Row],[2009]:[2019]])</f>
        <v>54.254000000000005</v>
      </c>
      <c r="AV125">
        <f>_xlfn.RANK.EQ(Complete_data[[#This Row],[Average crime rate]],Complete_data[Average crime rate],1)</f>
        <v>101</v>
      </c>
      <c r="AW125">
        <v>37</v>
      </c>
      <c r="AX125">
        <v>39</v>
      </c>
      <c r="AY125">
        <v>50</v>
      </c>
      <c r="AZ125">
        <v>58</v>
      </c>
      <c r="BA125">
        <v>66</v>
      </c>
      <c r="BB125">
        <v>77</v>
      </c>
      <c r="BC125">
        <v>80</v>
      </c>
      <c r="BD125">
        <v>78</v>
      </c>
      <c r="BE125">
        <v>72</v>
      </c>
      <c r="BF125">
        <v>59</v>
      </c>
      <c r="BG125">
        <v>47</v>
      </c>
      <c r="BH125">
        <v>38</v>
      </c>
    </row>
    <row r="126" spans="1:60" x14ac:dyDescent="0.3">
      <c r="A126" t="s">
        <v>83</v>
      </c>
      <c r="B126" t="s">
        <v>361</v>
      </c>
      <c r="C126" t="s">
        <v>362</v>
      </c>
      <c r="E126">
        <v>53</v>
      </c>
      <c r="F126">
        <v>18</v>
      </c>
      <c r="G126">
        <v>20</v>
      </c>
      <c r="H126">
        <v>90</v>
      </c>
      <c r="I126">
        <v>21</v>
      </c>
      <c r="J126">
        <v>82</v>
      </c>
      <c r="K126">
        <v>3</v>
      </c>
      <c r="L126">
        <v>10</v>
      </c>
      <c r="M126">
        <v>6</v>
      </c>
      <c r="N126">
        <v>13</v>
      </c>
      <c r="P126">
        <v>1</v>
      </c>
      <c r="Q126">
        <f>SUM(Complete_data[[#This Row],[American]:[Indian]])</f>
        <v>317</v>
      </c>
      <c r="R126">
        <f>_xlfn.RANK.EQ(Complete_data[[#This Row],[Restaurant count]],Complete_data[Restaurant count],0)</f>
        <v>115</v>
      </c>
      <c r="S126">
        <v>61</v>
      </c>
      <c r="T126">
        <v>85</v>
      </c>
      <c r="U126" s="1">
        <v>74.75</v>
      </c>
      <c r="V126" s="1">
        <f>_xlfn.RANK.EQ(Complete_data[[#This Row],[Max Temperature]],Complete_data[Max Temperature],0)</f>
        <v>8</v>
      </c>
      <c r="W126" s="1">
        <f>_xlfn.RANK.EQ(Complete_data[[#This Row],[Min Temperature]],Complete_data[Min Temperature],0)</f>
        <v>4</v>
      </c>
      <c r="X126" s="1">
        <f>_xlfn.RANK.EQ(Complete_data[[#This Row],[Avg Temperature]],Complete_data[Avg Temperature],0)</f>
        <v>5</v>
      </c>
      <c r="Y126">
        <v>2</v>
      </c>
      <c r="Z126">
        <v>0</v>
      </c>
      <c r="AA126">
        <v>0</v>
      </c>
      <c r="AB126">
        <v>1</v>
      </c>
      <c r="AC126">
        <v>0</v>
      </c>
      <c r="AD126">
        <v>1</v>
      </c>
      <c r="AE126">
        <v>0</v>
      </c>
      <c r="AF126">
        <v>0</v>
      </c>
      <c r="AG126">
        <v>0</v>
      </c>
      <c r="AH126">
        <v>0</v>
      </c>
      <c r="AI126">
        <f>SUM(Complete_data[[#This Row],[GENERAL ACUTE CARE]:[CHRONIC DISEASE]])</f>
        <v>4</v>
      </c>
      <c r="AJ126">
        <f>_xlfn.RANK.EQ(Complete_data[[#This Row],[Hospital Count]],Complete_data[Hospital Count],0)</f>
        <v>108</v>
      </c>
      <c r="AK126">
        <v>57.18</v>
      </c>
      <c r="AL126">
        <v>55.02</v>
      </c>
      <c r="AM126">
        <v>48.72</v>
      </c>
      <c r="AN126">
        <v>48.76</v>
      </c>
      <c r="AO126">
        <v>45.82</v>
      </c>
      <c r="AP126">
        <v>44.07</v>
      </c>
      <c r="AQ126">
        <v>44.2</v>
      </c>
      <c r="AR126">
        <v>30.55</v>
      </c>
      <c r="AS126">
        <v>30.01</v>
      </c>
      <c r="AT126">
        <v>29.04</v>
      </c>
      <c r="AU126">
        <f>AVERAGE(Complete_data[[#This Row],[2009]:[2019]])</f>
        <v>43.337000000000003</v>
      </c>
      <c r="AV126">
        <f>_xlfn.RANK.EQ(Complete_data[[#This Row],[Average crime rate]],Complete_data[Average crime rate],1)</f>
        <v>59</v>
      </c>
      <c r="AW126">
        <v>61</v>
      </c>
      <c r="AX126">
        <v>65</v>
      </c>
      <c r="AY126">
        <v>70</v>
      </c>
      <c r="AZ126">
        <v>76</v>
      </c>
      <c r="BA126">
        <v>80</v>
      </c>
      <c r="BB126">
        <v>84</v>
      </c>
      <c r="BC126">
        <v>85</v>
      </c>
      <c r="BD126">
        <v>85</v>
      </c>
      <c r="BE126">
        <v>82</v>
      </c>
      <c r="BF126">
        <v>76</v>
      </c>
      <c r="BG126">
        <v>69</v>
      </c>
      <c r="BH126">
        <v>64</v>
      </c>
    </row>
    <row r="127" spans="1:60" x14ac:dyDescent="0.3">
      <c r="A127" t="s">
        <v>83</v>
      </c>
      <c r="B127" t="s">
        <v>363</v>
      </c>
      <c r="C127" t="s">
        <v>364</v>
      </c>
      <c r="E127">
        <v>159</v>
      </c>
      <c r="F127">
        <v>27</v>
      </c>
      <c r="G127">
        <v>23</v>
      </c>
      <c r="H127">
        <v>106</v>
      </c>
      <c r="I127">
        <v>42</v>
      </c>
      <c r="J127">
        <v>83</v>
      </c>
      <c r="K127">
        <v>13</v>
      </c>
      <c r="L127">
        <v>24</v>
      </c>
      <c r="M127">
        <v>4</v>
      </c>
      <c r="N127">
        <v>48</v>
      </c>
      <c r="O127">
        <v>1</v>
      </c>
      <c r="P127">
        <v>1</v>
      </c>
      <c r="Q127">
        <f>SUM(Complete_data[[#This Row],[American]:[Indian]])</f>
        <v>531</v>
      </c>
      <c r="R127">
        <f>_xlfn.RANK.EQ(Complete_data[[#This Row],[Restaurant count]],Complete_data[Restaurant count],0)</f>
        <v>92</v>
      </c>
      <c r="S127">
        <v>57</v>
      </c>
      <c r="T127">
        <v>85</v>
      </c>
      <c r="U127" s="1">
        <v>72.583333333333329</v>
      </c>
      <c r="V127" s="1">
        <f>_xlfn.RANK.EQ(Complete_data[[#This Row],[Max Temperature]],Complete_data[Max Temperature],0)</f>
        <v>8</v>
      </c>
      <c r="W127" s="1">
        <f>_xlfn.RANK.EQ(Complete_data[[#This Row],[Min Temperature]],Complete_data[Min Temperature],0)</f>
        <v>9</v>
      </c>
      <c r="X127" s="1">
        <f>_xlfn.RANK.EQ(Complete_data[[#This Row],[Avg Temperature]],Complete_data[Avg Temperature],0)</f>
        <v>7</v>
      </c>
      <c r="Y127">
        <v>8</v>
      </c>
      <c r="Z127">
        <v>1</v>
      </c>
      <c r="AA127">
        <v>1</v>
      </c>
      <c r="AB127">
        <v>1</v>
      </c>
      <c r="AC127">
        <v>1</v>
      </c>
      <c r="AD127">
        <v>1</v>
      </c>
      <c r="AE127">
        <v>0</v>
      </c>
      <c r="AF127">
        <v>0</v>
      </c>
      <c r="AG127">
        <v>0</v>
      </c>
      <c r="AH127">
        <v>0</v>
      </c>
      <c r="AI127">
        <f>SUM(Complete_data[[#This Row],[GENERAL ACUTE CARE]:[CHRONIC DISEASE]])</f>
        <v>13</v>
      </c>
      <c r="AJ127">
        <f>_xlfn.RANK.EQ(Complete_data[[#This Row],[Hospital Count]],Complete_data[Hospital Count],0)</f>
        <v>41</v>
      </c>
      <c r="AK127">
        <v>64.55</v>
      </c>
      <c r="AL127">
        <v>60.07</v>
      </c>
      <c r="AM127">
        <v>54.4</v>
      </c>
      <c r="AN127">
        <v>51.69</v>
      </c>
      <c r="AO127">
        <v>52.73</v>
      </c>
      <c r="AP127">
        <v>50.92</v>
      </c>
      <c r="AQ127">
        <v>41.29</v>
      </c>
      <c r="AR127">
        <v>42.85</v>
      </c>
      <c r="AS127">
        <v>44.23</v>
      </c>
      <c r="AT127">
        <v>42.62</v>
      </c>
      <c r="AU127">
        <f>AVERAGE(Complete_data[[#This Row],[2009]:[2019]])</f>
        <v>50.535000000000011</v>
      </c>
      <c r="AV127">
        <f>_xlfn.RANK.EQ(Complete_data[[#This Row],[Average crime rate]],Complete_data[Average crime rate],1)</f>
        <v>91</v>
      </c>
      <c r="AW127">
        <v>57</v>
      </c>
      <c r="AX127">
        <v>61</v>
      </c>
      <c r="AY127">
        <v>67</v>
      </c>
      <c r="AZ127">
        <v>73</v>
      </c>
      <c r="BA127">
        <v>78</v>
      </c>
      <c r="BB127">
        <v>83</v>
      </c>
      <c r="BC127">
        <v>84</v>
      </c>
      <c r="BD127">
        <v>85</v>
      </c>
      <c r="BE127">
        <v>82</v>
      </c>
      <c r="BF127">
        <v>75</v>
      </c>
      <c r="BG127">
        <v>66</v>
      </c>
      <c r="BH127">
        <v>60</v>
      </c>
    </row>
    <row r="128" spans="1:60" x14ac:dyDescent="0.3">
      <c r="A128" t="s">
        <v>83</v>
      </c>
      <c r="B128" t="s">
        <v>365</v>
      </c>
      <c r="C128" t="s">
        <v>366</v>
      </c>
      <c r="E128">
        <v>2373</v>
      </c>
      <c r="F128">
        <v>427</v>
      </c>
      <c r="G128">
        <v>326</v>
      </c>
      <c r="H128">
        <v>2157</v>
      </c>
      <c r="I128">
        <v>808</v>
      </c>
      <c r="J128">
        <v>1029</v>
      </c>
      <c r="K128">
        <v>178</v>
      </c>
      <c r="L128">
        <v>332</v>
      </c>
      <c r="M128">
        <v>66</v>
      </c>
      <c r="N128">
        <v>1002</v>
      </c>
      <c r="O128">
        <v>20</v>
      </c>
      <c r="P128">
        <v>105</v>
      </c>
      <c r="Q128">
        <f>SUM(Complete_data[[#This Row],[American]:[Indian]])</f>
        <v>8823</v>
      </c>
      <c r="R128">
        <f>_xlfn.RANK.EQ(Complete_data[[#This Row],[Restaurant count]],Complete_data[Restaurant count],0)</f>
        <v>8</v>
      </c>
      <c r="S128">
        <v>47</v>
      </c>
      <c r="T128">
        <v>87</v>
      </c>
      <c r="U128" s="1">
        <v>67.5</v>
      </c>
      <c r="V128" s="1">
        <f>_xlfn.RANK.EQ(Complete_data[[#This Row],[Max Temperature]],Complete_data[Max Temperature],0)</f>
        <v>4</v>
      </c>
      <c r="W128" s="1">
        <f>_xlfn.RANK.EQ(Complete_data[[#This Row],[Min Temperature]],Complete_data[Min Temperature],0)</f>
        <v>26</v>
      </c>
      <c r="X128" s="1">
        <f>_xlfn.RANK.EQ(Complete_data[[#This Row],[Avg Temperature]],Complete_data[Avg Temperature],0)</f>
        <v>18</v>
      </c>
      <c r="Y128">
        <v>14</v>
      </c>
      <c r="Z128">
        <v>2</v>
      </c>
      <c r="AA128">
        <v>2</v>
      </c>
      <c r="AB128">
        <v>8</v>
      </c>
      <c r="AC128">
        <v>2</v>
      </c>
      <c r="AD128">
        <v>3</v>
      </c>
      <c r="AE128">
        <v>0</v>
      </c>
      <c r="AF128">
        <v>1</v>
      </c>
      <c r="AG128">
        <v>0</v>
      </c>
      <c r="AH128">
        <v>0</v>
      </c>
      <c r="AI128">
        <f>SUM(Complete_data[[#This Row],[GENERAL ACUTE CARE]:[CHRONIC DISEASE]])</f>
        <v>32</v>
      </c>
      <c r="AJ128">
        <f>_xlfn.RANK.EQ(Complete_data[[#This Row],[Hospital Count]],Complete_data[Hospital Count],0)</f>
        <v>6</v>
      </c>
      <c r="AK128">
        <v>63.82</v>
      </c>
      <c r="AL128">
        <v>56.57</v>
      </c>
      <c r="AM128">
        <v>57.88</v>
      </c>
      <c r="AN128">
        <v>50.95</v>
      </c>
      <c r="AO128">
        <v>48.65</v>
      </c>
      <c r="AP128">
        <v>42.84</v>
      </c>
      <c r="AQ128">
        <v>41.61</v>
      </c>
      <c r="AR128">
        <v>39.86</v>
      </c>
      <c r="AS128">
        <v>40.28</v>
      </c>
      <c r="AT128">
        <v>41.95</v>
      </c>
      <c r="AU128">
        <f>AVERAGE(Complete_data[[#This Row],[2009]:[2019]])</f>
        <v>48.441000000000003</v>
      </c>
      <c r="AV128">
        <f>_xlfn.RANK.EQ(Complete_data[[#This Row],[Average crime rate]],Complete_data[Average crime rate],1)</f>
        <v>81</v>
      </c>
      <c r="AW128">
        <v>47</v>
      </c>
      <c r="AX128">
        <v>50</v>
      </c>
      <c r="AY128">
        <v>60</v>
      </c>
      <c r="AZ128">
        <v>67</v>
      </c>
      <c r="BA128">
        <v>74</v>
      </c>
      <c r="BB128">
        <v>83</v>
      </c>
      <c r="BC128">
        <v>86</v>
      </c>
      <c r="BD128">
        <v>87</v>
      </c>
      <c r="BE128">
        <v>81</v>
      </c>
      <c r="BF128">
        <v>69</v>
      </c>
      <c r="BG128">
        <v>57</v>
      </c>
      <c r="BH128">
        <v>49</v>
      </c>
    </row>
    <row r="129" spans="1:60" x14ac:dyDescent="0.3">
      <c r="A129" t="s">
        <v>83</v>
      </c>
      <c r="B129" t="s">
        <v>367</v>
      </c>
      <c r="C129" t="s">
        <v>368</v>
      </c>
      <c r="E129">
        <v>209</v>
      </c>
      <c r="F129">
        <v>57</v>
      </c>
      <c r="G129">
        <v>43</v>
      </c>
      <c r="H129">
        <v>294</v>
      </c>
      <c r="I129">
        <v>64</v>
      </c>
      <c r="J129">
        <v>238</v>
      </c>
      <c r="K129">
        <v>12</v>
      </c>
      <c r="L129">
        <v>44</v>
      </c>
      <c r="M129">
        <v>18</v>
      </c>
      <c r="N129">
        <v>98</v>
      </c>
      <c r="O129">
        <v>5</v>
      </c>
      <c r="P129">
        <v>4</v>
      </c>
      <c r="Q129">
        <f>SUM(Complete_data[[#This Row],[American]:[Indian]])</f>
        <v>1086</v>
      </c>
      <c r="R129">
        <f>_xlfn.RANK.EQ(Complete_data[[#This Row],[Restaurant count]],Complete_data[Restaurant count],0)</f>
        <v>61</v>
      </c>
      <c r="S129">
        <v>46</v>
      </c>
      <c r="T129">
        <v>87</v>
      </c>
      <c r="U129" s="1">
        <v>67.416666666666671</v>
      </c>
      <c r="V129" s="1">
        <f>_xlfn.RANK.EQ(Complete_data[[#This Row],[Max Temperature]],Complete_data[Max Temperature],0)</f>
        <v>4</v>
      </c>
      <c r="W129" s="1">
        <f>_xlfn.RANK.EQ(Complete_data[[#This Row],[Min Temperature]],Complete_data[Min Temperature],0)</f>
        <v>31</v>
      </c>
      <c r="X129" s="1">
        <f>_xlfn.RANK.EQ(Complete_data[[#This Row],[Avg Temperature]],Complete_data[Avg Temperature],0)</f>
        <v>19</v>
      </c>
      <c r="Y129">
        <v>8</v>
      </c>
      <c r="Z129">
        <v>1</v>
      </c>
      <c r="AA129">
        <v>1</v>
      </c>
      <c r="AB129">
        <v>3</v>
      </c>
      <c r="AC129">
        <v>2</v>
      </c>
      <c r="AD129">
        <v>2</v>
      </c>
      <c r="AE129">
        <v>0</v>
      </c>
      <c r="AF129">
        <v>1</v>
      </c>
      <c r="AG129">
        <v>0</v>
      </c>
      <c r="AH129">
        <v>0</v>
      </c>
      <c r="AI129">
        <f>SUM(Complete_data[[#This Row],[GENERAL ACUTE CARE]:[CHRONIC DISEASE]])</f>
        <v>18</v>
      </c>
      <c r="AJ129">
        <f>_xlfn.RANK.EQ(Complete_data[[#This Row],[Hospital Count]],Complete_data[Hospital Count],0)</f>
        <v>19</v>
      </c>
      <c r="AK129">
        <v>34.69</v>
      </c>
      <c r="AL129">
        <v>32.619999999999997</v>
      </c>
      <c r="AM129">
        <v>29.1</v>
      </c>
      <c r="AN129">
        <v>28.66</v>
      </c>
      <c r="AO129">
        <v>26.71</v>
      </c>
      <c r="AP129">
        <v>25.41</v>
      </c>
      <c r="AQ129">
        <v>22.89</v>
      </c>
      <c r="AR129">
        <v>22.03</v>
      </c>
      <c r="AS129">
        <v>18.8</v>
      </c>
      <c r="AT129">
        <v>18.68</v>
      </c>
      <c r="AU129">
        <f>AVERAGE(Complete_data[[#This Row],[2009]:[2019]])</f>
        <v>25.958999999999996</v>
      </c>
      <c r="AV129">
        <f>_xlfn.RANK.EQ(Complete_data[[#This Row],[Average crime rate]],Complete_data[Average crime rate],1)</f>
        <v>13</v>
      </c>
      <c r="AW129">
        <v>46</v>
      </c>
      <c r="AX129">
        <v>52</v>
      </c>
      <c r="AY129">
        <v>61</v>
      </c>
      <c r="AZ129">
        <v>69</v>
      </c>
      <c r="BA129">
        <v>76</v>
      </c>
      <c r="BB129">
        <v>87</v>
      </c>
      <c r="BC129">
        <v>85</v>
      </c>
      <c r="BD129">
        <v>84</v>
      </c>
      <c r="BE129">
        <v>78</v>
      </c>
      <c r="BF129">
        <v>68</v>
      </c>
      <c r="BG129">
        <v>56</v>
      </c>
      <c r="BH129">
        <v>47</v>
      </c>
    </row>
    <row r="130" spans="1:60" x14ac:dyDescent="0.3">
      <c r="A130" t="s">
        <v>83</v>
      </c>
      <c r="B130" t="s">
        <v>369</v>
      </c>
      <c r="C130" t="s">
        <v>370</v>
      </c>
      <c r="E130">
        <v>1711</v>
      </c>
      <c r="F130">
        <v>470</v>
      </c>
      <c r="G130">
        <v>268</v>
      </c>
      <c r="H130">
        <v>2375</v>
      </c>
      <c r="I130">
        <v>622</v>
      </c>
      <c r="J130">
        <v>970</v>
      </c>
      <c r="K130">
        <v>145</v>
      </c>
      <c r="L130">
        <v>300</v>
      </c>
      <c r="M130">
        <v>39</v>
      </c>
      <c r="N130">
        <v>991</v>
      </c>
      <c r="O130">
        <v>33</v>
      </c>
      <c r="P130">
        <v>88</v>
      </c>
      <c r="Q130">
        <f>SUM(Complete_data[[#This Row],[American]:[Indian]])</f>
        <v>8012</v>
      </c>
      <c r="R130">
        <f>_xlfn.RANK.EQ(Complete_data[[#This Row],[Restaurant count]],Complete_data[Restaurant count],0)</f>
        <v>9</v>
      </c>
      <c r="S130">
        <v>53</v>
      </c>
      <c r="T130">
        <v>85</v>
      </c>
      <c r="U130" s="1">
        <v>70.166666666666671</v>
      </c>
      <c r="V130" s="1">
        <f>_xlfn.RANK.EQ(Complete_data[[#This Row],[Max Temperature]],Complete_data[Max Temperature],0)</f>
        <v>8</v>
      </c>
      <c r="W130" s="1">
        <f>_xlfn.RANK.EQ(Complete_data[[#This Row],[Min Temperature]],Complete_data[Min Temperature],0)</f>
        <v>12</v>
      </c>
      <c r="X130" s="1">
        <f>_xlfn.RANK.EQ(Complete_data[[#This Row],[Avg Temperature]],Complete_data[Avg Temperature],0)</f>
        <v>12</v>
      </c>
      <c r="Y130">
        <v>30</v>
      </c>
      <c r="Z130">
        <v>4</v>
      </c>
      <c r="AA130">
        <v>2</v>
      </c>
      <c r="AB130">
        <v>8</v>
      </c>
      <c r="AC130">
        <v>11</v>
      </c>
      <c r="AD130">
        <v>3</v>
      </c>
      <c r="AE130">
        <v>0</v>
      </c>
      <c r="AF130">
        <v>1</v>
      </c>
      <c r="AG130">
        <v>0</v>
      </c>
      <c r="AH130">
        <v>0</v>
      </c>
      <c r="AI130">
        <f>SUM(Complete_data[[#This Row],[GENERAL ACUTE CARE]:[CHRONIC DISEASE]])</f>
        <v>59</v>
      </c>
      <c r="AJ130">
        <f>_xlfn.RANK.EQ(Complete_data[[#This Row],[Hospital Count]],Complete_data[Hospital Count],0)</f>
        <v>1</v>
      </c>
      <c r="AK130">
        <v>64.86</v>
      </c>
      <c r="AL130">
        <v>60.8</v>
      </c>
      <c r="AM130">
        <v>60.64</v>
      </c>
      <c r="AN130">
        <v>59.73</v>
      </c>
      <c r="AO130">
        <v>60.82</v>
      </c>
      <c r="AP130">
        <v>57.17</v>
      </c>
      <c r="AQ130">
        <v>53.94</v>
      </c>
      <c r="AR130">
        <v>52.52</v>
      </c>
      <c r="AS130">
        <v>0</v>
      </c>
      <c r="AT130">
        <v>54.12</v>
      </c>
      <c r="AU130">
        <f>AVERAGE(Complete_data[[#This Row],[2009]:[2019]])</f>
        <v>52.46</v>
      </c>
      <c r="AV130">
        <f>_xlfn.RANK.EQ(Complete_data[[#This Row],[Average crime rate]],Complete_data[Average crime rate],1)</f>
        <v>96</v>
      </c>
      <c r="AW130">
        <v>53</v>
      </c>
      <c r="AX130">
        <v>57</v>
      </c>
      <c r="AY130">
        <v>64</v>
      </c>
      <c r="AZ130">
        <v>70</v>
      </c>
      <c r="BA130">
        <v>76</v>
      </c>
      <c r="BB130">
        <v>83</v>
      </c>
      <c r="BC130">
        <v>84</v>
      </c>
      <c r="BD130">
        <v>85</v>
      </c>
      <c r="BE130">
        <v>80</v>
      </c>
      <c r="BF130">
        <v>72</v>
      </c>
      <c r="BG130">
        <v>62</v>
      </c>
      <c r="BH130">
        <v>56</v>
      </c>
    </row>
    <row r="131" spans="1:60" x14ac:dyDescent="0.3">
      <c r="A131" t="s">
        <v>83</v>
      </c>
      <c r="B131" t="s">
        <v>371</v>
      </c>
      <c r="C131" t="s">
        <v>372</v>
      </c>
      <c r="E131">
        <v>158</v>
      </c>
      <c r="F131">
        <v>24</v>
      </c>
      <c r="G131">
        <v>21</v>
      </c>
      <c r="H131">
        <v>94</v>
      </c>
      <c r="I131">
        <v>30</v>
      </c>
      <c r="J131">
        <v>57</v>
      </c>
      <c r="K131">
        <v>12</v>
      </c>
      <c r="L131">
        <v>20</v>
      </c>
      <c r="M131">
        <v>5</v>
      </c>
      <c r="N131">
        <v>40</v>
      </c>
      <c r="P131">
        <v>2</v>
      </c>
      <c r="Q131">
        <f>SUM(Complete_data[[#This Row],[American]:[Indian]])</f>
        <v>463</v>
      </c>
      <c r="R131">
        <f>_xlfn.RANK.EQ(Complete_data[[#This Row],[Restaurant count]],Complete_data[Restaurant count],0)</f>
        <v>99</v>
      </c>
      <c r="S131">
        <v>40</v>
      </c>
      <c r="T131">
        <v>81</v>
      </c>
      <c r="U131" s="1">
        <v>61.416666666666664</v>
      </c>
      <c r="V131" s="1">
        <f>_xlfn.RANK.EQ(Complete_data[[#This Row],[Max Temperature]],Complete_data[Max Temperature],0)</f>
        <v>39</v>
      </c>
      <c r="W131" s="1">
        <f>_xlfn.RANK.EQ(Complete_data[[#This Row],[Min Temperature]],Complete_data[Min Temperature],0)</f>
        <v>51</v>
      </c>
      <c r="X131" s="1">
        <f>_xlfn.RANK.EQ(Complete_data[[#This Row],[Avg Temperature]],Complete_data[Avg Temperature],0)</f>
        <v>47</v>
      </c>
      <c r="Y131">
        <v>4</v>
      </c>
      <c r="Z131">
        <v>1</v>
      </c>
      <c r="AA131">
        <v>1</v>
      </c>
      <c r="AB131">
        <v>1</v>
      </c>
      <c r="AC131">
        <v>1</v>
      </c>
      <c r="AD131">
        <v>1</v>
      </c>
      <c r="AE131">
        <v>0</v>
      </c>
      <c r="AF131">
        <v>0</v>
      </c>
      <c r="AG131">
        <v>0</v>
      </c>
      <c r="AH131">
        <v>0</v>
      </c>
      <c r="AI131">
        <f>SUM(Complete_data[[#This Row],[GENERAL ACUTE CARE]:[CHRONIC DISEASE]])</f>
        <v>9</v>
      </c>
      <c r="AJ131">
        <f>_xlfn.RANK.EQ(Complete_data[[#This Row],[Hospital Count]],Complete_data[Hospital Count],0)</f>
        <v>61</v>
      </c>
      <c r="AK131">
        <v>68.010000000000005</v>
      </c>
      <c r="AL131">
        <v>63.4</v>
      </c>
      <c r="AM131">
        <v>59.44</v>
      </c>
      <c r="AN131">
        <v>60.2</v>
      </c>
      <c r="AO131">
        <v>56.43</v>
      </c>
      <c r="AP131">
        <v>52.71</v>
      </c>
      <c r="AQ131">
        <v>59.86</v>
      </c>
      <c r="AR131">
        <v>0</v>
      </c>
      <c r="AS131">
        <v>55.81</v>
      </c>
      <c r="AT131">
        <v>56.47</v>
      </c>
      <c r="AU131">
        <f>AVERAGE(Complete_data[[#This Row],[2009]:[2019]])</f>
        <v>53.233000000000004</v>
      </c>
      <c r="AV131">
        <f>_xlfn.RANK.EQ(Complete_data[[#This Row],[Average crime rate]],Complete_data[Average crime rate],1)</f>
        <v>97</v>
      </c>
      <c r="AW131">
        <v>40</v>
      </c>
      <c r="AX131">
        <v>44</v>
      </c>
      <c r="AY131">
        <v>54</v>
      </c>
      <c r="AZ131">
        <v>62</v>
      </c>
      <c r="BA131">
        <v>70</v>
      </c>
      <c r="BB131">
        <v>80</v>
      </c>
      <c r="BC131">
        <v>81</v>
      </c>
      <c r="BD131">
        <v>80</v>
      </c>
      <c r="BE131">
        <v>73</v>
      </c>
      <c r="BF131">
        <v>62</v>
      </c>
      <c r="BG131">
        <v>50</v>
      </c>
      <c r="BH131">
        <v>41</v>
      </c>
    </row>
    <row r="132" spans="1:60" x14ac:dyDescent="0.3">
      <c r="A132" t="s">
        <v>83</v>
      </c>
      <c r="B132" t="s">
        <v>373</v>
      </c>
      <c r="C132" t="s">
        <v>374</v>
      </c>
      <c r="E132">
        <v>119</v>
      </c>
      <c r="F132">
        <v>15</v>
      </c>
      <c r="G132">
        <v>17</v>
      </c>
      <c r="H132">
        <v>97</v>
      </c>
      <c r="I132">
        <v>38</v>
      </c>
      <c r="J132">
        <v>95</v>
      </c>
      <c r="K132">
        <v>15</v>
      </c>
      <c r="L132">
        <v>17</v>
      </c>
      <c r="M132">
        <v>1</v>
      </c>
      <c r="N132">
        <v>25</v>
      </c>
      <c r="Q132">
        <f>SUM(Complete_data[[#This Row],[American]:[Indian]])</f>
        <v>439</v>
      </c>
      <c r="R132">
        <f>_xlfn.RANK.EQ(Complete_data[[#This Row],[Restaurant count]],Complete_data[Restaurant count],0)</f>
        <v>103</v>
      </c>
      <c r="S132">
        <v>44</v>
      </c>
      <c r="T132">
        <v>84</v>
      </c>
      <c r="U132" s="1">
        <v>65.75</v>
      </c>
      <c r="V132" s="1">
        <f>_xlfn.RANK.EQ(Complete_data[[#This Row],[Max Temperature]],Complete_data[Max Temperature],0)</f>
        <v>15</v>
      </c>
      <c r="W132" s="1">
        <f>_xlfn.RANK.EQ(Complete_data[[#This Row],[Min Temperature]],Complete_data[Min Temperature],0)</f>
        <v>37</v>
      </c>
      <c r="X132" s="1">
        <f>_xlfn.RANK.EQ(Complete_data[[#This Row],[Avg Temperature]],Complete_data[Avg Temperature],0)</f>
        <v>29</v>
      </c>
      <c r="Y132">
        <v>4</v>
      </c>
      <c r="Z132">
        <v>0</v>
      </c>
      <c r="AA132">
        <v>0</v>
      </c>
      <c r="AB132">
        <v>2</v>
      </c>
      <c r="AC132">
        <v>1</v>
      </c>
      <c r="AD132">
        <v>1</v>
      </c>
      <c r="AE132">
        <v>0</v>
      </c>
      <c r="AF132">
        <v>0</v>
      </c>
      <c r="AG132">
        <v>0</v>
      </c>
      <c r="AH132">
        <v>0</v>
      </c>
      <c r="AI132">
        <f>SUM(Complete_data[[#This Row],[GENERAL ACUTE CARE]:[CHRONIC DISEASE]])</f>
        <v>8</v>
      </c>
      <c r="AJ132">
        <f>_xlfn.RANK.EQ(Complete_data[[#This Row],[Hospital Count]],Complete_data[Hospital Count],0)</f>
        <v>69</v>
      </c>
      <c r="AK132">
        <v>89.72</v>
      </c>
      <c r="AL132">
        <v>78.599999999999994</v>
      </c>
      <c r="AM132">
        <v>70.23</v>
      </c>
      <c r="AN132">
        <v>76.239999999999995</v>
      </c>
      <c r="AO132">
        <v>79.47</v>
      </c>
      <c r="AP132">
        <v>75.61</v>
      </c>
      <c r="AQ132">
        <v>77.599999999999994</v>
      </c>
      <c r="AR132">
        <v>56.18</v>
      </c>
      <c r="AS132">
        <v>56.62</v>
      </c>
      <c r="AT132">
        <v>39.869999999999997</v>
      </c>
      <c r="AU132">
        <f>AVERAGE(Complete_data[[#This Row],[2009]:[2019]])</f>
        <v>70.013999999999996</v>
      </c>
      <c r="AV132">
        <f>_xlfn.RANK.EQ(Complete_data[[#This Row],[Average crime rate]],Complete_data[Average crime rate],1)</f>
        <v>138</v>
      </c>
      <c r="AW132">
        <v>44</v>
      </c>
      <c r="AX132">
        <v>49</v>
      </c>
      <c r="AY132">
        <v>59</v>
      </c>
      <c r="AZ132">
        <v>67</v>
      </c>
      <c r="BA132">
        <v>75</v>
      </c>
      <c r="BB132">
        <v>83</v>
      </c>
      <c r="BC132">
        <v>84</v>
      </c>
      <c r="BD132">
        <v>84</v>
      </c>
      <c r="BE132">
        <v>77</v>
      </c>
      <c r="BF132">
        <v>67</v>
      </c>
      <c r="BG132">
        <v>54</v>
      </c>
      <c r="BH132">
        <v>46</v>
      </c>
    </row>
    <row r="133" spans="1:60" x14ac:dyDescent="0.3">
      <c r="A133" t="s">
        <v>83</v>
      </c>
      <c r="B133" t="s">
        <v>375</v>
      </c>
      <c r="C133" t="s">
        <v>376</v>
      </c>
      <c r="E133">
        <v>66</v>
      </c>
      <c r="F133">
        <v>8</v>
      </c>
      <c r="G133">
        <v>11</v>
      </c>
      <c r="H133">
        <v>31</v>
      </c>
      <c r="I133">
        <v>13</v>
      </c>
      <c r="J133">
        <v>30</v>
      </c>
      <c r="K133">
        <v>5</v>
      </c>
      <c r="L133">
        <v>10</v>
      </c>
      <c r="M133">
        <v>1</v>
      </c>
      <c r="N133">
        <v>13</v>
      </c>
      <c r="Q133">
        <f>SUM(Complete_data[[#This Row],[American]:[Indian]])</f>
        <v>188</v>
      </c>
      <c r="R133">
        <f>_xlfn.RANK.EQ(Complete_data[[#This Row],[Restaurant count]],Complete_data[Restaurant count],0)</f>
        <v>131</v>
      </c>
      <c r="S133">
        <v>46</v>
      </c>
      <c r="T133">
        <v>85</v>
      </c>
      <c r="U133" s="1">
        <v>67</v>
      </c>
      <c r="V133" s="1">
        <f>_xlfn.RANK.EQ(Complete_data[[#This Row],[Max Temperature]],Complete_data[Max Temperature],0)</f>
        <v>8</v>
      </c>
      <c r="W133" s="1">
        <f>_xlfn.RANK.EQ(Complete_data[[#This Row],[Min Temperature]],Complete_data[Min Temperature],0)</f>
        <v>31</v>
      </c>
      <c r="X133" s="1">
        <f>_xlfn.RANK.EQ(Complete_data[[#This Row],[Avg Temperature]],Complete_data[Avg Temperature],0)</f>
        <v>23</v>
      </c>
      <c r="Y133">
        <v>3</v>
      </c>
      <c r="Z133">
        <v>0</v>
      </c>
      <c r="AA133">
        <v>0</v>
      </c>
      <c r="AB133">
        <v>0</v>
      </c>
      <c r="AC133">
        <v>1</v>
      </c>
      <c r="AD133">
        <v>0</v>
      </c>
      <c r="AE133">
        <v>0</v>
      </c>
      <c r="AF133">
        <v>0</v>
      </c>
      <c r="AG133">
        <v>0</v>
      </c>
      <c r="AH133">
        <v>0</v>
      </c>
      <c r="AI133">
        <f>SUM(Complete_data[[#This Row],[GENERAL ACUTE CARE]:[CHRONIC DISEASE]])</f>
        <v>4</v>
      </c>
      <c r="AJ133">
        <f>_xlfn.RANK.EQ(Complete_data[[#This Row],[Hospital Count]],Complete_data[Hospital Count],0)</f>
        <v>108</v>
      </c>
      <c r="AK133">
        <v>50.18</v>
      </c>
      <c r="AL133">
        <v>48.37</v>
      </c>
      <c r="AM133">
        <v>40.869999999999997</v>
      </c>
      <c r="AN133">
        <v>0</v>
      </c>
      <c r="AO133">
        <v>40.01</v>
      </c>
      <c r="AP133">
        <v>41.87</v>
      </c>
      <c r="AQ133">
        <v>44.46</v>
      </c>
      <c r="AR133">
        <v>47</v>
      </c>
      <c r="AS133">
        <v>37.19</v>
      </c>
      <c r="AT133">
        <v>34.99</v>
      </c>
      <c r="AU133">
        <f>AVERAGE(Complete_data[[#This Row],[2009]:[2019]])</f>
        <v>38.494</v>
      </c>
      <c r="AV133">
        <f>_xlfn.RANK.EQ(Complete_data[[#This Row],[Average crime rate]],Complete_data[Average crime rate],1)</f>
        <v>44</v>
      </c>
      <c r="AW133">
        <v>46</v>
      </c>
      <c r="AX133">
        <v>51</v>
      </c>
      <c r="AY133">
        <v>60</v>
      </c>
      <c r="AZ133">
        <v>68</v>
      </c>
      <c r="BA133">
        <v>75</v>
      </c>
      <c r="BB133">
        <v>83</v>
      </c>
      <c r="BC133">
        <v>85</v>
      </c>
      <c r="BD133">
        <v>85</v>
      </c>
      <c r="BE133">
        <v>78</v>
      </c>
      <c r="BF133">
        <v>68</v>
      </c>
      <c r="BG133">
        <v>56</v>
      </c>
      <c r="BH133">
        <v>49</v>
      </c>
    </row>
    <row r="134" spans="1:60" x14ac:dyDescent="0.3">
      <c r="A134" t="s">
        <v>83</v>
      </c>
      <c r="B134" t="s">
        <v>377</v>
      </c>
      <c r="C134" t="s">
        <v>378</v>
      </c>
      <c r="E134">
        <v>734</v>
      </c>
      <c r="F134">
        <v>176</v>
      </c>
      <c r="G134">
        <v>119</v>
      </c>
      <c r="H134">
        <v>681</v>
      </c>
      <c r="I134">
        <v>240</v>
      </c>
      <c r="J134">
        <v>634</v>
      </c>
      <c r="K134">
        <v>68</v>
      </c>
      <c r="L134">
        <v>128</v>
      </c>
      <c r="M134">
        <v>15</v>
      </c>
      <c r="N134">
        <v>324</v>
      </c>
      <c r="O134">
        <v>3</v>
      </c>
      <c r="P134">
        <v>9</v>
      </c>
      <c r="Q134">
        <f>SUM(Complete_data[[#This Row],[American]:[Indian]])</f>
        <v>3131</v>
      </c>
      <c r="R134">
        <f>_xlfn.RANK.EQ(Complete_data[[#This Row],[Restaurant count]],Complete_data[Restaurant count],0)</f>
        <v>24</v>
      </c>
      <c r="S134">
        <v>52</v>
      </c>
      <c r="T134">
        <v>86</v>
      </c>
      <c r="U134" s="1">
        <v>70.083333333333329</v>
      </c>
      <c r="V134" s="1">
        <f>_xlfn.RANK.EQ(Complete_data[[#This Row],[Max Temperature]],Complete_data[Max Temperature],0)</f>
        <v>6</v>
      </c>
      <c r="W134" s="1">
        <f>_xlfn.RANK.EQ(Complete_data[[#This Row],[Min Temperature]],Complete_data[Min Temperature],0)</f>
        <v>15</v>
      </c>
      <c r="X134" s="1">
        <f>_xlfn.RANK.EQ(Complete_data[[#This Row],[Avg Temperature]],Complete_data[Avg Temperature],0)</f>
        <v>13</v>
      </c>
      <c r="Y134">
        <v>24</v>
      </c>
      <c r="Z134">
        <v>4</v>
      </c>
      <c r="AA134">
        <v>1</v>
      </c>
      <c r="AB134">
        <v>4</v>
      </c>
      <c r="AC134">
        <v>5</v>
      </c>
      <c r="AD134">
        <v>5</v>
      </c>
      <c r="AE134">
        <v>0</v>
      </c>
      <c r="AF134">
        <v>1</v>
      </c>
      <c r="AG134">
        <v>0</v>
      </c>
      <c r="AH134">
        <v>0</v>
      </c>
      <c r="AI134">
        <f>SUM(Complete_data[[#This Row],[GENERAL ACUTE CARE]:[CHRONIC DISEASE]])</f>
        <v>44</v>
      </c>
      <c r="AJ134">
        <f>_xlfn.RANK.EQ(Complete_data[[#This Row],[Hospital Count]],Complete_data[Hospital Count],0)</f>
        <v>2</v>
      </c>
      <c r="AK134">
        <v>72.72</v>
      </c>
      <c r="AL134">
        <v>69.760000000000005</v>
      </c>
      <c r="AM134">
        <v>65.010000000000005</v>
      </c>
      <c r="AN134">
        <v>65.11</v>
      </c>
      <c r="AO134">
        <v>63.68</v>
      </c>
      <c r="AP134">
        <v>59.78</v>
      </c>
      <c r="AQ134">
        <v>56.35</v>
      </c>
      <c r="AR134">
        <v>55.66</v>
      </c>
      <c r="AS134">
        <v>46.33</v>
      </c>
      <c r="AT134">
        <v>50.44</v>
      </c>
      <c r="AU134">
        <f>AVERAGE(Complete_data[[#This Row],[2009]:[2019]])</f>
        <v>60.484000000000016</v>
      </c>
      <c r="AV134">
        <f>_xlfn.RANK.EQ(Complete_data[[#This Row],[Average crime rate]],Complete_data[Average crime rate],1)</f>
        <v>121</v>
      </c>
      <c r="AW134">
        <v>52</v>
      </c>
      <c r="AX134">
        <v>56</v>
      </c>
      <c r="AY134">
        <v>64</v>
      </c>
      <c r="AZ134">
        <v>70</v>
      </c>
      <c r="BA134">
        <v>76</v>
      </c>
      <c r="BB134">
        <v>83</v>
      </c>
      <c r="BC134">
        <v>85</v>
      </c>
      <c r="BD134">
        <v>86</v>
      </c>
      <c r="BE134">
        <v>81</v>
      </c>
      <c r="BF134">
        <v>72</v>
      </c>
      <c r="BG134">
        <v>61</v>
      </c>
      <c r="BH134">
        <v>55</v>
      </c>
    </row>
    <row r="135" spans="1:60" x14ac:dyDescent="0.3">
      <c r="A135" t="s">
        <v>83</v>
      </c>
      <c r="B135" t="s">
        <v>379</v>
      </c>
      <c r="C135" t="s">
        <v>380</v>
      </c>
      <c r="E135">
        <v>135</v>
      </c>
      <c r="F135">
        <v>22</v>
      </c>
      <c r="G135">
        <v>21</v>
      </c>
      <c r="H135">
        <v>75</v>
      </c>
      <c r="I135">
        <v>40</v>
      </c>
      <c r="J135">
        <v>56</v>
      </c>
      <c r="K135">
        <v>12</v>
      </c>
      <c r="L135">
        <v>13</v>
      </c>
      <c r="M135">
        <v>3</v>
      </c>
      <c r="N135">
        <v>21</v>
      </c>
      <c r="P135">
        <v>2</v>
      </c>
      <c r="Q135">
        <f>SUM(Complete_data[[#This Row],[American]:[Indian]])</f>
        <v>400</v>
      </c>
      <c r="R135">
        <f>_xlfn.RANK.EQ(Complete_data[[#This Row],[Restaurant count]],Complete_data[Restaurant count],0)</f>
        <v>106</v>
      </c>
      <c r="S135">
        <v>47</v>
      </c>
      <c r="T135">
        <v>86</v>
      </c>
      <c r="U135" s="1">
        <v>67.416666666666671</v>
      </c>
      <c r="V135" s="1">
        <f>_xlfn.RANK.EQ(Complete_data[[#This Row],[Max Temperature]],Complete_data[Max Temperature],0)</f>
        <v>6</v>
      </c>
      <c r="W135" s="1">
        <f>_xlfn.RANK.EQ(Complete_data[[#This Row],[Min Temperature]],Complete_data[Min Temperature],0)</f>
        <v>26</v>
      </c>
      <c r="X135" s="1">
        <f>_xlfn.RANK.EQ(Complete_data[[#This Row],[Avg Temperature]],Complete_data[Avg Temperature],0)</f>
        <v>19</v>
      </c>
      <c r="Y135">
        <v>2</v>
      </c>
      <c r="Z135">
        <v>0</v>
      </c>
      <c r="AA135">
        <v>0</v>
      </c>
      <c r="AB135">
        <v>0</v>
      </c>
      <c r="AC135">
        <v>1</v>
      </c>
      <c r="AD135">
        <v>0</v>
      </c>
      <c r="AE135">
        <v>0</v>
      </c>
      <c r="AF135">
        <v>1</v>
      </c>
      <c r="AG135">
        <v>0</v>
      </c>
      <c r="AH135">
        <v>0</v>
      </c>
      <c r="AI135">
        <f>SUM(Complete_data[[#This Row],[GENERAL ACUTE CARE]:[CHRONIC DISEASE]])</f>
        <v>4</v>
      </c>
      <c r="AJ135">
        <f>_xlfn.RANK.EQ(Complete_data[[#This Row],[Hospital Count]],Complete_data[Hospital Count],0)</f>
        <v>108</v>
      </c>
      <c r="AK135">
        <v>64.06</v>
      </c>
      <c r="AL135">
        <v>57.49</v>
      </c>
      <c r="AM135">
        <v>56.68</v>
      </c>
      <c r="AN135">
        <v>50.8</v>
      </c>
      <c r="AO135">
        <v>46.87</v>
      </c>
      <c r="AP135">
        <v>43.23</v>
      </c>
      <c r="AQ135">
        <v>43.09</v>
      </c>
      <c r="AR135">
        <v>41.13</v>
      </c>
      <c r="AS135">
        <v>41.63</v>
      </c>
      <c r="AT135">
        <v>38.659999999999997</v>
      </c>
      <c r="AU135">
        <f>AVERAGE(Complete_data[[#This Row],[2009]:[2019]])</f>
        <v>48.363999999999997</v>
      </c>
      <c r="AV135">
        <f>_xlfn.RANK.EQ(Complete_data[[#This Row],[Average crime rate]],Complete_data[Average crime rate],1)</f>
        <v>80</v>
      </c>
      <c r="AW135">
        <v>47</v>
      </c>
      <c r="AX135">
        <v>51</v>
      </c>
      <c r="AY135">
        <v>60</v>
      </c>
      <c r="AZ135">
        <v>67</v>
      </c>
      <c r="BA135">
        <v>74</v>
      </c>
      <c r="BB135">
        <v>82</v>
      </c>
      <c r="BC135">
        <v>86</v>
      </c>
      <c r="BD135">
        <v>86</v>
      </c>
      <c r="BE135">
        <v>80</v>
      </c>
      <c r="BF135">
        <v>69</v>
      </c>
      <c r="BG135">
        <v>57</v>
      </c>
      <c r="BH135">
        <v>50</v>
      </c>
    </row>
    <row r="136" spans="1:60" x14ac:dyDescent="0.3">
      <c r="A136" t="s">
        <v>83</v>
      </c>
      <c r="B136" t="s">
        <v>381</v>
      </c>
      <c r="C136" t="s">
        <v>382</v>
      </c>
      <c r="E136">
        <v>66</v>
      </c>
      <c r="F136">
        <v>8</v>
      </c>
      <c r="G136">
        <v>8</v>
      </c>
      <c r="H136">
        <v>46</v>
      </c>
      <c r="I136">
        <v>19</v>
      </c>
      <c r="J136">
        <v>25</v>
      </c>
      <c r="K136">
        <v>8</v>
      </c>
      <c r="L136">
        <v>5</v>
      </c>
      <c r="M136">
        <v>2</v>
      </c>
      <c r="N136">
        <v>12</v>
      </c>
      <c r="P136">
        <v>1</v>
      </c>
      <c r="Q136">
        <f>SUM(Complete_data[[#This Row],[American]:[Indian]])</f>
        <v>200</v>
      </c>
      <c r="R136">
        <f>_xlfn.RANK.EQ(Complete_data[[#This Row],[Restaurant count]],Complete_data[Restaurant count],0)</f>
        <v>128</v>
      </c>
      <c r="S136">
        <v>42</v>
      </c>
      <c r="T136">
        <v>85</v>
      </c>
      <c r="U136" s="1">
        <v>63.833333333333336</v>
      </c>
      <c r="V136" s="1">
        <f>_xlfn.RANK.EQ(Complete_data[[#This Row],[Max Temperature]],Complete_data[Max Temperature],0)</f>
        <v>8</v>
      </c>
      <c r="W136" s="1">
        <f>_xlfn.RANK.EQ(Complete_data[[#This Row],[Min Temperature]],Complete_data[Min Temperature],0)</f>
        <v>40</v>
      </c>
      <c r="X136" s="1">
        <f>_xlfn.RANK.EQ(Complete_data[[#This Row],[Avg Temperature]],Complete_data[Avg Temperature],0)</f>
        <v>36</v>
      </c>
      <c r="Y136">
        <v>2</v>
      </c>
      <c r="Z136">
        <v>0</v>
      </c>
      <c r="AA136">
        <v>0</v>
      </c>
      <c r="AB136">
        <v>1</v>
      </c>
      <c r="AC136">
        <v>2</v>
      </c>
      <c r="AD136">
        <v>1</v>
      </c>
      <c r="AE136">
        <v>0</v>
      </c>
      <c r="AF136">
        <v>0</v>
      </c>
      <c r="AG136">
        <v>0</v>
      </c>
      <c r="AH136">
        <v>0</v>
      </c>
      <c r="AI136">
        <f>SUM(Complete_data[[#This Row],[GENERAL ACUTE CARE]:[CHRONIC DISEASE]])</f>
        <v>6</v>
      </c>
      <c r="AJ136">
        <f>_xlfn.RANK.EQ(Complete_data[[#This Row],[Hospital Count]],Complete_data[Hospital Count],0)</f>
        <v>90</v>
      </c>
      <c r="AK136">
        <v>61</v>
      </c>
      <c r="AL136">
        <v>57.65</v>
      </c>
      <c r="AM136">
        <v>50.21</v>
      </c>
      <c r="AN136">
        <v>52.16</v>
      </c>
      <c r="AO136">
        <v>47.45</v>
      </c>
      <c r="AP136">
        <v>44.63</v>
      </c>
      <c r="AQ136">
        <v>40.200000000000003</v>
      </c>
      <c r="AR136">
        <v>34.68</v>
      </c>
      <c r="AS136">
        <v>34.58</v>
      </c>
      <c r="AT136">
        <v>33.950000000000003</v>
      </c>
      <c r="AU136">
        <f>AVERAGE(Complete_data[[#This Row],[2009]:[2019]])</f>
        <v>45.650999999999996</v>
      </c>
      <c r="AV136">
        <f>_xlfn.RANK.EQ(Complete_data[[#This Row],[Average crime rate]],Complete_data[Average crime rate],1)</f>
        <v>71</v>
      </c>
      <c r="AW136">
        <v>42</v>
      </c>
      <c r="AX136">
        <v>45</v>
      </c>
      <c r="AY136">
        <v>55</v>
      </c>
      <c r="AZ136">
        <v>63</v>
      </c>
      <c r="BA136">
        <v>72</v>
      </c>
      <c r="BB136">
        <v>82</v>
      </c>
      <c r="BC136">
        <v>85</v>
      </c>
      <c r="BD136">
        <v>85</v>
      </c>
      <c r="BE136">
        <v>77</v>
      </c>
      <c r="BF136">
        <v>65</v>
      </c>
      <c r="BG136">
        <v>53</v>
      </c>
      <c r="BH136">
        <v>42</v>
      </c>
    </row>
    <row r="137" spans="1:60" x14ac:dyDescent="0.3">
      <c r="A137" t="s">
        <v>383</v>
      </c>
      <c r="B137" t="s">
        <v>384</v>
      </c>
      <c r="C137" t="s">
        <v>385</v>
      </c>
      <c r="E137">
        <v>464</v>
      </c>
      <c r="F137">
        <v>132</v>
      </c>
      <c r="G137">
        <v>65</v>
      </c>
      <c r="H137">
        <v>409</v>
      </c>
      <c r="I137">
        <v>131</v>
      </c>
      <c r="J137">
        <v>162</v>
      </c>
      <c r="K137">
        <v>30</v>
      </c>
      <c r="L137">
        <v>56</v>
      </c>
      <c r="M137">
        <v>11</v>
      </c>
      <c r="N137">
        <v>261</v>
      </c>
      <c r="O137">
        <v>11</v>
      </c>
      <c r="P137">
        <v>33</v>
      </c>
      <c r="Q137">
        <f>SUM(Complete_data[[#This Row],[American]:[Indian]])</f>
        <v>1765</v>
      </c>
      <c r="R137">
        <f>_xlfn.RANK.EQ(Complete_data[[#This Row],[Restaurant count]],Complete_data[Restaurant count],0)</f>
        <v>44</v>
      </c>
      <c r="S137">
        <v>30</v>
      </c>
      <c r="T137">
        <v>82</v>
      </c>
      <c r="U137" s="1">
        <v>54.75</v>
      </c>
      <c r="V137" s="1">
        <f>_xlfn.RANK.EQ(Complete_data[[#This Row],[Max Temperature]],Complete_data[Max Temperature],0)</f>
        <v>29</v>
      </c>
      <c r="W137" s="1">
        <f>_xlfn.RANK.EQ(Complete_data[[#This Row],[Min Temperature]],Complete_data[Min Temperature],0)</f>
        <v>89</v>
      </c>
      <c r="X137" s="1">
        <f>_xlfn.RANK.EQ(Complete_data[[#This Row],[Avg Temperature]],Complete_data[Avg Temperature],0)</f>
        <v>80</v>
      </c>
      <c r="Y137">
        <v>4</v>
      </c>
      <c r="Z137">
        <v>0</v>
      </c>
      <c r="AA137">
        <v>2</v>
      </c>
      <c r="AB137">
        <v>1</v>
      </c>
      <c r="AC137">
        <v>2</v>
      </c>
      <c r="AD137">
        <v>0</v>
      </c>
      <c r="AE137">
        <v>0</v>
      </c>
      <c r="AF137">
        <v>2</v>
      </c>
      <c r="AG137">
        <v>0</v>
      </c>
      <c r="AH137">
        <v>0</v>
      </c>
      <c r="AI137">
        <f>SUM(Complete_data[[#This Row],[GENERAL ACUTE CARE]:[CHRONIC DISEASE]])</f>
        <v>11</v>
      </c>
      <c r="AJ137">
        <f>_xlfn.RANK.EQ(Complete_data[[#This Row],[Hospital Count]],Complete_data[Hospital Count],0)</f>
        <v>50</v>
      </c>
      <c r="AK137">
        <v>87.61</v>
      </c>
      <c r="AL137">
        <v>85.34</v>
      </c>
      <c r="AM137">
        <v>73.92</v>
      </c>
      <c r="AN137">
        <v>81.55</v>
      </c>
      <c r="AO137">
        <v>78.69</v>
      </c>
      <c r="AP137">
        <v>92.4</v>
      </c>
      <c r="AQ137">
        <v>102.05</v>
      </c>
      <c r="AR137">
        <v>89.42</v>
      </c>
      <c r="AS137">
        <v>69.23</v>
      </c>
      <c r="AT137">
        <v>63.85</v>
      </c>
      <c r="AU137">
        <f>AVERAGE(Complete_data[[#This Row],[2009]:[2019]])</f>
        <v>82.405999999999992</v>
      </c>
      <c r="AV137">
        <f>_xlfn.RANK.EQ(Complete_data[[#This Row],[Average crime rate]],Complete_data[Average crime rate],1)</f>
        <v>144</v>
      </c>
      <c r="AW137">
        <v>30</v>
      </c>
      <c r="AX137">
        <v>37</v>
      </c>
      <c r="AY137">
        <v>46</v>
      </c>
      <c r="AZ137">
        <v>52</v>
      </c>
      <c r="BA137">
        <v>60</v>
      </c>
      <c r="BB137">
        <v>74</v>
      </c>
      <c r="BC137">
        <v>82</v>
      </c>
      <c r="BD137">
        <v>79</v>
      </c>
      <c r="BE137">
        <v>69</v>
      </c>
      <c r="BF137">
        <v>54</v>
      </c>
      <c r="BG137">
        <v>42</v>
      </c>
      <c r="BH137">
        <v>32</v>
      </c>
    </row>
    <row r="138" spans="1:60" x14ac:dyDescent="0.3">
      <c r="A138" t="s">
        <v>386</v>
      </c>
      <c r="B138" t="s">
        <v>387</v>
      </c>
      <c r="C138" t="s">
        <v>388</v>
      </c>
      <c r="E138">
        <v>671</v>
      </c>
      <c r="F138">
        <v>99</v>
      </c>
      <c r="G138">
        <v>73</v>
      </c>
      <c r="H138">
        <v>398</v>
      </c>
      <c r="I138">
        <v>245</v>
      </c>
      <c r="J138">
        <v>137</v>
      </c>
      <c r="K138">
        <v>23</v>
      </c>
      <c r="L138">
        <v>74</v>
      </c>
      <c r="M138">
        <v>9</v>
      </c>
      <c r="N138">
        <v>244</v>
      </c>
      <c r="O138">
        <v>6</v>
      </c>
      <c r="P138">
        <v>21</v>
      </c>
      <c r="Q138">
        <f>SUM(Complete_data[[#This Row],[American]:[Indian]])</f>
        <v>2000</v>
      </c>
      <c r="R138">
        <f>_xlfn.RANK.EQ(Complete_data[[#This Row],[Restaurant count]],Complete_data[Restaurant count],0)</f>
        <v>39</v>
      </c>
      <c r="S138">
        <v>38</v>
      </c>
      <c r="T138">
        <v>80</v>
      </c>
      <c r="U138" s="1">
        <v>59.666666666666664</v>
      </c>
      <c r="V138" s="1">
        <f>_xlfn.RANK.EQ(Complete_data[[#This Row],[Max Temperature]],Complete_data[Max Temperature],0)</f>
        <v>50</v>
      </c>
      <c r="W138" s="1">
        <f>_xlfn.RANK.EQ(Complete_data[[#This Row],[Min Temperature]],Complete_data[Min Temperature],0)</f>
        <v>60</v>
      </c>
      <c r="X138" s="1">
        <f>_xlfn.RANK.EQ(Complete_data[[#This Row],[Avg Temperature]],Complete_data[Avg Temperature],0)</f>
        <v>54</v>
      </c>
      <c r="Y138">
        <v>8</v>
      </c>
      <c r="Z138">
        <v>0</v>
      </c>
      <c r="AA138">
        <v>1</v>
      </c>
      <c r="AB138">
        <v>1</v>
      </c>
      <c r="AC138">
        <v>0</v>
      </c>
      <c r="AD138">
        <v>1</v>
      </c>
      <c r="AE138">
        <v>0</v>
      </c>
      <c r="AF138">
        <v>1</v>
      </c>
      <c r="AG138">
        <v>0</v>
      </c>
      <c r="AH138">
        <v>0</v>
      </c>
      <c r="AI138">
        <f>SUM(Complete_data[[#This Row],[GENERAL ACUTE CARE]:[CHRONIC DISEASE]])</f>
        <v>12</v>
      </c>
      <c r="AJ138">
        <f>_xlfn.RANK.EQ(Complete_data[[#This Row],[Hospital Count]],Complete_data[Hospital Count],0)</f>
        <v>46</v>
      </c>
      <c r="AK138">
        <v>49.4</v>
      </c>
      <c r="AL138">
        <v>49.13</v>
      </c>
      <c r="AM138">
        <v>49.03</v>
      </c>
      <c r="AN138">
        <v>50.53</v>
      </c>
      <c r="AO138">
        <v>47.37</v>
      </c>
      <c r="AP138">
        <v>44.69</v>
      </c>
      <c r="AQ138">
        <v>44.56</v>
      </c>
      <c r="AR138">
        <v>0</v>
      </c>
      <c r="AS138">
        <v>43.7</v>
      </c>
      <c r="AT138">
        <v>39.81</v>
      </c>
      <c r="AU138">
        <f>AVERAGE(Complete_data[[#This Row],[2009]:[2019]])</f>
        <v>41.821999999999996</v>
      </c>
      <c r="AV138">
        <f>_xlfn.RANK.EQ(Complete_data[[#This Row],[Average crime rate]],Complete_data[Average crime rate],1)</f>
        <v>51</v>
      </c>
      <c r="AW138">
        <v>38</v>
      </c>
      <c r="AX138">
        <v>42</v>
      </c>
      <c r="AY138">
        <v>49</v>
      </c>
      <c r="AZ138">
        <v>60</v>
      </c>
      <c r="BA138">
        <v>68</v>
      </c>
      <c r="BB138">
        <v>76</v>
      </c>
      <c r="BC138">
        <v>80</v>
      </c>
      <c r="BD138">
        <v>77</v>
      </c>
      <c r="BE138">
        <v>73</v>
      </c>
      <c r="BF138">
        <v>61</v>
      </c>
      <c r="BG138">
        <v>49</v>
      </c>
      <c r="BH138">
        <v>43</v>
      </c>
    </row>
    <row r="139" spans="1:60" x14ac:dyDescent="0.3">
      <c r="A139" t="s">
        <v>386</v>
      </c>
      <c r="B139" t="s">
        <v>389</v>
      </c>
      <c r="C139" t="s">
        <v>390</v>
      </c>
      <c r="E139">
        <v>179</v>
      </c>
      <c r="F139">
        <v>18</v>
      </c>
      <c r="G139">
        <v>23</v>
      </c>
      <c r="H139">
        <v>99</v>
      </c>
      <c r="I139">
        <v>46</v>
      </c>
      <c r="J139">
        <v>36</v>
      </c>
      <c r="K139">
        <v>9</v>
      </c>
      <c r="L139">
        <v>8</v>
      </c>
      <c r="M139">
        <v>1</v>
      </c>
      <c r="N139">
        <v>43</v>
      </c>
      <c r="O139">
        <v>1</v>
      </c>
      <c r="P139">
        <v>2</v>
      </c>
      <c r="Q139">
        <f>SUM(Complete_data[[#This Row],[American]:[Indian]])</f>
        <v>465</v>
      </c>
      <c r="R139">
        <f>_xlfn.RANK.EQ(Complete_data[[#This Row],[Restaurant count]],Complete_data[Restaurant count],0)</f>
        <v>98</v>
      </c>
      <c r="S139">
        <v>37</v>
      </c>
      <c r="T139">
        <v>78</v>
      </c>
      <c r="U139" s="1">
        <v>58</v>
      </c>
      <c r="V139" s="1">
        <f>_xlfn.RANK.EQ(Complete_data[[#This Row],[Max Temperature]],Complete_data[Max Temperature],0)</f>
        <v>71</v>
      </c>
      <c r="W139" s="1">
        <f>_xlfn.RANK.EQ(Complete_data[[#This Row],[Min Temperature]],Complete_data[Min Temperature],0)</f>
        <v>61</v>
      </c>
      <c r="X139" s="1">
        <f>_xlfn.RANK.EQ(Complete_data[[#This Row],[Avg Temperature]],Complete_data[Avg Temperature],0)</f>
        <v>63</v>
      </c>
      <c r="Y139">
        <v>2</v>
      </c>
      <c r="Z139">
        <v>0</v>
      </c>
      <c r="AA139">
        <v>0</v>
      </c>
      <c r="AB139">
        <v>0</v>
      </c>
      <c r="AC139">
        <v>0</v>
      </c>
      <c r="AD139">
        <v>0</v>
      </c>
      <c r="AE139">
        <v>0</v>
      </c>
      <c r="AF139">
        <v>0</v>
      </c>
      <c r="AG139">
        <v>0</v>
      </c>
      <c r="AH139">
        <v>0</v>
      </c>
      <c r="AI139">
        <f>SUM(Complete_data[[#This Row],[GENERAL ACUTE CARE]:[CHRONIC DISEASE]])</f>
        <v>2</v>
      </c>
      <c r="AJ139">
        <f>_xlfn.RANK.EQ(Complete_data[[#This Row],[Hospital Count]],Complete_data[Hospital Count],0)</f>
        <v>124</v>
      </c>
      <c r="AK139">
        <v>60.78</v>
      </c>
      <c r="AL139">
        <v>57.44</v>
      </c>
      <c r="AM139">
        <v>53.53</v>
      </c>
      <c r="AN139">
        <v>54.77</v>
      </c>
      <c r="AO139">
        <v>50.26</v>
      </c>
      <c r="AP139">
        <v>45.4</v>
      </c>
      <c r="AQ139">
        <v>41.83</v>
      </c>
      <c r="AR139">
        <v>49.2</v>
      </c>
      <c r="AS139">
        <v>48.85</v>
      </c>
      <c r="AT139">
        <v>48.25</v>
      </c>
      <c r="AU139">
        <f>AVERAGE(Complete_data[[#This Row],[2009]:[2019]])</f>
        <v>51.030999999999999</v>
      </c>
      <c r="AV139">
        <f>_xlfn.RANK.EQ(Complete_data[[#This Row],[Average crime rate]],Complete_data[Average crime rate],1)</f>
        <v>93</v>
      </c>
      <c r="AW139">
        <v>37</v>
      </c>
      <c r="AX139">
        <v>41</v>
      </c>
      <c r="AY139">
        <v>48</v>
      </c>
      <c r="AZ139">
        <v>59</v>
      </c>
      <c r="BA139">
        <v>66</v>
      </c>
      <c r="BB139">
        <v>74</v>
      </c>
      <c r="BC139">
        <v>78</v>
      </c>
      <c r="BD139">
        <v>75</v>
      </c>
      <c r="BE139">
        <v>70</v>
      </c>
      <c r="BF139">
        <v>59</v>
      </c>
      <c r="BG139">
        <v>47</v>
      </c>
      <c r="BH139">
        <v>42</v>
      </c>
    </row>
    <row r="140" spans="1:60" x14ac:dyDescent="0.3">
      <c r="A140" t="s">
        <v>391</v>
      </c>
      <c r="B140" t="s">
        <v>392</v>
      </c>
      <c r="C140" t="s">
        <v>393</v>
      </c>
      <c r="E140">
        <v>153</v>
      </c>
      <c r="F140">
        <v>28</v>
      </c>
      <c r="G140">
        <v>21</v>
      </c>
      <c r="H140">
        <v>47</v>
      </c>
      <c r="I140">
        <v>37</v>
      </c>
      <c r="J140">
        <v>11</v>
      </c>
      <c r="K140">
        <v>3</v>
      </c>
      <c r="L140">
        <v>21</v>
      </c>
      <c r="M140">
        <v>3</v>
      </c>
      <c r="N140">
        <v>52</v>
      </c>
      <c r="O140">
        <v>1</v>
      </c>
      <c r="P140">
        <v>1</v>
      </c>
      <c r="Q140">
        <f>SUM(Complete_data[[#This Row],[American]:[Indian]])</f>
        <v>378</v>
      </c>
      <c r="R140">
        <f>_xlfn.RANK.EQ(Complete_data[[#This Row],[Restaurant count]],Complete_data[Restaurant count],0)</f>
        <v>109</v>
      </c>
      <c r="S140">
        <v>22</v>
      </c>
      <c r="T140">
        <v>73</v>
      </c>
      <c r="U140" s="1">
        <v>48</v>
      </c>
      <c r="V140" s="1">
        <f>_xlfn.RANK.EQ(Complete_data[[#This Row],[Max Temperature]],Complete_data[Max Temperature],0)</f>
        <v>116</v>
      </c>
      <c r="W140" s="1">
        <f>_xlfn.RANK.EQ(Complete_data[[#This Row],[Min Temperature]],Complete_data[Min Temperature],0)</f>
        <v>135</v>
      </c>
      <c r="X140" s="1">
        <f>_xlfn.RANK.EQ(Complete_data[[#This Row],[Avg Temperature]],Complete_data[Avg Temperature],0)</f>
        <v>128</v>
      </c>
      <c r="Y140">
        <v>1</v>
      </c>
      <c r="Z140">
        <v>0</v>
      </c>
      <c r="AA140">
        <v>0</v>
      </c>
      <c r="AB140">
        <v>0</v>
      </c>
      <c r="AC140">
        <v>0</v>
      </c>
      <c r="AD140">
        <v>0</v>
      </c>
      <c r="AE140">
        <v>0</v>
      </c>
      <c r="AF140">
        <v>0</v>
      </c>
      <c r="AG140">
        <v>0</v>
      </c>
      <c r="AH140">
        <v>0</v>
      </c>
      <c r="AI140">
        <f>SUM(Complete_data[[#This Row],[GENERAL ACUTE CARE]:[CHRONIC DISEASE]])</f>
        <v>1</v>
      </c>
      <c r="AJ140">
        <f>_xlfn.RANK.EQ(Complete_data[[#This Row],[Hospital Count]],Complete_data[Hospital Count],0)</f>
        <v>137</v>
      </c>
      <c r="AK140">
        <v>48.46</v>
      </c>
      <c r="AL140">
        <v>0</v>
      </c>
      <c r="AM140">
        <v>0</v>
      </c>
      <c r="AN140">
        <v>0</v>
      </c>
      <c r="AO140">
        <v>0</v>
      </c>
      <c r="AP140">
        <v>0</v>
      </c>
      <c r="AQ140">
        <v>36.86</v>
      </c>
      <c r="AR140">
        <v>30.76</v>
      </c>
      <c r="AS140">
        <v>22.62</v>
      </c>
      <c r="AT140">
        <v>29.94</v>
      </c>
      <c r="AU140">
        <f>AVERAGE(Complete_data[[#This Row],[2009]:[2019]])</f>
        <v>16.863999999999997</v>
      </c>
      <c r="AV140">
        <f>_xlfn.RANK.EQ(Complete_data[[#This Row],[Average crime rate]],Complete_data[Average crime rate],1)</f>
        <v>4</v>
      </c>
      <c r="AW140">
        <v>22</v>
      </c>
      <c r="AX140">
        <v>24</v>
      </c>
      <c r="AY140">
        <v>33</v>
      </c>
      <c r="AZ140">
        <v>45</v>
      </c>
      <c r="BA140">
        <v>59</v>
      </c>
      <c r="BB140">
        <v>66</v>
      </c>
      <c r="BC140">
        <v>73</v>
      </c>
      <c r="BD140">
        <v>71</v>
      </c>
      <c r="BE140">
        <v>64</v>
      </c>
      <c r="BF140">
        <v>52</v>
      </c>
      <c r="BG140">
        <v>38</v>
      </c>
      <c r="BH140">
        <v>29</v>
      </c>
    </row>
    <row r="141" spans="1:60" x14ac:dyDescent="0.3">
      <c r="A141" t="s">
        <v>89</v>
      </c>
      <c r="B141" t="s">
        <v>394</v>
      </c>
      <c r="C141" t="s">
        <v>395</v>
      </c>
      <c r="E141">
        <v>249</v>
      </c>
      <c r="F141">
        <v>61</v>
      </c>
      <c r="G141">
        <v>28</v>
      </c>
      <c r="H141">
        <v>148</v>
      </c>
      <c r="I141">
        <v>65</v>
      </c>
      <c r="J141">
        <v>59</v>
      </c>
      <c r="K141">
        <v>10</v>
      </c>
      <c r="L141">
        <v>35</v>
      </c>
      <c r="M141">
        <v>3</v>
      </c>
      <c r="N141">
        <v>91</v>
      </c>
      <c r="O141">
        <v>1</v>
      </c>
      <c r="P141">
        <v>2</v>
      </c>
      <c r="Q141">
        <f>SUM(Complete_data[[#This Row],[American]:[Indian]])</f>
        <v>752</v>
      </c>
      <c r="R141">
        <f>_xlfn.RANK.EQ(Complete_data[[#This Row],[Restaurant count]],Complete_data[Restaurant count],0)</f>
        <v>80</v>
      </c>
      <c r="S141">
        <v>30</v>
      </c>
      <c r="T141">
        <v>72</v>
      </c>
      <c r="U141" s="1">
        <v>49</v>
      </c>
      <c r="V141" s="1">
        <f>_xlfn.RANK.EQ(Complete_data[[#This Row],[Max Temperature]],Complete_data[Max Temperature],0)</f>
        <v>124</v>
      </c>
      <c r="W141" s="1">
        <f>_xlfn.RANK.EQ(Complete_data[[#This Row],[Min Temperature]],Complete_data[Min Temperature],0)</f>
        <v>89</v>
      </c>
      <c r="X141" s="1">
        <f>_xlfn.RANK.EQ(Complete_data[[#This Row],[Avg Temperature]],Complete_data[Avg Temperature],0)</f>
        <v>124</v>
      </c>
      <c r="Y141">
        <v>4</v>
      </c>
      <c r="Z141">
        <v>0</v>
      </c>
      <c r="AA141">
        <v>1</v>
      </c>
      <c r="AB141">
        <v>0</v>
      </c>
      <c r="AC141">
        <v>0</v>
      </c>
      <c r="AD141">
        <v>2</v>
      </c>
      <c r="AE141">
        <v>0</v>
      </c>
      <c r="AF141">
        <v>1</v>
      </c>
      <c r="AG141">
        <v>0</v>
      </c>
      <c r="AH141">
        <v>0</v>
      </c>
      <c r="AI141">
        <f>SUM(Complete_data[[#This Row],[GENERAL ACUTE CARE]:[CHRONIC DISEASE]])</f>
        <v>8</v>
      </c>
      <c r="AJ141">
        <f>_xlfn.RANK.EQ(Complete_data[[#This Row],[Hospital Count]],Complete_data[Hospital Count],0)</f>
        <v>69</v>
      </c>
      <c r="AK141">
        <v>71.5</v>
      </c>
      <c r="AL141">
        <v>80.47</v>
      </c>
      <c r="AM141">
        <v>77.36</v>
      </c>
      <c r="AN141">
        <v>93.96</v>
      </c>
      <c r="AO141">
        <v>100.37</v>
      </c>
      <c r="AP141">
        <v>91.34</v>
      </c>
      <c r="AQ141">
        <v>80.53</v>
      </c>
      <c r="AR141">
        <v>78.81</v>
      </c>
      <c r="AS141">
        <v>78.94</v>
      </c>
      <c r="AT141">
        <v>66.290000000000006</v>
      </c>
      <c r="AU141">
        <f>AVERAGE(Complete_data[[#This Row],[2009]:[2019]])</f>
        <v>81.956999999999994</v>
      </c>
      <c r="AV141">
        <f>_xlfn.RANK.EQ(Complete_data[[#This Row],[Average crime rate]],Complete_data[Average crime rate],1)</f>
        <v>143</v>
      </c>
      <c r="AW141">
        <v>30</v>
      </c>
      <c r="AX141">
        <v>32</v>
      </c>
      <c r="AY141">
        <v>40</v>
      </c>
      <c r="AZ141">
        <v>47</v>
      </c>
      <c r="BA141">
        <v>57</v>
      </c>
      <c r="BB141">
        <v>63</v>
      </c>
      <c r="BC141">
        <v>72</v>
      </c>
      <c r="BD141">
        <v>72</v>
      </c>
      <c r="BE141">
        <v>61</v>
      </c>
      <c r="BF141">
        <v>48</v>
      </c>
      <c r="BG141">
        <v>36</v>
      </c>
      <c r="BH141">
        <v>30</v>
      </c>
    </row>
    <row r="142" spans="1:60" x14ac:dyDescent="0.3">
      <c r="A142" t="s">
        <v>89</v>
      </c>
      <c r="B142" t="s">
        <v>396</v>
      </c>
      <c r="C142" t="s">
        <v>397</v>
      </c>
      <c r="E142">
        <v>77</v>
      </c>
      <c r="F142">
        <v>31</v>
      </c>
      <c r="G142">
        <v>10</v>
      </c>
      <c r="H142">
        <v>89</v>
      </c>
      <c r="I142">
        <v>19</v>
      </c>
      <c r="J142">
        <v>37</v>
      </c>
      <c r="K142">
        <v>3</v>
      </c>
      <c r="L142">
        <v>9</v>
      </c>
      <c r="M142">
        <v>2</v>
      </c>
      <c r="N142">
        <v>27</v>
      </c>
      <c r="P142">
        <v>1</v>
      </c>
      <c r="Q142">
        <f>SUM(Complete_data[[#This Row],[American]:[Indian]])</f>
        <v>305</v>
      </c>
      <c r="R142">
        <f>_xlfn.RANK.EQ(Complete_data[[#This Row],[Restaurant count]],Complete_data[Restaurant count],0)</f>
        <v>117</v>
      </c>
      <c r="S142">
        <v>31</v>
      </c>
      <c r="T142">
        <v>76</v>
      </c>
      <c r="U142" s="1">
        <v>52.583333333333336</v>
      </c>
      <c r="V142" s="1">
        <f>_xlfn.RANK.EQ(Complete_data[[#This Row],[Max Temperature]],Complete_data[Max Temperature],0)</f>
        <v>82</v>
      </c>
      <c r="W142" s="1">
        <f>_xlfn.RANK.EQ(Complete_data[[#This Row],[Min Temperature]],Complete_data[Min Temperature],0)</f>
        <v>83</v>
      </c>
      <c r="X142" s="1">
        <f>_xlfn.RANK.EQ(Complete_data[[#This Row],[Avg Temperature]],Complete_data[Avg Temperature],0)</f>
        <v>95</v>
      </c>
      <c r="Y142">
        <v>2</v>
      </c>
      <c r="Z142">
        <v>0</v>
      </c>
      <c r="AA142">
        <v>0</v>
      </c>
      <c r="AB142">
        <v>0</v>
      </c>
      <c r="AC142">
        <v>0</v>
      </c>
      <c r="AD142">
        <v>0</v>
      </c>
      <c r="AE142">
        <v>0</v>
      </c>
      <c r="AF142">
        <v>0</v>
      </c>
      <c r="AG142">
        <v>0</v>
      </c>
      <c r="AH142">
        <v>0</v>
      </c>
      <c r="AI142">
        <f>SUM(Complete_data[[#This Row],[GENERAL ACUTE CARE]:[CHRONIC DISEASE]])</f>
        <v>2</v>
      </c>
      <c r="AJ142">
        <f>_xlfn.RANK.EQ(Complete_data[[#This Row],[Hospital Count]],Complete_data[Hospital Count],0)</f>
        <v>124</v>
      </c>
      <c r="AK142">
        <v>0</v>
      </c>
      <c r="AL142">
        <v>70.88</v>
      </c>
      <c r="AM142">
        <v>60.74</v>
      </c>
      <c r="AN142">
        <v>67.98</v>
      </c>
      <c r="AO142">
        <v>55.23</v>
      </c>
      <c r="AP142">
        <v>54.05</v>
      </c>
      <c r="AQ142">
        <v>60.02</v>
      </c>
      <c r="AR142">
        <v>52.07</v>
      </c>
      <c r="AS142">
        <v>40.299999999999997</v>
      </c>
      <c r="AT142">
        <v>33.54</v>
      </c>
      <c r="AU142">
        <f>AVERAGE(Complete_data[[#This Row],[2009]:[2019]])</f>
        <v>49.481000000000002</v>
      </c>
      <c r="AV142">
        <f>_xlfn.RANK.EQ(Complete_data[[#This Row],[Average crime rate]],Complete_data[Average crime rate],1)</f>
        <v>84</v>
      </c>
      <c r="AW142">
        <v>33</v>
      </c>
      <c r="AX142">
        <v>37</v>
      </c>
      <c r="AY142">
        <v>44</v>
      </c>
      <c r="AZ142">
        <v>53</v>
      </c>
      <c r="BA142">
        <v>62</v>
      </c>
      <c r="BB142">
        <v>68</v>
      </c>
      <c r="BC142">
        <v>76</v>
      </c>
      <c r="BD142">
        <v>74</v>
      </c>
      <c r="BE142">
        <v>63</v>
      </c>
      <c r="BF142">
        <v>51</v>
      </c>
      <c r="BG142">
        <v>39</v>
      </c>
      <c r="BH142">
        <v>31</v>
      </c>
    </row>
    <row r="143" spans="1:60" x14ac:dyDescent="0.3">
      <c r="A143" t="s">
        <v>398</v>
      </c>
      <c r="B143" t="s">
        <v>399</v>
      </c>
      <c r="C143" t="s">
        <v>400</v>
      </c>
      <c r="E143">
        <v>161</v>
      </c>
      <c r="F143">
        <v>23</v>
      </c>
      <c r="G143">
        <v>18</v>
      </c>
      <c r="H143">
        <v>51</v>
      </c>
      <c r="I143">
        <v>37</v>
      </c>
      <c r="J143">
        <v>36</v>
      </c>
      <c r="K143">
        <v>1</v>
      </c>
      <c r="L143">
        <v>32</v>
      </c>
      <c r="M143">
        <v>2</v>
      </c>
      <c r="N143">
        <v>30</v>
      </c>
      <c r="P143">
        <v>2</v>
      </c>
      <c r="Q143">
        <f>SUM(Complete_data[[#This Row],[American]:[Indian]])</f>
        <v>393</v>
      </c>
      <c r="R143">
        <f>_xlfn.RANK.EQ(Complete_data[[#This Row],[Restaurant count]],Complete_data[Restaurant count],0)</f>
        <v>107</v>
      </c>
      <c r="S143">
        <v>20</v>
      </c>
      <c r="T143">
        <v>72</v>
      </c>
      <c r="U143" s="1">
        <v>46.333333333333336</v>
      </c>
      <c r="V143" s="1">
        <f>_xlfn.RANK.EQ(Complete_data[[#This Row],[Max Temperature]],Complete_data[Max Temperature],0)</f>
        <v>124</v>
      </c>
      <c r="W143" s="1">
        <f>_xlfn.RANK.EQ(Complete_data[[#This Row],[Min Temperature]],Complete_data[Min Temperature],0)</f>
        <v>137</v>
      </c>
      <c r="X143" s="1">
        <f>_xlfn.RANK.EQ(Complete_data[[#This Row],[Avg Temperature]],Complete_data[Avg Temperature],0)</f>
        <v>137</v>
      </c>
      <c r="Y143">
        <v>5</v>
      </c>
      <c r="Z143">
        <v>0</v>
      </c>
      <c r="AA143">
        <v>0</v>
      </c>
      <c r="AB143">
        <v>0</v>
      </c>
      <c r="AC143">
        <v>3</v>
      </c>
      <c r="AD143">
        <v>0</v>
      </c>
      <c r="AE143">
        <v>0</v>
      </c>
      <c r="AF143">
        <v>0</v>
      </c>
      <c r="AG143">
        <v>0</v>
      </c>
      <c r="AH143">
        <v>0</v>
      </c>
      <c r="AI143">
        <f>SUM(Complete_data[[#This Row],[GENERAL ACUTE CARE]:[CHRONIC DISEASE]])</f>
        <v>8</v>
      </c>
      <c r="AJ143">
        <f>_xlfn.RANK.EQ(Complete_data[[#This Row],[Hospital Count]],Complete_data[Hospital Count],0)</f>
        <v>69</v>
      </c>
      <c r="AK143">
        <v>32.159999999999997</v>
      </c>
      <c r="AL143">
        <v>29.32</v>
      </c>
      <c r="AM143">
        <v>26.79</v>
      </c>
      <c r="AN143">
        <v>33.06</v>
      </c>
      <c r="AO143">
        <v>30.35</v>
      </c>
      <c r="AP143">
        <v>27.07</v>
      </c>
      <c r="AQ143">
        <v>25.83</v>
      </c>
      <c r="AR143">
        <v>25.29</v>
      </c>
      <c r="AS143">
        <v>21.73</v>
      </c>
      <c r="AT143">
        <v>21.55</v>
      </c>
      <c r="AU143">
        <f>AVERAGE(Complete_data[[#This Row],[2009]:[2019]])</f>
        <v>27.314999999999998</v>
      </c>
      <c r="AV143">
        <f>_xlfn.RANK.EQ(Complete_data[[#This Row],[Average crime rate]],Complete_data[Average crime rate],1)</f>
        <v>16</v>
      </c>
      <c r="AW143">
        <v>20</v>
      </c>
      <c r="AX143">
        <v>21</v>
      </c>
      <c r="AY143">
        <v>33</v>
      </c>
      <c r="AZ143">
        <v>43</v>
      </c>
      <c r="BA143">
        <v>57</v>
      </c>
      <c r="BB143">
        <v>67</v>
      </c>
      <c r="BC143">
        <v>72</v>
      </c>
      <c r="BD143">
        <v>69</v>
      </c>
      <c r="BE143">
        <v>62</v>
      </c>
      <c r="BF143">
        <v>50</v>
      </c>
      <c r="BG143">
        <v>36</v>
      </c>
      <c r="BH143">
        <v>26</v>
      </c>
    </row>
    <row r="144" spans="1:60" x14ac:dyDescent="0.3">
      <c r="A144" t="s">
        <v>398</v>
      </c>
      <c r="B144" t="s">
        <v>401</v>
      </c>
      <c r="C144" t="s">
        <v>402</v>
      </c>
      <c r="E144">
        <v>357</v>
      </c>
      <c r="F144">
        <v>67</v>
      </c>
      <c r="G144">
        <v>41</v>
      </c>
      <c r="H144">
        <v>157</v>
      </c>
      <c r="I144">
        <v>85</v>
      </c>
      <c r="J144">
        <v>64</v>
      </c>
      <c r="K144">
        <v>3</v>
      </c>
      <c r="L144">
        <v>62</v>
      </c>
      <c r="M144">
        <v>4</v>
      </c>
      <c r="N144">
        <v>106</v>
      </c>
      <c r="O144">
        <v>1</v>
      </c>
      <c r="P144">
        <v>9</v>
      </c>
      <c r="Q144">
        <f>SUM(Complete_data[[#This Row],[American]:[Indian]])</f>
        <v>956</v>
      </c>
      <c r="R144">
        <f>_xlfn.RANK.EQ(Complete_data[[#This Row],[Restaurant count]],Complete_data[Restaurant count],0)</f>
        <v>68</v>
      </c>
      <c r="S144">
        <v>20</v>
      </c>
      <c r="T144">
        <v>74</v>
      </c>
      <c r="U144" s="1">
        <v>47.916666666666664</v>
      </c>
      <c r="V144" s="1">
        <f>_xlfn.RANK.EQ(Complete_data[[#This Row],[Max Temperature]],Complete_data[Max Temperature],0)</f>
        <v>103</v>
      </c>
      <c r="W144" s="1">
        <f>_xlfn.RANK.EQ(Complete_data[[#This Row],[Min Temperature]],Complete_data[Min Temperature],0)</f>
        <v>137</v>
      </c>
      <c r="X144" s="1">
        <f>_xlfn.RANK.EQ(Complete_data[[#This Row],[Avg Temperature]],Complete_data[Avg Temperature],0)</f>
        <v>131</v>
      </c>
      <c r="Y144">
        <v>3</v>
      </c>
      <c r="Z144">
        <v>0</v>
      </c>
      <c r="AA144">
        <v>0</v>
      </c>
      <c r="AB144">
        <v>1</v>
      </c>
      <c r="AC144">
        <v>2</v>
      </c>
      <c r="AD144">
        <v>1</v>
      </c>
      <c r="AE144">
        <v>0</v>
      </c>
      <c r="AF144">
        <v>1</v>
      </c>
      <c r="AG144">
        <v>0</v>
      </c>
      <c r="AH144">
        <v>0</v>
      </c>
      <c r="AI144">
        <f>SUM(Complete_data[[#This Row],[GENERAL ACUTE CARE]:[CHRONIC DISEASE]])</f>
        <v>8</v>
      </c>
      <c r="AJ144">
        <f>_xlfn.RANK.EQ(Complete_data[[#This Row],[Hospital Count]],Complete_data[Hospital Count],0)</f>
        <v>69</v>
      </c>
      <c r="AK144">
        <v>37.64</v>
      </c>
      <c r="AL144">
        <v>37.78</v>
      </c>
      <c r="AM144">
        <v>37.57</v>
      </c>
      <c r="AN144">
        <v>36.61</v>
      </c>
      <c r="AO144">
        <v>35.72</v>
      </c>
      <c r="AP144">
        <v>31.83</v>
      </c>
      <c r="AQ144">
        <v>31.37</v>
      </c>
      <c r="AR144">
        <v>30.4</v>
      </c>
      <c r="AS144">
        <v>30.11</v>
      </c>
      <c r="AT144">
        <v>28.37</v>
      </c>
      <c r="AU144">
        <f>AVERAGE(Complete_data[[#This Row],[2009]:[2019]])</f>
        <v>33.74</v>
      </c>
      <c r="AV144">
        <f>_xlfn.RANK.EQ(Complete_data[[#This Row],[Average crime rate]],Complete_data[Average crime rate],1)</f>
        <v>28</v>
      </c>
      <c r="AW144">
        <v>20</v>
      </c>
      <c r="AX144">
        <v>23</v>
      </c>
      <c r="AY144">
        <v>35</v>
      </c>
      <c r="AZ144">
        <v>46</v>
      </c>
      <c r="BA144">
        <v>59</v>
      </c>
      <c r="BB144">
        <v>69</v>
      </c>
      <c r="BC144">
        <v>74</v>
      </c>
      <c r="BD144">
        <v>71</v>
      </c>
      <c r="BE144">
        <v>63</v>
      </c>
      <c r="BF144">
        <v>51</v>
      </c>
      <c r="BG144">
        <v>37</v>
      </c>
      <c r="BH144">
        <v>27</v>
      </c>
    </row>
    <row r="145" spans="1:60" x14ac:dyDescent="0.3">
      <c r="A145" t="s">
        <v>398</v>
      </c>
      <c r="B145" t="s">
        <v>403</v>
      </c>
      <c r="C145" t="s">
        <v>404</v>
      </c>
      <c r="E145">
        <v>798</v>
      </c>
      <c r="F145">
        <v>123</v>
      </c>
      <c r="G145">
        <v>81</v>
      </c>
      <c r="H145">
        <v>425</v>
      </c>
      <c r="I145">
        <v>263</v>
      </c>
      <c r="J145">
        <v>138</v>
      </c>
      <c r="K145">
        <v>18</v>
      </c>
      <c r="L145">
        <v>155</v>
      </c>
      <c r="M145">
        <v>6</v>
      </c>
      <c r="N145">
        <v>192</v>
      </c>
      <c r="O145">
        <v>4</v>
      </c>
      <c r="P145">
        <v>19</v>
      </c>
      <c r="Q145">
        <f>SUM(Complete_data[[#This Row],[American]:[Indian]])</f>
        <v>2222</v>
      </c>
      <c r="R145">
        <f>_xlfn.RANK.EQ(Complete_data[[#This Row],[Restaurant count]],Complete_data[Restaurant count],0)</f>
        <v>37</v>
      </c>
      <c r="S145">
        <v>24</v>
      </c>
      <c r="T145">
        <v>74</v>
      </c>
      <c r="U145" s="1">
        <v>48.916666666666664</v>
      </c>
      <c r="V145" s="1">
        <f>_xlfn.RANK.EQ(Complete_data[[#This Row],[Max Temperature]],Complete_data[Max Temperature],0)</f>
        <v>103</v>
      </c>
      <c r="W145" s="1">
        <f>_xlfn.RANK.EQ(Complete_data[[#This Row],[Min Temperature]],Complete_data[Min Temperature],0)</f>
        <v>127</v>
      </c>
      <c r="X145" s="1">
        <f>_xlfn.RANK.EQ(Complete_data[[#This Row],[Avg Temperature]],Complete_data[Avg Temperature],0)</f>
        <v>125</v>
      </c>
      <c r="Y145">
        <v>8</v>
      </c>
      <c r="Z145">
        <v>0</v>
      </c>
      <c r="AA145">
        <v>0</v>
      </c>
      <c r="AB145">
        <v>0</v>
      </c>
      <c r="AC145">
        <v>1</v>
      </c>
      <c r="AD145">
        <v>1</v>
      </c>
      <c r="AE145">
        <v>0</v>
      </c>
      <c r="AF145">
        <v>1</v>
      </c>
      <c r="AG145">
        <v>0</v>
      </c>
      <c r="AH145">
        <v>0</v>
      </c>
      <c r="AI145">
        <f>SUM(Complete_data[[#This Row],[GENERAL ACUTE CARE]:[CHRONIC DISEASE]])</f>
        <v>11</v>
      </c>
      <c r="AJ145">
        <f>_xlfn.RANK.EQ(Complete_data[[#This Row],[Hospital Count]],Complete_data[Hospital Count],0)</f>
        <v>50</v>
      </c>
      <c r="AK145">
        <v>69.010000000000005</v>
      </c>
      <c r="AL145">
        <v>63.2</v>
      </c>
      <c r="AM145">
        <v>60.81</v>
      </c>
      <c r="AN145">
        <v>63.89</v>
      </c>
      <c r="AO145">
        <v>59.09</v>
      </c>
      <c r="AP145">
        <v>61.03</v>
      </c>
      <c r="AQ145">
        <v>58.97</v>
      </c>
      <c r="AR145">
        <v>54.42</v>
      </c>
      <c r="AS145">
        <v>44.27</v>
      </c>
      <c r="AT145">
        <v>39.21</v>
      </c>
      <c r="AU145">
        <f>AVERAGE(Complete_data[[#This Row],[2009]:[2019]])</f>
        <v>57.390000000000008</v>
      </c>
      <c r="AV145">
        <f>_xlfn.RANK.EQ(Complete_data[[#This Row],[Average crime rate]],Complete_data[Average crime rate],1)</f>
        <v>111</v>
      </c>
      <c r="AW145">
        <v>24</v>
      </c>
      <c r="AX145">
        <v>26</v>
      </c>
      <c r="AY145">
        <v>36</v>
      </c>
      <c r="AZ145">
        <v>45</v>
      </c>
      <c r="BA145">
        <v>56</v>
      </c>
      <c r="BB145">
        <v>67</v>
      </c>
      <c r="BC145">
        <v>74</v>
      </c>
      <c r="BD145">
        <v>72</v>
      </c>
      <c r="BE145">
        <v>65</v>
      </c>
      <c r="BF145">
        <v>53</v>
      </c>
      <c r="BG145">
        <v>39</v>
      </c>
      <c r="BH145">
        <v>30</v>
      </c>
    </row>
    <row r="146" spans="1:60" x14ac:dyDescent="0.3">
      <c r="A146" t="s">
        <v>405</v>
      </c>
      <c r="B146" t="s">
        <v>342</v>
      </c>
      <c r="C146" t="s">
        <v>406</v>
      </c>
      <c r="E146">
        <v>128</v>
      </c>
      <c r="F146">
        <v>11</v>
      </c>
      <c r="G146">
        <v>9</v>
      </c>
      <c r="H146">
        <v>51</v>
      </c>
      <c r="I146">
        <v>37</v>
      </c>
      <c r="J146">
        <v>18</v>
      </c>
      <c r="K146">
        <v>2</v>
      </c>
      <c r="L146">
        <v>7</v>
      </c>
      <c r="N146">
        <v>26</v>
      </c>
      <c r="O146">
        <v>1</v>
      </c>
      <c r="P146">
        <v>2</v>
      </c>
      <c r="Q146">
        <f>SUM(Complete_data[[#This Row],[American]:[Indian]])</f>
        <v>292</v>
      </c>
      <c r="R146">
        <f>_xlfn.RANK.EQ(Complete_data[[#This Row],[Restaurant count]],Complete_data[Restaurant count],0)</f>
        <v>118</v>
      </c>
      <c r="S146">
        <v>34</v>
      </c>
      <c r="T146">
        <v>76</v>
      </c>
      <c r="U146" s="1">
        <v>56.083333333333336</v>
      </c>
      <c r="V146" s="1">
        <f>_xlfn.RANK.EQ(Complete_data[[#This Row],[Max Temperature]],Complete_data[Max Temperature],0)</f>
        <v>82</v>
      </c>
      <c r="W146" s="1">
        <f>_xlfn.RANK.EQ(Complete_data[[#This Row],[Min Temperature]],Complete_data[Min Temperature],0)</f>
        <v>70</v>
      </c>
      <c r="X146" s="1">
        <f>_xlfn.RANK.EQ(Complete_data[[#This Row],[Avg Temperature]],Complete_data[Avg Temperature],0)</f>
        <v>74</v>
      </c>
      <c r="Y146">
        <v>4</v>
      </c>
      <c r="Z146">
        <v>0</v>
      </c>
      <c r="AA146">
        <v>0</v>
      </c>
      <c r="AB146">
        <v>1</v>
      </c>
      <c r="AC146">
        <v>1</v>
      </c>
      <c r="AD146">
        <v>0</v>
      </c>
      <c r="AE146">
        <v>0</v>
      </c>
      <c r="AF146">
        <v>0</v>
      </c>
      <c r="AG146">
        <v>1</v>
      </c>
      <c r="AH146">
        <v>0</v>
      </c>
      <c r="AI146">
        <f>SUM(Complete_data[[#This Row],[GENERAL ACUTE CARE]:[CHRONIC DISEASE]])</f>
        <v>7</v>
      </c>
      <c r="AJ146">
        <f>_xlfn.RANK.EQ(Complete_data[[#This Row],[Hospital Count]],Complete_data[Hospital Count],0)</f>
        <v>80</v>
      </c>
      <c r="AK146">
        <v>63.55</v>
      </c>
      <c r="AL146">
        <v>0</v>
      </c>
      <c r="AM146">
        <v>68.98</v>
      </c>
      <c r="AN146">
        <v>0</v>
      </c>
      <c r="AO146">
        <v>0</v>
      </c>
      <c r="AP146">
        <v>78.37</v>
      </c>
      <c r="AQ146">
        <v>78.94</v>
      </c>
      <c r="AR146">
        <v>84.32</v>
      </c>
      <c r="AS146">
        <v>67.599999999999994</v>
      </c>
      <c r="AT146">
        <v>0</v>
      </c>
      <c r="AU146">
        <f>AVERAGE(Complete_data[[#This Row],[2009]:[2019]])</f>
        <v>44.176000000000002</v>
      </c>
      <c r="AV146">
        <f>_xlfn.RANK.EQ(Complete_data[[#This Row],[Average crime rate]],Complete_data[Average crime rate],1)</f>
        <v>62</v>
      </c>
      <c r="AW146">
        <v>34</v>
      </c>
      <c r="AX146">
        <v>38</v>
      </c>
      <c r="AY146">
        <v>46</v>
      </c>
      <c r="AZ146">
        <v>57</v>
      </c>
      <c r="BA146">
        <v>65</v>
      </c>
      <c r="BB146">
        <v>72</v>
      </c>
      <c r="BC146">
        <v>76</v>
      </c>
      <c r="BD146">
        <v>74</v>
      </c>
      <c r="BE146">
        <v>69</v>
      </c>
      <c r="BF146">
        <v>57</v>
      </c>
      <c r="BG146">
        <v>45</v>
      </c>
      <c r="BH146">
        <v>40</v>
      </c>
    </row>
    <row r="147" spans="1:60" x14ac:dyDescent="0.3">
      <c r="A147" t="s">
        <v>405</v>
      </c>
      <c r="B147" t="s">
        <v>407</v>
      </c>
      <c r="C147" t="s">
        <v>408</v>
      </c>
      <c r="E147">
        <v>18</v>
      </c>
      <c r="F147">
        <v>1</v>
      </c>
      <c r="G147">
        <v>2</v>
      </c>
      <c r="H147">
        <v>3</v>
      </c>
      <c r="I147">
        <v>8</v>
      </c>
      <c r="J147">
        <v>2</v>
      </c>
      <c r="K147">
        <v>1</v>
      </c>
      <c r="L147">
        <v>1</v>
      </c>
      <c r="Q147">
        <f>SUM(Complete_data[[#This Row],[American]:[Indian]])</f>
        <v>36</v>
      </c>
      <c r="R147">
        <f>_xlfn.RANK.EQ(Complete_data[[#This Row],[Restaurant count]],Complete_data[Restaurant count],0)</f>
        <v>145</v>
      </c>
      <c r="S147">
        <v>29</v>
      </c>
      <c r="T147">
        <v>71</v>
      </c>
      <c r="U147" s="1">
        <v>51.166666666666664</v>
      </c>
      <c r="V147" s="1">
        <f>_xlfn.RANK.EQ(Complete_data[[#This Row],[Max Temperature]],Complete_data[Max Temperature],0)</f>
        <v>132</v>
      </c>
      <c r="W147" s="1">
        <f>_xlfn.RANK.EQ(Complete_data[[#This Row],[Min Temperature]],Complete_data[Min Temperature],0)</f>
        <v>96</v>
      </c>
      <c r="X147" s="1">
        <f>_xlfn.RANK.EQ(Complete_data[[#This Row],[Avg Temperature]],Complete_data[Avg Temperature],0)</f>
        <v>105</v>
      </c>
      <c r="Y147">
        <v>1</v>
      </c>
      <c r="Z147">
        <v>0</v>
      </c>
      <c r="AA147">
        <v>0</v>
      </c>
      <c r="AB147">
        <v>0</v>
      </c>
      <c r="AC147">
        <v>0</v>
      </c>
      <c r="AD147">
        <v>0</v>
      </c>
      <c r="AE147">
        <v>0</v>
      </c>
      <c r="AF147">
        <v>0</v>
      </c>
      <c r="AG147">
        <v>0</v>
      </c>
      <c r="AH147">
        <v>0</v>
      </c>
      <c r="AI147">
        <f>SUM(Complete_data[[#This Row],[GENERAL ACUTE CARE]:[CHRONIC DISEASE]])</f>
        <v>1</v>
      </c>
      <c r="AJ147">
        <f>_xlfn.RANK.EQ(Complete_data[[#This Row],[Hospital Count]],Complete_data[Hospital Count],0)</f>
        <v>137</v>
      </c>
      <c r="AK147">
        <v>38.869999999999997</v>
      </c>
      <c r="AL147">
        <v>40.909999999999997</v>
      </c>
      <c r="AM147">
        <v>25.48</v>
      </c>
      <c r="AN147">
        <v>49.38</v>
      </c>
      <c r="AO147">
        <v>38.01</v>
      </c>
      <c r="AP147">
        <v>0</v>
      </c>
      <c r="AQ147">
        <v>0</v>
      </c>
      <c r="AR147">
        <v>0</v>
      </c>
      <c r="AS147">
        <v>0</v>
      </c>
      <c r="AT147">
        <v>0</v>
      </c>
      <c r="AU147">
        <f>AVERAGE(Complete_data[[#This Row],[2009]:[2019]])</f>
        <v>19.265000000000001</v>
      </c>
      <c r="AV147">
        <f>_xlfn.RANK.EQ(Complete_data[[#This Row],[Average crime rate]],Complete_data[Average crime rate],1)</f>
        <v>6</v>
      </c>
      <c r="AW147">
        <v>29</v>
      </c>
      <c r="AX147">
        <v>33</v>
      </c>
      <c r="AY147">
        <v>41</v>
      </c>
      <c r="AZ147">
        <v>52</v>
      </c>
      <c r="BA147">
        <v>60</v>
      </c>
      <c r="BB147">
        <v>67</v>
      </c>
      <c r="BC147">
        <v>71</v>
      </c>
      <c r="BD147">
        <v>69</v>
      </c>
      <c r="BE147">
        <v>64</v>
      </c>
      <c r="BF147">
        <v>53</v>
      </c>
      <c r="BG147">
        <v>40</v>
      </c>
      <c r="BH147">
        <v>35</v>
      </c>
    </row>
    <row r="148" spans="1:60" x14ac:dyDescent="0.3">
      <c r="A148" t="s">
        <v>409</v>
      </c>
      <c r="B148" t="s">
        <v>410</v>
      </c>
      <c r="C148" t="s">
        <v>411</v>
      </c>
      <c r="E148">
        <v>50</v>
      </c>
      <c r="F148">
        <v>9</v>
      </c>
      <c r="G148">
        <v>5</v>
      </c>
      <c r="H148">
        <v>27</v>
      </c>
      <c r="I148">
        <v>10</v>
      </c>
      <c r="J148">
        <v>12</v>
      </c>
      <c r="K148">
        <v>1</v>
      </c>
      <c r="L148">
        <v>5</v>
      </c>
      <c r="N148">
        <v>12</v>
      </c>
      <c r="Q148">
        <f>SUM(Complete_data[[#This Row],[American]:[Indian]])</f>
        <v>131</v>
      </c>
      <c r="R148">
        <f>_xlfn.RANK.EQ(Complete_data[[#This Row],[Restaurant count]],Complete_data[Restaurant count],0)</f>
        <v>138</v>
      </c>
      <c r="S148">
        <v>25</v>
      </c>
      <c r="T148">
        <v>72</v>
      </c>
      <c r="U148" s="1">
        <v>45.916666666666664</v>
      </c>
      <c r="V148" s="1">
        <f>_xlfn.RANK.EQ(Complete_data[[#This Row],[Max Temperature]],Complete_data[Max Temperature],0)</f>
        <v>124</v>
      </c>
      <c r="W148" s="1">
        <f>_xlfn.RANK.EQ(Complete_data[[#This Row],[Min Temperature]],Complete_data[Min Temperature],0)</f>
        <v>118</v>
      </c>
      <c r="X148" s="1">
        <f>_xlfn.RANK.EQ(Complete_data[[#This Row],[Avg Temperature]],Complete_data[Avg Temperature],0)</f>
        <v>138</v>
      </c>
      <c r="Y148">
        <v>3</v>
      </c>
      <c r="Z148">
        <v>0</v>
      </c>
      <c r="AA148">
        <v>0</v>
      </c>
      <c r="AB148">
        <v>0</v>
      </c>
      <c r="AC148">
        <v>1</v>
      </c>
      <c r="AD148">
        <v>2</v>
      </c>
      <c r="AE148">
        <v>0</v>
      </c>
      <c r="AF148">
        <v>0</v>
      </c>
      <c r="AG148">
        <v>0</v>
      </c>
      <c r="AH148">
        <v>0</v>
      </c>
      <c r="AI148">
        <f>SUM(Complete_data[[#This Row],[GENERAL ACUTE CARE]:[CHRONIC DISEASE]])</f>
        <v>6</v>
      </c>
      <c r="AJ148">
        <f>_xlfn.RANK.EQ(Complete_data[[#This Row],[Hospital Count]],Complete_data[Hospital Count],0)</f>
        <v>90</v>
      </c>
      <c r="AK148">
        <v>48.07</v>
      </c>
      <c r="AL148">
        <v>44.62</v>
      </c>
      <c r="AM148">
        <v>39.04</v>
      </c>
      <c r="AN148">
        <v>36.479999999999997</v>
      </c>
      <c r="AO148">
        <v>36.29</v>
      </c>
      <c r="AP148">
        <v>28.37</v>
      </c>
      <c r="AQ148">
        <v>28.7</v>
      </c>
      <c r="AR148">
        <v>30.38</v>
      </c>
      <c r="AS148">
        <v>30.1</v>
      </c>
      <c r="AT148">
        <v>32</v>
      </c>
      <c r="AU148">
        <f>AVERAGE(Complete_data[[#This Row],[2009]:[2019]])</f>
        <v>35.405000000000001</v>
      </c>
      <c r="AV148">
        <f>_xlfn.RANK.EQ(Complete_data[[#This Row],[Average crime rate]],Complete_data[Average crime rate],1)</f>
        <v>33</v>
      </c>
      <c r="AW148">
        <v>26</v>
      </c>
      <c r="AX148">
        <v>25</v>
      </c>
      <c r="AY148">
        <v>37</v>
      </c>
      <c r="AZ148">
        <v>42</v>
      </c>
      <c r="BA148">
        <v>50</v>
      </c>
      <c r="BB148">
        <v>64</v>
      </c>
      <c r="BC148">
        <v>72</v>
      </c>
      <c r="BD148">
        <v>69</v>
      </c>
      <c r="BE148">
        <v>60</v>
      </c>
      <c r="BF148">
        <v>46</v>
      </c>
      <c r="BG148">
        <v>35</v>
      </c>
      <c r="BH148">
        <v>25</v>
      </c>
    </row>
    <row r="149" spans="1:60" x14ac:dyDescent="0.3">
      <c r="A149" t="s">
        <v>409</v>
      </c>
      <c r="B149" t="s">
        <v>412</v>
      </c>
      <c r="C149" t="s">
        <v>413</v>
      </c>
      <c r="E149">
        <v>38</v>
      </c>
      <c r="F149">
        <v>8</v>
      </c>
      <c r="G149">
        <v>5</v>
      </c>
      <c r="H149">
        <v>22</v>
      </c>
      <c r="I149">
        <v>16</v>
      </c>
      <c r="J149">
        <v>8</v>
      </c>
      <c r="L149">
        <v>5</v>
      </c>
      <c r="N149">
        <v>14</v>
      </c>
      <c r="Q149">
        <f>SUM(Complete_data[[#This Row],[American]:[Indian]])</f>
        <v>116</v>
      </c>
      <c r="R149">
        <f>_xlfn.RANK.EQ(Complete_data[[#This Row],[Restaurant count]],Complete_data[Restaurant count],0)</f>
        <v>140</v>
      </c>
      <c r="S149">
        <v>28</v>
      </c>
      <c r="T149">
        <v>70</v>
      </c>
      <c r="U149" s="1">
        <v>47.166666666666664</v>
      </c>
      <c r="V149" s="1">
        <f>_xlfn.RANK.EQ(Complete_data[[#This Row],[Max Temperature]],Complete_data[Max Temperature],0)</f>
        <v>134</v>
      </c>
      <c r="W149" s="1">
        <f>_xlfn.RANK.EQ(Complete_data[[#This Row],[Min Temperature]],Complete_data[Min Temperature],0)</f>
        <v>98</v>
      </c>
      <c r="X149" s="1">
        <f>_xlfn.RANK.EQ(Complete_data[[#This Row],[Avg Temperature]],Complete_data[Avg Temperature],0)</f>
        <v>133</v>
      </c>
      <c r="Y149">
        <v>1</v>
      </c>
      <c r="Z149">
        <v>0</v>
      </c>
      <c r="AA149">
        <v>0</v>
      </c>
      <c r="AB149">
        <v>0</v>
      </c>
      <c r="AC149">
        <v>0</v>
      </c>
      <c r="AD149">
        <v>0</v>
      </c>
      <c r="AE149">
        <v>0</v>
      </c>
      <c r="AF149">
        <v>1</v>
      </c>
      <c r="AG149">
        <v>0</v>
      </c>
      <c r="AH149">
        <v>0</v>
      </c>
      <c r="AI149">
        <f>SUM(Complete_data[[#This Row],[GENERAL ACUTE CARE]:[CHRONIC DISEASE]])</f>
        <v>2</v>
      </c>
      <c r="AJ149">
        <f>_xlfn.RANK.EQ(Complete_data[[#This Row],[Hospital Count]],Complete_data[Hospital Count],0)</f>
        <v>124</v>
      </c>
      <c r="AK149">
        <v>43.63</v>
      </c>
      <c r="AL149">
        <v>40.68</v>
      </c>
      <c r="AM149">
        <v>36.65</v>
      </c>
      <c r="AN149">
        <v>36.58</v>
      </c>
      <c r="AO149">
        <v>35.43</v>
      </c>
      <c r="AP149">
        <v>29.88</v>
      </c>
      <c r="AQ149">
        <v>34.090000000000003</v>
      </c>
      <c r="AR149">
        <v>38.31</v>
      </c>
      <c r="AS149">
        <v>43.25</v>
      </c>
      <c r="AT149">
        <v>34.57</v>
      </c>
      <c r="AU149">
        <f>AVERAGE(Complete_data[[#This Row],[2009]:[2019]])</f>
        <v>37.307000000000002</v>
      </c>
      <c r="AV149">
        <f>_xlfn.RANK.EQ(Complete_data[[#This Row],[Average crime rate]],Complete_data[Average crime rate],1)</f>
        <v>37</v>
      </c>
      <c r="AW149">
        <v>30</v>
      </c>
      <c r="AX149">
        <v>28</v>
      </c>
      <c r="AY149">
        <v>38</v>
      </c>
      <c r="AZ149">
        <v>43</v>
      </c>
      <c r="BA149">
        <v>50</v>
      </c>
      <c r="BB149">
        <v>65</v>
      </c>
      <c r="BC149">
        <v>70</v>
      </c>
      <c r="BD149">
        <v>68</v>
      </c>
      <c r="BE149">
        <v>61</v>
      </c>
      <c r="BF149">
        <v>47</v>
      </c>
      <c r="BG149">
        <v>37</v>
      </c>
      <c r="BH149">
        <v>29</v>
      </c>
    </row>
  </sheetData>
  <phoneticPr fontId="18"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43F5F-632E-4CD7-AFBA-A4E41632E39E}">
  <sheetPr codeName="Sheet3"/>
  <dimension ref="A3:Q17"/>
  <sheetViews>
    <sheetView workbookViewId="0">
      <selection activeCell="G3" sqref="G3"/>
    </sheetView>
  </sheetViews>
  <sheetFormatPr defaultRowHeight="14.4" x14ac:dyDescent="0.3"/>
  <cols>
    <col min="1" max="1" width="17" bestFit="1" customWidth="1"/>
    <col min="2" max="2" width="12.88671875" bestFit="1" customWidth="1"/>
    <col min="3" max="3" width="16.21875" bestFit="1" customWidth="1"/>
    <col min="4" max="4" width="16.5546875" bestFit="1" customWidth="1"/>
    <col min="5" max="5" width="16.109375" bestFit="1" customWidth="1"/>
    <col min="6" max="6" width="25.33203125" bestFit="1" customWidth="1"/>
    <col min="7" max="7" width="10.21875" bestFit="1" customWidth="1"/>
    <col min="8" max="8" width="15.5546875" bestFit="1" customWidth="1"/>
    <col min="9" max="9" width="7" bestFit="1" customWidth="1"/>
    <col min="10" max="10" width="11.88671875" bestFit="1" customWidth="1"/>
    <col min="11" max="11" width="8.6640625" bestFit="1" customWidth="1"/>
    <col min="12" max="12" width="6.88671875" bestFit="1" customWidth="1"/>
    <col min="13" max="13" width="11.33203125" bestFit="1" customWidth="1"/>
    <col min="14" max="14" width="13.44140625" bestFit="1" customWidth="1"/>
    <col min="15" max="15" width="8.5546875" bestFit="1" customWidth="1"/>
    <col min="16" max="16" width="6.33203125" bestFit="1" customWidth="1"/>
    <col min="17" max="17" width="6.77734375" bestFit="1" customWidth="1"/>
    <col min="18" max="18" width="8.21875" bestFit="1" customWidth="1"/>
    <col min="19" max="19" width="10.33203125" bestFit="1" customWidth="1"/>
    <col min="20" max="20" width="10" bestFit="1" customWidth="1"/>
    <col min="21" max="21" width="8.6640625" bestFit="1" customWidth="1"/>
    <col min="22" max="22" width="11.88671875" bestFit="1" customWidth="1"/>
    <col min="23" max="23" width="11.33203125" bestFit="1" customWidth="1"/>
    <col min="24" max="24" width="8.5546875" bestFit="1" customWidth="1"/>
    <col min="25" max="25" width="13.44140625" bestFit="1" customWidth="1"/>
    <col min="26" max="26" width="12.33203125" bestFit="1" customWidth="1"/>
    <col min="27" max="27" width="6.6640625" bestFit="1" customWidth="1"/>
    <col min="28" max="29" width="6.88671875" bestFit="1" customWidth="1"/>
    <col min="30" max="30" width="7" bestFit="1" customWidth="1"/>
    <col min="31" max="31" width="8.6640625" bestFit="1" customWidth="1"/>
    <col min="32" max="32" width="11.88671875" bestFit="1" customWidth="1"/>
    <col min="33" max="33" width="11.33203125" bestFit="1" customWidth="1"/>
    <col min="34" max="34" width="8.5546875" bestFit="1" customWidth="1"/>
    <col min="35" max="35" width="13.44140625" bestFit="1" customWidth="1"/>
    <col min="36" max="36" width="12.33203125" bestFit="1" customWidth="1"/>
    <col min="37" max="37" width="6.6640625" bestFit="1" customWidth="1"/>
    <col min="38" max="38" width="6.33203125" bestFit="1" customWidth="1"/>
    <col min="39" max="39" width="6.88671875" bestFit="1" customWidth="1"/>
    <col min="40" max="40" width="7" bestFit="1" customWidth="1"/>
    <col min="41" max="41" width="8.6640625" bestFit="1" customWidth="1"/>
    <col min="42" max="42" width="11.88671875" bestFit="1" customWidth="1"/>
    <col min="43" max="43" width="11.33203125" bestFit="1" customWidth="1"/>
    <col min="44" max="44" width="8.5546875" bestFit="1" customWidth="1"/>
    <col min="45" max="45" width="13.44140625" bestFit="1" customWidth="1"/>
    <col min="46" max="46" width="12.33203125" bestFit="1" customWidth="1"/>
    <col min="47" max="47" width="6.6640625" bestFit="1" customWidth="1"/>
    <col min="48" max="48" width="6.33203125" bestFit="1" customWidth="1"/>
    <col min="49" max="49" width="6.88671875" bestFit="1" customWidth="1"/>
    <col min="50" max="50" width="7" bestFit="1" customWidth="1"/>
    <col min="51" max="51" width="8.6640625" bestFit="1" customWidth="1"/>
    <col min="52" max="52" width="11.88671875" bestFit="1" customWidth="1"/>
    <col min="53" max="53" width="11.33203125" bestFit="1" customWidth="1"/>
    <col min="54" max="54" width="8.5546875" bestFit="1" customWidth="1"/>
    <col min="55" max="55" width="13.44140625" bestFit="1" customWidth="1"/>
    <col min="56" max="56" width="12.33203125" bestFit="1" customWidth="1"/>
    <col min="57" max="57" width="6.6640625" bestFit="1" customWidth="1"/>
    <col min="58" max="58" width="6.33203125" bestFit="1" customWidth="1"/>
    <col min="59" max="59" width="6.88671875" bestFit="1" customWidth="1"/>
    <col min="60" max="60" width="7" bestFit="1" customWidth="1"/>
    <col min="61" max="61" width="8.6640625" bestFit="1" customWidth="1"/>
    <col min="62" max="62" width="11.88671875" bestFit="1" customWidth="1"/>
    <col min="63" max="63" width="11.33203125" bestFit="1" customWidth="1"/>
    <col min="64" max="64" width="8.5546875" bestFit="1" customWidth="1"/>
    <col min="65" max="65" width="13.44140625" bestFit="1" customWidth="1"/>
    <col min="66" max="66" width="12.33203125" bestFit="1" customWidth="1"/>
    <col min="67" max="67" width="6.6640625" bestFit="1" customWidth="1"/>
    <col min="68" max="68" width="6.33203125" bestFit="1" customWidth="1"/>
    <col min="69" max="69" width="6.88671875" bestFit="1" customWidth="1"/>
    <col min="70" max="70" width="7" bestFit="1" customWidth="1"/>
    <col min="71" max="71" width="8.6640625" bestFit="1" customWidth="1"/>
    <col min="72" max="72" width="11.88671875" bestFit="1" customWidth="1"/>
    <col min="73" max="73" width="11.33203125" bestFit="1" customWidth="1"/>
    <col min="74" max="74" width="8.5546875" bestFit="1" customWidth="1"/>
    <col min="75" max="75" width="13.44140625" bestFit="1" customWidth="1"/>
    <col min="76" max="76" width="12.33203125" bestFit="1" customWidth="1"/>
    <col min="77" max="77" width="6.6640625" bestFit="1" customWidth="1"/>
    <col min="78" max="78" width="7.33203125" bestFit="1" customWidth="1"/>
    <col min="79" max="79" width="6.88671875" bestFit="1" customWidth="1"/>
    <col min="80" max="80" width="7" bestFit="1" customWidth="1"/>
    <col min="81" max="81" width="8.6640625" bestFit="1" customWidth="1"/>
    <col min="82" max="82" width="11.88671875" bestFit="1" customWidth="1"/>
    <col min="83" max="83" width="11.33203125" bestFit="1" customWidth="1"/>
    <col min="84" max="84" width="8.5546875" bestFit="1" customWidth="1"/>
    <col min="85" max="85" width="13.44140625" bestFit="1" customWidth="1"/>
    <col min="86" max="86" width="12.33203125" bestFit="1" customWidth="1"/>
    <col min="87" max="87" width="6.6640625" bestFit="1" customWidth="1"/>
    <col min="88" max="88" width="10.6640625" bestFit="1" customWidth="1"/>
    <col min="89" max="89" width="6.88671875" bestFit="1" customWidth="1"/>
    <col min="90" max="90" width="7" bestFit="1" customWidth="1"/>
    <col min="91" max="91" width="8.6640625" bestFit="1" customWidth="1"/>
    <col min="92" max="92" width="11.88671875" bestFit="1" customWidth="1"/>
    <col min="93" max="93" width="11.33203125" bestFit="1" customWidth="1"/>
    <col min="94" max="94" width="8.5546875" bestFit="1" customWidth="1"/>
    <col min="95" max="95" width="13.44140625" bestFit="1" customWidth="1"/>
    <col min="96" max="96" width="12.33203125" bestFit="1" customWidth="1"/>
    <col min="97" max="97" width="6.6640625" bestFit="1" customWidth="1"/>
    <col min="98" max="98" width="8.33203125" bestFit="1" customWidth="1"/>
    <col min="99" max="99" width="6.88671875" bestFit="1" customWidth="1"/>
    <col min="100" max="100" width="7" bestFit="1" customWidth="1"/>
    <col min="101" max="101" width="8.6640625" bestFit="1" customWidth="1"/>
    <col min="102" max="102" width="11.88671875" bestFit="1" customWidth="1"/>
    <col min="103" max="103" width="11.33203125" bestFit="1" customWidth="1"/>
    <col min="104" max="104" width="8.5546875" bestFit="1" customWidth="1"/>
    <col min="105" max="105" width="13.44140625" bestFit="1" customWidth="1"/>
    <col min="106" max="106" width="12.33203125" bestFit="1" customWidth="1"/>
    <col min="107" max="107" width="6.6640625" bestFit="1" customWidth="1"/>
    <col min="108" max="108" width="10.33203125" bestFit="1" customWidth="1"/>
    <col min="109" max="109" width="6.88671875" bestFit="1" customWidth="1"/>
    <col min="110" max="110" width="7" bestFit="1" customWidth="1"/>
    <col min="111" max="111" width="8.6640625" bestFit="1" customWidth="1"/>
    <col min="112" max="112" width="11.88671875" bestFit="1" customWidth="1"/>
    <col min="113" max="113" width="11.33203125" bestFit="1" customWidth="1"/>
    <col min="114" max="114" width="8.5546875" bestFit="1" customWidth="1"/>
    <col min="115" max="115" width="13.44140625" bestFit="1" customWidth="1"/>
    <col min="116" max="116" width="12.33203125" bestFit="1" customWidth="1"/>
    <col min="117" max="117" width="6.6640625" bestFit="1" customWidth="1"/>
    <col min="118" max="118" width="10" bestFit="1" customWidth="1"/>
    <col min="119" max="119" width="6.88671875" bestFit="1" customWidth="1"/>
    <col min="120" max="120" width="7" bestFit="1" customWidth="1"/>
    <col min="121" max="121" width="8.6640625" bestFit="1" customWidth="1"/>
    <col min="122" max="122" width="11.88671875" bestFit="1" customWidth="1"/>
    <col min="123" max="123" width="11.33203125" bestFit="1" customWidth="1"/>
    <col min="124" max="124" width="8.5546875" bestFit="1" customWidth="1"/>
    <col min="125" max="125" width="13.44140625" bestFit="1" customWidth="1"/>
    <col min="126" max="126" width="12.33203125" bestFit="1" customWidth="1"/>
    <col min="127" max="127" width="6.6640625" bestFit="1" customWidth="1"/>
  </cols>
  <sheetData>
    <row r="3" spans="1:17" x14ac:dyDescent="0.3">
      <c r="A3" s="4" t="s">
        <v>24</v>
      </c>
      <c r="B3" s="4" t="s">
        <v>0</v>
      </c>
      <c r="C3" t="s">
        <v>414</v>
      </c>
      <c r="D3" t="s">
        <v>415</v>
      </c>
      <c r="E3" t="s">
        <v>416</v>
      </c>
      <c r="H3" s="4" t="s">
        <v>497</v>
      </c>
    </row>
    <row r="4" spans="1:17" x14ac:dyDescent="0.3">
      <c r="A4" t="s">
        <v>85</v>
      </c>
      <c r="B4" t="s">
        <v>2</v>
      </c>
      <c r="C4" s="13">
        <v>52</v>
      </c>
      <c r="D4" s="13">
        <v>64</v>
      </c>
      <c r="E4" s="13">
        <v>57.916666666666664</v>
      </c>
      <c r="H4" t="s">
        <v>85</v>
      </c>
      <c r="I4" t="s">
        <v>93</v>
      </c>
      <c r="J4" t="s">
        <v>97</v>
      </c>
      <c r="K4" t="s">
        <v>87</v>
      </c>
      <c r="L4" t="s">
        <v>95</v>
      </c>
      <c r="M4" t="s">
        <v>99</v>
      </c>
      <c r="N4" t="s">
        <v>101</v>
      </c>
      <c r="O4" t="s">
        <v>91</v>
      </c>
      <c r="P4" t="s">
        <v>83</v>
      </c>
      <c r="Q4" t="s">
        <v>89</v>
      </c>
    </row>
    <row r="5" spans="1:17" x14ac:dyDescent="0.3">
      <c r="A5" t="s">
        <v>93</v>
      </c>
      <c r="B5" t="s">
        <v>6</v>
      </c>
      <c r="C5" s="13">
        <v>31</v>
      </c>
      <c r="D5" s="13">
        <v>75</v>
      </c>
      <c r="E5" s="13">
        <v>51.166666666666664</v>
      </c>
      <c r="G5" s="4" t="s">
        <v>498</v>
      </c>
      <c r="H5" t="s">
        <v>2</v>
      </c>
      <c r="I5" t="s">
        <v>6</v>
      </c>
      <c r="J5" t="s">
        <v>8</v>
      </c>
      <c r="K5" t="s">
        <v>3</v>
      </c>
      <c r="L5" t="s">
        <v>7</v>
      </c>
      <c r="M5" t="s">
        <v>9</v>
      </c>
      <c r="N5" t="s">
        <v>10</v>
      </c>
      <c r="O5" t="s">
        <v>5</v>
      </c>
      <c r="P5" t="s">
        <v>1</v>
      </c>
      <c r="Q5" t="s">
        <v>4</v>
      </c>
    </row>
    <row r="6" spans="1:17" x14ac:dyDescent="0.3">
      <c r="A6" t="s">
        <v>97</v>
      </c>
      <c r="B6" t="s">
        <v>8</v>
      </c>
      <c r="C6" s="13">
        <v>69</v>
      </c>
      <c r="D6" s="13">
        <v>84</v>
      </c>
      <c r="E6" s="13">
        <v>77.583333333333329</v>
      </c>
      <c r="G6" s="12" t="s">
        <v>417</v>
      </c>
      <c r="H6" s="13">
        <v>52</v>
      </c>
      <c r="I6" s="13">
        <v>32</v>
      </c>
      <c r="J6" s="13">
        <v>69</v>
      </c>
      <c r="K6" s="13">
        <v>74</v>
      </c>
      <c r="L6" s="13">
        <v>31</v>
      </c>
      <c r="M6" s="13">
        <v>17</v>
      </c>
      <c r="N6" s="13">
        <v>39</v>
      </c>
      <c r="O6" s="13">
        <v>39</v>
      </c>
      <c r="P6" s="13">
        <v>50</v>
      </c>
      <c r="Q6" s="13">
        <v>43</v>
      </c>
    </row>
    <row r="7" spans="1:17" x14ac:dyDescent="0.3">
      <c r="A7" t="s">
        <v>87</v>
      </c>
      <c r="B7" t="s">
        <v>3</v>
      </c>
      <c r="C7" s="13">
        <v>74</v>
      </c>
      <c r="D7" s="13">
        <v>81</v>
      </c>
      <c r="E7" s="13">
        <v>77.583333333333329</v>
      </c>
      <c r="G7" s="12" t="s">
        <v>418</v>
      </c>
      <c r="H7" s="13">
        <v>53</v>
      </c>
      <c r="I7" s="13">
        <v>31</v>
      </c>
      <c r="J7" s="13">
        <v>71</v>
      </c>
      <c r="K7" s="13">
        <v>74</v>
      </c>
      <c r="L7" s="13">
        <v>33</v>
      </c>
      <c r="M7" s="13">
        <v>19</v>
      </c>
      <c r="N7" s="13">
        <v>42</v>
      </c>
      <c r="O7" s="13">
        <v>43</v>
      </c>
      <c r="P7" s="13">
        <v>54</v>
      </c>
      <c r="Q7" s="13">
        <v>43</v>
      </c>
    </row>
    <row r="8" spans="1:17" x14ac:dyDescent="0.3">
      <c r="A8" t="s">
        <v>95</v>
      </c>
      <c r="B8" t="s">
        <v>7</v>
      </c>
      <c r="C8" s="13">
        <v>31</v>
      </c>
      <c r="D8" s="13">
        <v>75</v>
      </c>
      <c r="E8" s="13">
        <v>52.5</v>
      </c>
      <c r="G8" s="12" t="s">
        <v>419</v>
      </c>
      <c r="H8" s="13">
        <v>55</v>
      </c>
      <c r="I8" s="13">
        <v>42</v>
      </c>
      <c r="J8" s="13">
        <v>73</v>
      </c>
      <c r="K8" s="13">
        <v>74</v>
      </c>
      <c r="L8" s="13">
        <v>39</v>
      </c>
      <c r="M8" s="13">
        <v>35</v>
      </c>
      <c r="N8" s="13">
        <v>52</v>
      </c>
      <c r="O8" s="13">
        <v>52</v>
      </c>
      <c r="P8" s="13">
        <v>62</v>
      </c>
      <c r="Q8" s="13">
        <v>47</v>
      </c>
    </row>
    <row r="9" spans="1:17" x14ac:dyDescent="0.3">
      <c r="A9" t="s">
        <v>99</v>
      </c>
      <c r="B9" t="s">
        <v>9</v>
      </c>
      <c r="C9" s="13">
        <v>17</v>
      </c>
      <c r="D9" s="13">
        <v>76</v>
      </c>
      <c r="E9" s="13">
        <v>47.5</v>
      </c>
      <c r="G9" s="12" t="s">
        <v>420</v>
      </c>
      <c r="H9" s="13">
        <v>57</v>
      </c>
      <c r="I9" s="13">
        <v>48</v>
      </c>
      <c r="J9" s="13">
        <v>77</v>
      </c>
      <c r="K9" s="13">
        <v>76</v>
      </c>
      <c r="L9" s="13">
        <v>49</v>
      </c>
      <c r="M9" s="13">
        <v>47</v>
      </c>
      <c r="N9" s="13">
        <v>61</v>
      </c>
      <c r="O9" s="13">
        <v>61</v>
      </c>
      <c r="P9" s="13">
        <v>69</v>
      </c>
      <c r="Q9" s="13">
        <v>51</v>
      </c>
    </row>
    <row r="10" spans="1:17" x14ac:dyDescent="0.3">
      <c r="A10" t="s">
        <v>101</v>
      </c>
      <c r="B10" t="s">
        <v>10</v>
      </c>
      <c r="C10" s="13">
        <v>39</v>
      </c>
      <c r="D10" s="13">
        <v>83</v>
      </c>
      <c r="E10" s="13">
        <v>61.166666666666664</v>
      </c>
      <c r="G10" s="12" t="s">
        <v>421</v>
      </c>
      <c r="H10" s="13">
        <v>58</v>
      </c>
      <c r="I10" s="13">
        <v>55</v>
      </c>
      <c r="J10" s="13">
        <v>80</v>
      </c>
      <c r="K10" s="13">
        <v>78</v>
      </c>
      <c r="L10" s="13">
        <v>58</v>
      </c>
      <c r="M10" s="13">
        <v>60</v>
      </c>
      <c r="N10" s="13">
        <v>68</v>
      </c>
      <c r="O10" s="13">
        <v>69</v>
      </c>
      <c r="P10" s="13">
        <v>75</v>
      </c>
      <c r="Q10" s="13">
        <v>57</v>
      </c>
    </row>
    <row r="11" spans="1:17" x14ac:dyDescent="0.3">
      <c r="A11" t="s">
        <v>91</v>
      </c>
      <c r="B11" t="s">
        <v>5</v>
      </c>
      <c r="C11" s="13">
        <v>39</v>
      </c>
      <c r="D11" s="13">
        <v>80</v>
      </c>
      <c r="E11" s="13">
        <v>60.833333333333336</v>
      </c>
      <c r="G11" s="12" t="s">
        <v>422</v>
      </c>
      <c r="H11" s="13">
        <v>61</v>
      </c>
      <c r="I11" s="13">
        <v>70</v>
      </c>
      <c r="J11" s="13">
        <v>83</v>
      </c>
      <c r="K11" s="13">
        <v>79</v>
      </c>
      <c r="L11" s="13">
        <v>67</v>
      </c>
      <c r="M11" s="13">
        <v>70</v>
      </c>
      <c r="N11" s="13">
        <v>79</v>
      </c>
      <c r="O11" s="13">
        <v>78</v>
      </c>
      <c r="P11" s="13">
        <v>82</v>
      </c>
      <c r="Q11" s="13">
        <v>61</v>
      </c>
    </row>
    <row r="12" spans="1:17" x14ac:dyDescent="0.3">
      <c r="A12" t="s">
        <v>83</v>
      </c>
      <c r="B12" t="s">
        <v>1</v>
      </c>
      <c r="C12" s="13">
        <v>50</v>
      </c>
      <c r="D12" s="13">
        <v>85</v>
      </c>
      <c r="E12" s="13">
        <v>68.416666666666671</v>
      </c>
      <c r="G12" s="12" t="s">
        <v>423</v>
      </c>
      <c r="H12" s="13">
        <v>62</v>
      </c>
      <c r="I12" s="13">
        <v>75</v>
      </c>
      <c r="J12" s="13">
        <v>84</v>
      </c>
      <c r="K12" s="13">
        <v>81</v>
      </c>
      <c r="L12" s="13">
        <v>75</v>
      </c>
      <c r="M12" s="13">
        <v>76</v>
      </c>
      <c r="N12" s="13">
        <v>83</v>
      </c>
      <c r="O12" s="13">
        <v>80</v>
      </c>
      <c r="P12" s="13">
        <v>84</v>
      </c>
      <c r="Q12" s="13">
        <v>67</v>
      </c>
    </row>
    <row r="13" spans="1:17" x14ac:dyDescent="0.3">
      <c r="A13" t="s">
        <v>89</v>
      </c>
      <c r="B13" t="s">
        <v>4</v>
      </c>
      <c r="C13" s="13">
        <v>42</v>
      </c>
      <c r="D13" s="13">
        <v>68</v>
      </c>
      <c r="E13" s="13">
        <v>53.333333333333336</v>
      </c>
      <c r="G13" s="12" t="s">
        <v>424</v>
      </c>
      <c r="H13" s="13">
        <v>63</v>
      </c>
      <c r="I13" s="13">
        <v>73</v>
      </c>
      <c r="J13" s="13">
        <v>84</v>
      </c>
      <c r="K13" s="13">
        <v>81</v>
      </c>
      <c r="L13" s="13">
        <v>73</v>
      </c>
      <c r="M13" s="13">
        <v>73</v>
      </c>
      <c r="N13" s="13">
        <v>82</v>
      </c>
      <c r="O13" s="13">
        <v>79</v>
      </c>
      <c r="P13" s="13">
        <v>85</v>
      </c>
      <c r="Q13" s="13">
        <v>68</v>
      </c>
    </row>
    <row r="14" spans="1:17" x14ac:dyDescent="0.3">
      <c r="G14" s="12" t="s">
        <v>425</v>
      </c>
      <c r="H14" s="13">
        <v>64</v>
      </c>
      <c r="I14" s="13">
        <v>66</v>
      </c>
      <c r="J14" s="13">
        <v>83</v>
      </c>
      <c r="K14" s="13">
        <v>81</v>
      </c>
      <c r="L14" s="13">
        <v>67</v>
      </c>
      <c r="M14" s="13">
        <v>65</v>
      </c>
      <c r="N14" s="13">
        <v>75</v>
      </c>
      <c r="O14" s="13">
        <v>73</v>
      </c>
      <c r="P14" s="13">
        <v>79</v>
      </c>
      <c r="Q14" s="13">
        <v>62</v>
      </c>
    </row>
    <row r="15" spans="1:17" x14ac:dyDescent="0.3">
      <c r="G15" s="12" t="s">
        <v>426</v>
      </c>
      <c r="H15" s="13">
        <v>62</v>
      </c>
      <c r="I15" s="13">
        <v>51</v>
      </c>
      <c r="J15" s="13">
        <v>80</v>
      </c>
      <c r="K15" s="13">
        <v>80</v>
      </c>
      <c r="L15" s="13">
        <v>56</v>
      </c>
      <c r="M15" s="13">
        <v>50</v>
      </c>
      <c r="N15" s="13">
        <v>62</v>
      </c>
      <c r="O15" s="13">
        <v>62</v>
      </c>
      <c r="P15" s="13">
        <v>70</v>
      </c>
      <c r="Q15" s="13">
        <v>53</v>
      </c>
    </row>
    <row r="16" spans="1:17" x14ac:dyDescent="0.3">
      <c r="G16" s="12" t="s">
        <v>427</v>
      </c>
      <c r="H16" s="13">
        <v>56</v>
      </c>
      <c r="I16" s="13">
        <v>40</v>
      </c>
      <c r="J16" s="13">
        <v>75</v>
      </c>
      <c r="K16" s="13">
        <v>78</v>
      </c>
      <c r="L16" s="13">
        <v>45</v>
      </c>
      <c r="M16" s="13">
        <v>35</v>
      </c>
      <c r="N16" s="13">
        <v>50</v>
      </c>
      <c r="O16" s="13">
        <v>50</v>
      </c>
      <c r="P16" s="13">
        <v>59</v>
      </c>
      <c r="Q16" s="13">
        <v>46</v>
      </c>
    </row>
    <row r="17" spans="7:17" x14ac:dyDescent="0.3">
      <c r="G17" s="12" t="s">
        <v>428</v>
      </c>
      <c r="H17" s="13">
        <v>52</v>
      </c>
      <c r="I17" s="13">
        <v>31</v>
      </c>
      <c r="J17" s="13">
        <v>72</v>
      </c>
      <c r="K17" s="13">
        <v>75</v>
      </c>
      <c r="L17" s="13">
        <v>37</v>
      </c>
      <c r="M17" s="13">
        <v>23</v>
      </c>
      <c r="N17" s="13">
        <v>41</v>
      </c>
      <c r="O17" s="13">
        <v>44</v>
      </c>
      <c r="P17" s="13">
        <v>52</v>
      </c>
      <c r="Q17" s="13">
        <v>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82CE7-1E4D-46A1-B81A-710AF9590ABF}">
  <sheetPr codeName="Sheet4"/>
  <dimension ref="A1:S11"/>
  <sheetViews>
    <sheetView workbookViewId="0">
      <selection activeCell="H1" sqref="H1"/>
    </sheetView>
  </sheetViews>
  <sheetFormatPr defaultRowHeight="14.4" x14ac:dyDescent="0.3"/>
  <cols>
    <col min="1" max="1" width="17" bestFit="1" customWidth="1"/>
    <col min="2" max="2" width="12.88671875" bestFit="1" customWidth="1"/>
    <col min="3" max="3" width="17.44140625" bestFit="1" customWidth="1"/>
    <col min="7" max="7" width="12.88671875" bestFit="1" customWidth="1"/>
    <col min="8" max="8" width="9.44140625" bestFit="1" customWidth="1"/>
    <col min="9" max="9" width="5.21875" bestFit="1" customWidth="1"/>
    <col min="10" max="10" width="7.5546875" bestFit="1" customWidth="1"/>
    <col min="11" max="11" width="7" bestFit="1" customWidth="1"/>
    <col min="12" max="12" width="6.6640625" bestFit="1" customWidth="1"/>
    <col min="13" max="13" width="8.5546875" bestFit="1" customWidth="1"/>
    <col min="14" max="14" width="9.33203125" bestFit="1" customWidth="1"/>
    <col min="15" max="15" width="7.88671875" bestFit="1" customWidth="1"/>
    <col min="16" max="16" width="11.6640625" bestFit="1" customWidth="1"/>
    <col min="17" max="17" width="6" bestFit="1" customWidth="1"/>
    <col min="18" max="18" width="7.5546875" bestFit="1" customWidth="1"/>
    <col min="19" max="19" width="6.77734375" bestFit="1" customWidth="1"/>
    <col min="20" max="20" width="12" bestFit="1" customWidth="1"/>
    <col min="21" max="21" width="13.6640625" bestFit="1" customWidth="1"/>
    <col min="22" max="22" width="12.6640625" bestFit="1" customWidth="1"/>
  </cols>
  <sheetData>
    <row r="1" spans="1:19" x14ac:dyDescent="0.3">
      <c r="A1" s="4" t="s">
        <v>24</v>
      </c>
      <c r="B1" s="4" t="s">
        <v>0</v>
      </c>
      <c r="C1" t="s">
        <v>429</v>
      </c>
      <c r="F1" s="4" t="s">
        <v>24</v>
      </c>
      <c r="G1" s="4" t="s">
        <v>0</v>
      </c>
      <c r="H1" t="s">
        <v>430</v>
      </c>
      <c r="I1" t="s">
        <v>431</v>
      </c>
      <c r="J1" t="s">
        <v>432</v>
      </c>
      <c r="K1" t="s">
        <v>433</v>
      </c>
      <c r="L1" t="s">
        <v>434</v>
      </c>
      <c r="M1" t="s">
        <v>435</v>
      </c>
      <c r="N1" t="s">
        <v>436</v>
      </c>
      <c r="O1" t="s">
        <v>437</v>
      </c>
      <c r="P1" t="s">
        <v>438</v>
      </c>
      <c r="Q1" t="s">
        <v>439</v>
      </c>
      <c r="R1" t="s">
        <v>440</v>
      </c>
      <c r="S1" t="s">
        <v>441</v>
      </c>
    </row>
    <row r="2" spans="1:19" x14ac:dyDescent="0.3">
      <c r="A2" t="s">
        <v>85</v>
      </c>
      <c r="B2" t="s">
        <v>2</v>
      </c>
      <c r="C2" s="13">
        <v>9775</v>
      </c>
      <c r="F2" t="s">
        <v>85</v>
      </c>
      <c r="G2" t="s">
        <v>2</v>
      </c>
      <c r="H2" s="13">
        <v>1813</v>
      </c>
      <c r="I2" s="13">
        <v>829</v>
      </c>
      <c r="J2" s="13">
        <v>350</v>
      </c>
      <c r="K2" s="13">
        <v>2756</v>
      </c>
      <c r="L2" s="13">
        <v>871</v>
      </c>
      <c r="M2" s="13">
        <v>620</v>
      </c>
      <c r="N2" s="13">
        <v>104</v>
      </c>
      <c r="O2" s="13">
        <v>39</v>
      </c>
      <c r="P2" s="13">
        <v>304</v>
      </c>
      <c r="Q2" s="13">
        <v>1846</v>
      </c>
      <c r="R2" s="13">
        <v>52</v>
      </c>
      <c r="S2" s="13">
        <v>191</v>
      </c>
    </row>
    <row r="3" spans="1:19" x14ac:dyDescent="0.3">
      <c r="A3" t="s">
        <v>93</v>
      </c>
      <c r="B3" t="s">
        <v>6</v>
      </c>
      <c r="C3" s="13">
        <v>5077</v>
      </c>
      <c r="F3" t="s">
        <v>93</v>
      </c>
      <c r="G3" t="s">
        <v>6</v>
      </c>
      <c r="H3" s="13">
        <v>1371</v>
      </c>
      <c r="I3" s="13">
        <v>326</v>
      </c>
      <c r="J3" s="13">
        <v>195</v>
      </c>
      <c r="K3" s="13">
        <v>1105</v>
      </c>
      <c r="L3" s="13">
        <v>496</v>
      </c>
      <c r="M3" s="13">
        <v>552</v>
      </c>
      <c r="N3" s="13">
        <v>53</v>
      </c>
      <c r="O3" s="13">
        <v>29</v>
      </c>
      <c r="P3" s="13">
        <v>239</v>
      </c>
      <c r="Q3" s="13">
        <v>636</v>
      </c>
      <c r="R3" s="13">
        <v>7</v>
      </c>
      <c r="S3" s="13">
        <v>68</v>
      </c>
    </row>
    <row r="4" spans="1:19" x14ac:dyDescent="0.3">
      <c r="A4" t="s">
        <v>97</v>
      </c>
      <c r="B4" t="s">
        <v>8</v>
      </c>
      <c r="C4" s="13">
        <v>11589</v>
      </c>
      <c r="F4" t="s">
        <v>97</v>
      </c>
      <c r="G4" t="s">
        <v>8</v>
      </c>
      <c r="H4" s="13">
        <v>3061</v>
      </c>
      <c r="I4" s="13">
        <v>730</v>
      </c>
      <c r="J4" s="13">
        <v>556</v>
      </c>
      <c r="K4" s="13">
        <v>2798</v>
      </c>
      <c r="L4" s="13">
        <v>1549</v>
      </c>
      <c r="M4" s="13">
        <v>955</v>
      </c>
      <c r="N4" s="13">
        <v>118</v>
      </c>
      <c r="O4" s="13">
        <v>159</v>
      </c>
      <c r="P4" s="13">
        <v>409</v>
      </c>
      <c r="Q4" s="13">
        <v>1160</v>
      </c>
      <c r="R4" s="13">
        <v>27</v>
      </c>
      <c r="S4" s="13">
        <v>67</v>
      </c>
    </row>
    <row r="5" spans="1:19" x14ac:dyDescent="0.3">
      <c r="A5" t="s">
        <v>87</v>
      </c>
      <c r="B5" t="s">
        <v>3</v>
      </c>
      <c r="C5" s="13">
        <v>2315</v>
      </c>
      <c r="F5" t="s">
        <v>87</v>
      </c>
      <c r="G5" t="s">
        <v>3</v>
      </c>
      <c r="H5" s="13">
        <v>528</v>
      </c>
      <c r="I5" s="13">
        <v>154</v>
      </c>
      <c r="J5" s="13">
        <v>81</v>
      </c>
      <c r="K5" s="13">
        <v>545</v>
      </c>
      <c r="L5" s="13">
        <v>131</v>
      </c>
      <c r="M5" s="13">
        <v>62</v>
      </c>
      <c r="N5" s="13">
        <v>46</v>
      </c>
      <c r="O5" s="13">
        <v>19</v>
      </c>
      <c r="P5" s="13">
        <v>59</v>
      </c>
      <c r="Q5" s="13">
        <v>673</v>
      </c>
      <c r="R5" s="13">
        <v>2</v>
      </c>
      <c r="S5" s="13">
        <v>15</v>
      </c>
    </row>
    <row r="6" spans="1:19" x14ac:dyDescent="0.3">
      <c r="A6" t="s">
        <v>95</v>
      </c>
      <c r="B6" t="s">
        <v>7</v>
      </c>
      <c r="C6" s="13">
        <v>9089</v>
      </c>
      <c r="F6" t="s">
        <v>95</v>
      </c>
      <c r="G6" t="s">
        <v>7</v>
      </c>
      <c r="H6" s="13">
        <v>2525</v>
      </c>
      <c r="I6" s="13">
        <v>583</v>
      </c>
      <c r="J6" s="13">
        <v>370</v>
      </c>
      <c r="K6" s="13">
        <v>1907</v>
      </c>
      <c r="L6" s="13">
        <v>1709</v>
      </c>
      <c r="M6" s="13">
        <v>366</v>
      </c>
      <c r="N6" s="13">
        <v>58</v>
      </c>
      <c r="O6" s="13">
        <v>44</v>
      </c>
      <c r="P6" s="13">
        <v>244</v>
      </c>
      <c r="Q6" s="13">
        <v>1150</v>
      </c>
      <c r="R6" s="13">
        <v>36</v>
      </c>
      <c r="S6" s="13">
        <v>97</v>
      </c>
    </row>
    <row r="7" spans="1:19" x14ac:dyDescent="0.3">
      <c r="A7" t="s">
        <v>99</v>
      </c>
      <c r="B7" t="s">
        <v>9</v>
      </c>
      <c r="C7" s="13">
        <v>4155</v>
      </c>
      <c r="F7" t="s">
        <v>99</v>
      </c>
      <c r="G7" t="s">
        <v>9</v>
      </c>
      <c r="H7" s="13">
        <v>1483</v>
      </c>
      <c r="I7" s="13">
        <v>256</v>
      </c>
      <c r="J7" s="13">
        <v>178</v>
      </c>
      <c r="K7" s="13">
        <v>729</v>
      </c>
      <c r="L7" s="13">
        <v>457</v>
      </c>
      <c r="M7" s="13">
        <v>251</v>
      </c>
      <c r="N7" s="13">
        <v>23</v>
      </c>
      <c r="O7" s="13">
        <v>17</v>
      </c>
      <c r="P7" s="13">
        <v>143</v>
      </c>
      <c r="Q7" s="13">
        <v>570</v>
      </c>
      <c r="R7" s="13">
        <v>7</v>
      </c>
      <c r="S7" s="13">
        <v>41</v>
      </c>
    </row>
    <row r="8" spans="1:19" x14ac:dyDescent="0.3">
      <c r="A8" t="s">
        <v>101</v>
      </c>
      <c r="B8" t="s">
        <v>10</v>
      </c>
      <c r="C8" s="13">
        <v>1643</v>
      </c>
      <c r="F8" t="s">
        <v>101</v>
      </c>
      <c r="G8" t="s">
        <v>10</v>
      </c>
      <c r="H8" s="13">
        <v>508</v>
      </c>
      <c r="I8" s="13">
        <v>102</v>
      </c>
      <c r="J8" s="13">
        <v>55</v>
      </c>
      <c r="K8" s="13">
        <v>363</v>
      </c>
      <c r="L8" s="13">
        <v>153</v>
      </c>
      <c r="M8" s="13">
        <v>168</v>
      </c>
      <c r="N8" s="13">
        <v>29</v>
      </c>
      <c r="O8" s="13">
        <v>8</v>
      </c>
      <c r="P8" s="13">
        <v>54</v>
      </c>
      <c r="Q8" s="13">
        <v>189</v>
      </c>
      <c r="R8" s="13"/>
      <c r="S8" s="13">
        <v>14</v>
      </c>
    </row>
    <row r="9" spans="1:19" x14ac:dyDescent="0.3">
      <c r="A9" t="s">
        <v>91</v>
      </c>
      <c r="B9" t="s">
        <v>5</v>
      </c>
      <c r="C9" s="13">
        <v>2735</v>
      </c>
      <c r="F9" t="s">
        <v>91</v>
      </c>
      <c r="G9" t="s">
        <v>5</v>
      </c>
      <c r="H9" s="13">
        <v>990</v>
      </c>
      <c r="I9" s="13">
        <v>159</v>
      </c>
      <c r="J9" s="13">
        <v>107</v>
      </c>
      <c r="K9" s="13">
        <v>528</v>
      </c>
      <c r="L9" s="13">
        <v>252</v>
      </c>
      <c r="M9" s="13">
        <v>225</v>
      </c>
      <c r="N9" s="13">
        <v>60</v>
      </c>
      <c r="O9" s="13">
        <v>21</v>
      </c>
      <c r="P9" s="13">
        <v>120</v>
      </c>
      <c r="Q9" s="13">
        <v>244</v>
      </c>
      <c r="R9" s="13">
        <v>10</v>
      </c>
      <c r="S9" s="13">
        <v>19</v>
      </c>
    </row>
    <row r="10" spans="1:19" x14ac:dyDescent="0.3">
      <c r="A10" t="s">
        <v>83</v>
      </c>
      <c r="B10" t="s">
        <v>1</v>
      </c>
      <c r="C10" s="13">
        <v>3353</v>
      </c>
      <c r="F10" t="s">
        <v>83</v>
      </c>
      <c r="G10" t="s">
        <v>1</v>
      </c>
      <c r="H10" s="13">
        <v>781</v>
      </c>
      <c r="I10" s="13">
        <v>218</v>
      </c>
      <c r="J10" s="13">
        <v>113</v>
      </c>
      <c r="K10" s="13">
        <v>864</v>
      </c>
      <c r="L10" s="13">
        <v>277</v>
      </c>
      <c r="M10" s="13">
        <v>405</v>
      </c>
      <c r="N10" s="13">
        <v>92</v>
      </c>
      <c r="O10" s="13">
        <v>31</v>
      </c>
      <c r="P10" s="13">
        <v>150</v>
      </c>
      <c r="Q10" s="13">
        <v>360</v>
      </c>
      <c r="R10" s="13">
        <v>17</v>
      </c>
      <c r="S10" s="13">
        <v>45</v>
      </c>
    </row>
    <row r="11" spans="1:19" x14ac:dyDescent="0.3">
      <c r="A11" t="s">
        <v>89</v>
      </c>
      <c r="B11" t="s">
        <v>4</v>
      </c>
      <c r="C11" s="13">
        <v>6882</v>
      </c>
      <c r="F11" t="s">
        <v>89</v>
      </c>
      <c r="G11" t="s">
        <v>4</v>
      </c>
      <c r="H11" s="13">
        <v>1549</v>
      </c>
      <c r="I11" s="13">
        <v>545</v>
      </c>
      <c r="J11" s="13">
        <v>214</v>
      </c>
      <c r="K11" s="13">
        <v>1625</v>
      </c>
      <c r="L11" s="13">
        <v>584</v>
      </c>
      <c r="M11" s="13">
        <v>438</v>
      </c>
      <c r="N11" s="13">
        <v>60</v>
      </c>
      <c r="O11" s="13">
        <v>35</v>
      </c>
      <c r="P11" s="13">
        <v>344</v>
      </c>
      <c r="Q11" s="13">
        <v>1364</v>
      </c>
      <c r="R11" s="13">
        <v>17</v>
      </c>
      <c r="S11" s="13">
        <v>107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42BEC-0936-4C0B-989B-B891F9FBF484}">
  <sheetPr codeName="Sheet5"/>
  <dimension ref="A1:S11"/>
  <sheetViews>
    <sheetView workbookViewId="0">
      <selection activeCell="H1" sqref="H1"/>
    </sheetView>
  </sheetViews>
  <sheetFormatPr defaultRowHeight="14.4" x14ac:dyDescent="0.3"/>
  <cols>
    <col min="1" max="1" width="17" bestFit="1" customWidth="1"/>
    <col min="2" max="2" width="12.88671875" bestFit="1" customWidth="1"/>
    <col min="3" max="3" width="14.21875" bestFit="1" customWidth="1"/>
    <col min="8" max="8" width="17" bestFit="1" customWidth="1"/>
    <col min="9" max="9" width="12.88671875" bestFit="1" customWidth="1"/>
    <col min="10" max="10" width="20.44140625" bestFit="1" customWidth="1"/>
    <col min="11" max="11" width="8.33203125" bestFit="1" customWidth="1"/>
    <col min="12" max="12" width="9.88671875" bestFit="1" customWidth="1"/>
    <col min="13" max="13" width="16.5546875" bestFit="1" customWidth="1"/>
    <col min="14" max="14" width="12.44140625" bestFit="1" customWidth="1"/>
    <col min="15" max="15" width="15.6640625" bestFit="1" customWidth="1"/>
    <col min="16" max="16" width="16" bestFit="1" customWidth="1"/>
    <col min="17" max="17" width="9.5546875" bestFit="1" customWidth="1"/>
    <col min="18" max="18" width="8.6640625" bestFit="1" customWidth="1"/>
    <col min="19" max="19" width="16.77734375" bestFit="1" customWidth="1"/>
  </cols>
  <sheetData>
    <row r="1" spans="1:19" x14ac:dyDescent="0.3">
      <c r="A1" s="4" t="s">
        <v>24</v>
      </c>
      <c r="B1" s="4" t="s">
        <v>0</v>
      </c>
      <c r="C1" t="s">
        <v>442</v>
      </c>
      <c r="H1" s="4" t="s">
        <v>24</v>
      </c>
      <c r="I1" s="4" t="s">
        <v>0</v>
      </c>
      <c r="J1" t="s">
        <v>443</v>
      </c>
      <c r="K1" t="s">
        <v>444</v>
      </c>
      <c r="L1" t="s">
        <v>445</v>
      </c>
      <c r="M1" t="s">
        <v>446</v>
      </c>
      <c r="N1" t="s">
        <v>447</v>
      </c>
      <c r="O1" t="s">
        <v>448</v>
      </c>
      <c r="P1" t="s">
        <v>449</v>
      </c>
      <c r="Q1" t="s">
        <v>450</v>
      </c>
      <c r="R1" t="s">
        <v>451</v>
      </c>
      <c r="S1" t="s">
        <v>452</v>
      </c>
    </row>
    <row r="2" spans="1:19" x14ac:dyDescent="0.3">
      <c r="A2" t="s">
        <v>85</v>
      </c>
      <c r="B2" t="s">
        <v>2</v>
      </c>
      <c r="C2" s="13">
        <v>17</v>
      </c>
      <c r="H2" t="s">
        <v>85</v>
      </c>
      <c r="I2" t="s">
        <v>2</v>
      </c>
      <c r="J2" s="13">
        <v>13</v>
      </c>
      <c r="K2" s="13">
        <v>0</v>
      </c>
      <c r="L2" s="13">
        <v>0</v>
      </c>
      <c r="M2" s="13">
        <v>1</v>
      </c>
      <c r="N2" s="13">
        <v>2</v>
      </c>
      <c r="O2" s="13">
        <v>0</v>
      </c>
      <c r="P2" s="13">
        <v>0</v>
      </c>
      <c r="Q2" s="13">
        <v>1</v>
      </c>
      <c r="R2" s="13">
        <v>0</v>
      </c>
      <c r="S2" s="13">
        <v>0</v>
      </c>
    </row>
    <row r="3" spans="1:19" x14ac:dyDescent="0.3">
      <c r="A3" t="s">
        <v>93</v>
      </c>
      <c r="B3" t="s">
        <v>6</v>
      </c>
      <c r="C3" s="13">
        <v>15</v>
      </c>
      <c r="H3" t="s">
        <v>93</v>
      </c>
      <c r="I3" t="s">
        <v>6</v>
      </c>
      <c r="J3" s="13">
        <v>7</v>
      </c>
      <c r="K3" s="13">
        <v>1</v>
      </c>
      <c r="L3" s="13">
        <v>0</v>
      </c>
      <c r="M3" s="13">
        <v>2</v>
      </c>
      <c r="N3" s="13">
        <v>4</v>
      </c>
      <c r="O3" s="13">
        <v>0</v>
      </c>
      <c r="P3" s="13">
        <v>0</v>
      </c>
      <c r="Q3" s="13">
        <v>1</v>
      </c>
      <c r="R3" s="13">
        <v>0</v>
      </c>
      <c r="S3" s="13">
        <v>0</v>
      </c>
    </row>
    <row r="4" spans="1:19" x14ac:dyDescent="0.3">
      <c r="A4" t="s">
        <v>97</v>
      </c>
      <c r="B4" t="s">
        <v>8</v>
      </c>
      <c r="C4" s="13">
        <v>1</v>
      </c>
      <c r="H4" t="s">
        <v>97</v>
      </c>
      <c r="I4" t="s">
        <v>8</v>
      </c>
      <c r="J4" s="13">
        <v>1</v>
      </c>
      <c r="K4" s="13">
        <v>0</v>
      </c>
      <c r="L4" s="13">
        <v>0</v>
      </c>
      <c r="M4" s="13">
        <v>0</v>
      </c>
      <c r="N4" s="13">
        <v>0</v>
      </c>
      <c r="O4" s="13">
        <v>0</v>
      </c>
      <c r="P4" s="13">
        <v>0</v>
      </c>
      <c r="Q4" s="13">
        <v>0</v>
      </c>
      <c r="R4" s="13">
        <v>0</v>
      </c>
      <c r="S4" s="13">
        <v>0</v>
      </c>
    </row>
    <row r="5" spans="1:19" x14ac:dyDescent="0.3">
      <c r="A5" t="s">
        <v>87</v>
      </c>
      <c r="B5" t="s">
        <v>3</v>
      </c>
      <c r="C5" s="13">
        <v>9</v>
      </c>
      <c r="H5" t="s">
        <v>87</v>
      </c>
      <c r="I5" t="s">
        <v>3</v>
      </c>
      <c r="J5" s="13">
        <v>4</v>
      </c>
      <c r="K5" s="13">
        <v>1</v>
      </c>
      <c r="L5" s="13">
        <v>2</v>
      </c>
      <c r="M5" s="13">
        <v>0</v>
      </c>
      <c r="N5" s="13">
        <v>0</v>
      </c>
      <c r="O5" s="13">
        <v>1</v>
      </c>
      <c r="P5" s="13">
        <v>0</v>
      </c>
      <c r="Q5" s="13">
        <v>1</v>
      </c>
      <c r="R5" s="13">
        <v>0</v>
      </c>
      <c r="S5" s="13">
        <v>0</v>
      </c>
    </row>
    <row r="6" spans="1:19" x14ac:dyDescent="0.3">
      <c r="A6" t="s">
        <v>95</v>
      </c>
      <c r="B6" t="s">
        <v>7</v>
      </c>
      <c r="C6" s="13">
        <v>22</v>
      </c>
      <c r="H6" t="s">
        <v>95</v>
      </c>
      <c r="I6" t="s">
        <v>7</v>
      </c>
      <c r="J6" s="13">
        <v>14</v>
      </c>
      <c r="K6" s="13">
        <v>0</v>
      </c>
      <c r="L6" s="13">
        <v>2</v>
      </c>
      <c r="M6" s="13">
        <v>1</v>
      </c>
      <c r="N6" s="13">
        <v>3</v>
      </c>
      <c r="O6" s="13">
        <v>2</v>
      </c>
      <c r="P6" s="13">
        <v>0</v>
      </c>
      <c r="Q6" s="13">
        <v>0</v>
      </c>
      <c r="R6" s="13">
        <v>0</v>
      </c>
      <c r="S6" s="13">
        <v>0</v>
      </c>
    </row>
    <row r="7" spans="1:19" x14ac:dyDescent="0.3">
      <c r="A7" t="s">
        <v>99</v>
      </c>
      <c r="B7" t="s">
        <v>9</v>
      </c>
      <c r="C7" s="13">
        <v>7</v>
      </c>
      <c r="H7" t="s">
        <v>99</v>
      </c>
      <c r="I7" t="s">
        <v>9</v>
      </c>
      <c r="J7" s="13">
        <v>6</v>
      </c>
      <c r="K7" s="13">
        <v>0</v>
      </c>
      <c r="L7" s="13">
        <v>1</v>
      </c>
      <c r="M7" s="13">
        <v>0</v>
      </c>
      <c r="N7" s="13">
        <v>0</v>
      </c>
      <c r="O7" s="13">
        <v>0</v>
      </c>
      <c r="P7" s="13">
        <v>0</v>
      </c>
      <c r="Q7" s="13">
        <v>0</v>
      </c>
      <c r="R7" s="13">
        <v>0</v>
      </c>
      <c r="S7" s="13">
        <v>0</v>
      </c>
    </row>
    <row r="8" spans="1:19" x14ac:dyDescent="0.3">
      <c r="A8" t="s">
        <v>101</v>
      </c>
      <c r="B8" t="s">
        <v>10</v>
      </c>
      <c r="C8" s="13">
        <v>24</v>
      </c>
      <c r="H8" t="s">
        <v>101</v>
      </c>
      <c r="I8" t="s">
        <v>10</v>
      </c>
      <c r="J8" s="13">
        <v>11</v>
      </c>
      <c r="K8" s="13">
        <v>6</v>
      </c>
      <c r="L8" s="13">
        <v>1</v>
      </c>
      <c r="M8" s="13">
        <v>1</v>
      </c>
      <c r="N8" s="13">
        <v>2</v>
      </c>
      <c r="O8" s="13">
        <v>2</v>
      </c>
      <c r="P8" s="13">
        <v>0</v>
      </c>
      <c r="Q8" s="13">
        <v>1</v>
      </c>
      <c r="R8" s="13">
        <v>0</v>
      </c>
      <c r="S8" s="13">
        <v>0</v>
      </c>
    </row>
    <row r="9" spans="1:19" x14ac:dyDescent="0.3">
      <c r="A9" t="s">
        <v>91</v>
      </c>
      <c r="B9" t="s">
        <v>5</v>
      </c>
      <c r="C9" s="13">
        <v>13</v>
      </c>
      <c r="H9" t="s">
        <v>91</v>
      </c>
      <c r="I9" t="s">
        <v>5</v>
      </c>
      <c r="J9" s="13">
        <v>8</v>
      </c>
      <c r="K9" s="13">
        <v>0</v>
      </c>
      <c r="L9" s="13">
        <v>0</v>
      </c>
      <c r="M9" s="13">
        <v>2</v>
      </c>
      <c r="N9" s="13">
        <v>0</v>
      </c>
      <c r="O9" s="13">
        <v>1</v>
      </c>
      <c r="P9" s="13">
        <v>0</v>
      </c>
      <c r="Q9" s="13">
        <v>1</v>
      </c>
      <c r="R9" s="13">
        <v>1</v>
      </c>
      <c r="S9" s="13">
        <v>0</v>
      </c>
    </row>
    <row r="10" spans="1:19" x14ac:dyDescent="0.3">
      <c r="A10" t="s">
        <v>83</v>
      </c>
      <c r="B10" t="s">
        <v>1</v>
      </c>
      <c r="C10" s="13">
        <v>27</v>
      </c>
      <c r="H10" t="s">
        <v>83</v>
      </c>
      <c r="I10" t="s">
        <v>1</v>
      </c>
      <c r="J10" s="13">
        <v>12</v>
      </c>
      <c r="K10" s="13">
        <v>2</v>
      </c>
      <c r="L10" s="13">
        <v>1</v>
      </c>
      <c r="M10" s="13">
        <v>2</v>
      </c>
      <c r="N10" s="13">
        <v>6</v>
      </c>
      <c r="O10" s="13">
        <v>3</v>
      </c>
      <c r="P10" s="13">
        <v>0</v>
      </c>
      <c r="Q10" s="13">
        <v>1</v>
      </c>
      <c r="R10" s="13">
        <v>0</v>
      </c>
      <c r="S10" s="13">
        <v>0</v>
      </c>
    </row>
    <row r="11" spans="1:19" x14ac:dyDescent="0.3">
      <c r="A11" t="s">
        <v>89</v>
      </c>
      <c r="B11" t="s">
        <v>4</v>
      </c>
      <c r="C11" s="13">
        <v>15</v>
      </c>
      <c r="H11" t="s">
        <v>89</v>
      </c>
      <c r="I11" t="s">
        <v>4</v>
      </c>
      <c r="J11" s="13">
        <v>8</v>
      </c>
      <c r="K11" s="13">
        <v>1</v>
      </c>
      <c r="L11" s="13">
        <v>1</v>
      </c>
      <c r="M11" s="13">
        <v>1</v>
      </c>
      <c r="N11" s="13">
        <v>2</v>
      </c>
      <c r="O11" s="13">
        <v>0</v>
      </c>
      <c r="P11" s="13">
        <v>0</v>
      </c>
      <c r="Q11" s="13">
        <v>2</v>
      </c>
      <c r="R11" s="13">
        <v>0</v>
      </c>
      <c r="S11" s="13">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347F6-CF88-4E4F-9162-1B78E5C0720F}">
  <sheetPr codeName="Sheet6"/>
  <dimension ref="A3:Z38"/>
  <sheetViews>
    <sheetView workbookViewId="0">
      <selection activeCell="K16" sqref="K16"/>
    </sheetView>
  </sheetViews>
  <sheetFormatPr defaultRowHeight="14.4" x14ac:dyDescent="0.3"/>
  <cols>
    <col min="1" max="1" width="12.88671875" bestFit="1" customWidth="1"/>
    <col min="2" max="2" width="9.21875" bestFit="1" customWidth="1"/>
    <col min="3" max="3" width="8.21875" bestFit="1" customWidth="1"/>
    <col min="4" max="4" width="11.44140625" bestFit="1" customWidth="1"/>
    <col min="5" max="5" width="17.5546875" bestFit="1" customWidth="1"/>
    <col min="6" max="6" width="7.44140625" bestFit="1" customWidth="1"/>
    <col min="7" max="7" width="7.33203125" bestFit="1" customWidth="1"/>
    <col min="8" max="8" width="9.77734375" bestFit="1" customWidth="1"/>
    <col min="9" max="9" width="14.6640625" bestFit="1" customWidth="1"/>
    <col min="10" max="10" width="20.88671875" bestFit="1" customWidth="1"/>
    <col min="11" max="12" width="18.33203125" bestFit="1" customWidth="1"/>
  </cols>
  <sheetData>
    <row r="3" spans="1:26" x14ac:dyDescent="0.3">
      <c r="A3" s="4" t="s">
        <v>24</v>
      </c>
      <c r="B3" s="4" t="s">
        <v>0</v>
      </c>
      <c r="C3" t="s">
        <v>453</v>
      </c>
      <c r="N3" t="s">
        <v>24</v>
      </c>
      <c r="O3" t="s">
        <v>0</v>
      </c>
      <c r="P3" t="s">
        <v>454</v>
      </c>
      <c r="Q3" t="s">
        <v>455</v>
      </c>
      <c r="R3" t="s">
        <v>456</v>
      </c>
      <c r="S3" t="s">
        <v>457</v>
      </c>
      <c r="T3" t="s">
        <v>458</v>
      </c>
      <c r="U3" t="s">
        <v>459</v>
      </c>
      <c r="V3" t="s">
        <v>460</v>
      </c>
      <c r="W3" t="s">
        <v>461</v>
      </c>
      <c r="X3" t="s">
        <v>462</v>
      </c>
      <c r="Y3" t="s">
        <v>463</v>
      </c>
      <c r="Z3" t="s">
        <v>464</v>
      </c>
    </row>
    <row r="4" spans="1:26" x14ac:dyDescent="0.3">
      <c r="A4" t="s">
        <v>85</v>
      </c>
      <c r="B4" t="s">
        <v>2</v>
      </c>
      <c r="C4" s="13">
        <v>1196</v>
      </c>
      <c r="N4" t="s">
        <v>85</v>
      </c>
      <c r="O4" t="s">
        <v>2</v>
      </c>
      <c r="P4">
        <v>47</v>
      </c>
      <c r="Q4">
        <v>146</v>
      </c>
      <c r="R4">
        <v>244</v>
      </c>
      <c r="S4">
        <v>48</v>
      </c>
      <c r="T4">
        <v>319</v>
      </c>
      <c r="U4">
        <v>69</v>
      </c>
      <c r="V4">
        <v>86</v>
      </c>
      <c r="W4">
        <v>5</v>
      </c>
      <c r="X4">
        <v>101</v>
      </c>
      <c r="Y4">
        <v>131</v>
      </c>
      <c r="Z4">
        <f>SUM(P4:Y4)</f>
        <v>1196</v>
      </c>
    </row>
    <row r="5" spans="1:26" x14ac:dyDescent="0.3">
      <c r="A5" t="s">
        <v>93</v>
      </c>
      <c r="B5" t="s">
        <v>6</v>
      </c>
      <c r="C5" s="13">
        <v>1610</v>
      </c>
      <c r="N5" t="s">
        <v>93</v>
      </c>
      <c r="O5" t="s">
        <v>6</v>
      </c>
      <c r="P5">
        <v>62</v>
      </c>
      <c r="Q5">
        <v>148</v>
      </c>
      <c r="R5">
        <v>145</v>
      </c>
      <c r="S5">
        <v>74</v>
      </c>
      <c r="T5">
        <v>419</v>
      </c>
      <c r="U5">
        <v>200</v>
      </c>
      <c r="V5">
        <v>110</v>
      </c>
      <c r="W5">
        <v>4</v>
      </c>
      <c r="X5">
        <v>151</v>
      </c>
      <c r="Y5">
        <v>297</v>
      </c>
      <c r="Z5">
        <f t="shared" ref="Z5:Z13" si="0">SUM(P5:Y5)</f>
        <v>1610</v>
      </c>
    </row>
    <row r="6" spans="1:26" x14ac:dyDescent="0.3">
      <c r="A6" t="s">
        <v>97</v>
      </c>
      <c r="B6" t="s">
        <v>8</v>
      </c>
      <c r="C6" s="13">
        <v>59</v>
      </c>
      <c r="N6" t="s">
        <v>97</v>
      </c>
      <c r="O6" t="s">
        <v>8</v>
      </c>
      <c r="P6">
        <v>13</v>
      </c>
      <c r="Q6">
        <v>7</v>
      </c>
      <c r="R6">
        <v>12</v>
      </c>
      <c r="S6">
        <v>1</v>
      </c>
      <c r="T6">
        <v>2</v>
      </c>
      <c r="U6">
        <v>0</v>
      </c>
      <c r="V6">
        <v>11</v>
      </c>
      <c r="W6">
        <v>13</v>
      </c>
      <c r="X6">
        <v>0</v>
      </c>
      <c r="Y6">
        <v>0</v>
      </c>
      <c r="Z6">
        <f t="shared" si="0"/>
        <v>59</v>
      </c>
    </row>
    <row r="7" spans="1:26" x14ac:dyDescent="0.3">
      <c r="A7" t="s">
        <v>87</v>
      </c>
      <c r="B7" t="s">
        <v>3</v>
      </c>
      <c r="C7" s="13">
        <v>13</v>
      </c>
      <c r="N7" t="s">
        <v>87</v>
      </c>
      <c r="O7" t="s">
        <v>3</v>
      </c>
      <c r="P7">
        <v>0</v>
      </c>
      <c r="Q7">
        <v>2</v>
      </c>
      <c r="R7">
        <v>0</v>
      </c>
      <c r="S7">
        <v>4</v>
      </c>
      <c r="T7">
        <v>0</v>
      </c>
      <c r="U7">
        <v>2</v>
      </c>
      <c r="V7">
        <v>1</v>
      </c>
      <c r="W7">
        <v>4</v>
      </c>
      <c r="X7">
        <v>0</v>
      </c>
      <c r="Y7">
        <v>0</v>
      </c>
      <c r="Z7">
        <f t="shared" si="0"/>
        <v>13</v>
      </c>
    </row>
    <row r="8" spans="1:26" x14ac:dyDescent="0.3">
      <c r="A8" t="s">
        <v>95</v>
      </c>
      <c r="B8" t="s">
        <v>7</v>
      </c>
      <c r="C8" s="13">
        <v>8</v>
      </c>
      <c r="N8" t="s">
        <v>95</v>
      </c>
      <c r="O8" t="s">
        <v>7</v>
      </c>
      <c r="P8">
        <v>1</v>
      </c>
      <c r="Q8">
        <v>0</v>
      </c>
      <c r="R8">
        <v>2</v>
      </c>
      <c r="S8">
        <v>2</v>
      </c>
      <c r="T8">
        <v>1</v>
      </c>
      <c r="U8">
        <v>0</v>
      </c>
      <c r="V8">
        <v>1</v>
      </c>
      <c r="W8">
        <v>1</v>
      </c>
      <c r="X8">
        <v>0</v>
      </c>
      <c r="Y8">
        <v>0</v>
      </c>
      <c r="Z8">
        <f t="shared" si="0"/>
        <v>8</v>
      </c>
    </row>
    <row r="9" spans="1:26" x14ac:dyDescent="0.3">
      <c r="A9" t="s">
        <v>99</v>
      </c>
      <c r="B9" t="s">
        <v>9</v>
      </c>
      <c r="C9" s="13">
        <v>84</v>
      </c>
      <c r="N9" t="s">
        <v>99</v>
      </c>
      <c r="O9" t="s">
        <v>9</v>
      </c>
      <c r="P9">
        <v>25</v>
      </c>
      <c r="Q9">
        <v>28</v>
      </c>
      <c r="R9">
        <v>6</v>
      </c>
      <c r="S9">
        <v>8</v>
      </c>
      <c r="T9">
        <v>7</v>
      </c>
      <c r="U9">
        <v>4</v>
      </c>
      <c r="V9">
        <v>5</v>
      </c>
      <c r="W9">
        <v>0</v>
      </c>
      <c r="X9">
        <v>0</v>
      </c>
      <c r="Y9">
        <v>1</v>
      </c>
      <c r="Z9">
        <f t="shared" si="0"/>
        <v>84</v>
      </c>
    </row>
    <row r="10" spans="1:26" x14ac:dyDescent="0.3">
      <c r="A10" t="s">
        <v>101</v>
      </c>
      <c r="B10" t="s">
        <v>10</v>
      </c>
      <c r="C10" s="13">
        <v>233</v>
      </c>
      <c r="N10" t="s">
        <v>101</v>
      </c>
      <c r="O10" t="s">
        <v>10</v>
      </c>
      <c r="P10">
        <v>59</v>
      </c>
      <c r="Q10">
        <v>13</v>
      </c>
      <c r="R10">
        <v>34</v>
      </c>
      <c r="S10">
        <v>1</v>
      </c>
      <c r="T10">
        <v>15</v>
      </c>
      <c r="U10">
        <v>2</v>
      </c>
      <c r="V10">
        <v>43</v>
      </c>
      <c r="W10">
        <v>59</v>
      </c>
      <c r="X10">
        <v>1</v>
      </c>
      <c r="Y10">
        <v>6</v>
      </c>
      <c r="Z10">
        <f t="shared" si="0"/>
        <v>233</v>
      </c>
    </row>
    <row r="11" spans="1:26" x14ac:dyDescent="0.3">
      <c r="A11" t="s">
        <v>91</v>
      </c>
      <c r="B11" t="s">
        <v>5</v>
      </c>
      <c r="C11" s="13">
        <v>197</v>
      </c>
      <c r="N11" t="s">
        <v>91</v>
      </c>
      <c r="O11" t="s">
        <v>5</v>
      </c>
      <c r="P11">
        <v>40</v>
      </c>
      <c r="Q11">
        <v>29</v>
      </c>
      <c r="R11">
        <v>34</v>
      </c>
      <c r="S11">
        <v>5</v>
      </c>
      <c r="T11">
        <v>21</v>
      </c>
      <c r="U11">
        <v>2</v>
      </c>
      <c r="V11">
        <v>26</v>
      </c>
      <c r="W11">
        <v>32</v>
      </c>
      <c r="X11">
        <v>1</v>
      </c>
      <c r="Y11">
        <v>7</v>
      </c>
      <c r="Z11">
        <f t="shared" si="0"/>
        <v>197</v>
      </c>
    </row>
    <row r="12" spans="1:26" x14ac:dyDescent="0.3">
      <c r="A12" t="s">
        <v>83</v>
      </c>
      <c r="B12" t="s">
        <v>1</v>
      </c>
      <c r="C12" s="13">
        <v>447</v>
      </c>
      <c r="N12" t="s">
        <v>83</v>
      </c>
      <c r="O12" t="s">
        <v>1</v>
      </c>
      <c r="P12">
        <v>85</v>
      </c>
      <c r="Q12">
        <v>47</v>
      </c>
      <c r="R12">
        <v>75</v>
      </c>
      <c r="S12">
        <v>3</v>
      </c>
      <c r="T12">
        <v>56</v>
      </c>
      <c r="U12">
        <v>12</v>
      </c>
      <c r="V12">
        <v>68</v>
      </c>
      <c r="W12">
        <v>78</v>
      </c>
      <c r="X12">
        <v>5</v>
      </c>
      <c r="Y12">
        <v>18</v>
      </c>
      <c r="Z12">
        <f t="shared" si="0"/>
        <v>447</v>
      </c>
    </row>
    <row r="13" spans="1:26" x14ac:dyDescent="0.3">
      <c r="A13" t="s">
        <v>89</v>
      </c>
      <c r="B13" t="s">
        <v>4</v>
      </c>
      <c r="C13" s="13">
        <v>413</v>
      </c>
      <c r="N13" t="s">
        <v>89</v>
      </c>
      <c r="O13" t="s">
        <v>4</v>
      </c>
      <c r="P13">
        <v>19</v>
      </c>
      <c r="Q13">
        <v>29</v>
      </c>
      <c r="R13">
        <v>45</v>
      </c>
      <c r="S13">
        <v>32</v>
      </c>
      <c r="T13">
        <v>130</v>
      </c>
      <c r="U13">
        <v>30</v>
      </c>
      <c r="V13">
        <v>27</v>
      </c>
      <c r="W13">
        <v>6</v>
      </c>
      <c r="X13">
        <v>18</v>
      </c>
      <c r="Y13">
        <v>77</v>
      </c>
      <c r="Z13">
        <f t="shared" si="0"/>
        <v>413</v>
      </c>
    </row>
    <row r="16" spans="1:26" x14ac:dyDescent="0.3">
      <c r="A16" s="4" t="s">
        <v>0</v>
      </c>
      <c r="B16" t="s">
        <v>454</v>
      </c>
      <c r="C16" t="s">
        <v>455</v>
      </c>
      <c r="D16" t="s">
        <v>456</v>
      </c>
      <c r="E16" t="s">
        <v>457</v>
      </c>
      <c r="F16" t="s">
        <v>458</v>
      </c>
      <c r="G16" t="s">
        <v>459</v>
      </c>
      <c r="H16" t="s">
        <v>460</v>
      </c>
      <c r="I16" t="s">
        <v>461</v>
      </c>
      <c r="J16" t="s">
        <v>462</v>
      </c>
      <c r="K16" t="s">
        <v>463</v>
      </c>
    </row>
    <row r="17" spans="1:11" x14ac:dyDescent="0.3">
      <c r="A17" t="s">
        <v>1</v>
      </c>
      <c r="B17" s="13">
        <v>85</v>
      </c>
      <c r="C17" s="13">
        <v>47</v>
      </c>
      <c r="D17" s="13">
        <v>75</v>
      </c>
      <c r="E17" s="13">
        <v>3</v>
      </c>
      <c r="F17" s="13">
        <v>56</v>
      </c>
      <c r="G17" s="13">
        <v>12</v>
      </c>
      <c r="H17" s="13">
        <v>68</v>
      </c>
      <c r="I17" s="13">
        <v>78</v>
      </c>
      <c r="J17" s="13">
        <v>5</v>
      </c>
      <c r="K17" s="13">
        <v>18</v>
      </c>
    </row>
    <row r="18" spans="1:11" x14ac:dyDescent="0.3">
      <c r="A18" t="s">
        <v>7</v>
      </c>
      <c r="B18" s="13">
        <v>1</v>
      </c>
      <c r="C18" s="13">
        <v>0</v>
      </c>
      <c r="D18" s="13">
        <v>2</v>
      </c>
      <c r="E18" s="13">
        <v>2</v>
      </c>
      <c r="F18" s="13">
        <v>1</v>
      </c>
      <c r="G18" s="13">
        <v>0</v>
      </c>
      <c r="H18" s="13">
        <v>1</v>
      </c>
      <c r="I18" s="13">
        <v>1</v>
      </c>
      <c r="J18" s="13">
        <v>0</v>
      </c>
      <c r="K18" s="13">
        <v>0</v>
      </c>
    </row>
    <row r="19" spans="1:11" x14ac:dyDescent="0.3">
      <c r="A19" t="s">
        <v>6</v>
      </c>
      <c r="B19" s="13">
        <v>62</v>
      </c>
      <c r="C19" s="13">
        <v>148</v>
      </c>
      <c r="D19" s="13">
        <v>145</v>
      </c>
      <c r="E19" s="13">
        <v>74</v>
      </c>
      <c r="F19" s="13">
        <v>419</v>
      </c>
      <c r="G19" s="13">
        <v>200</v>
      </c>
      <c r="H19" s="13">
        <v>110</v>
      </c>
      <c r="I19" s="13">
        <v>4</v>
      </c>
      <c r="J19" s="13">
        <v>151</v>
      </c>
      <c r="K19" s="13">
        <v>297</v>
      </c>
    </row>
    <row r="20" spans="1:11" x14ac:dyDescent="0.3">
      <c r="A20" t="s">
        <v>3</v>
      </c>
      <c r="B20" s="13">
        <v>0</v>
      </c>
      <c r="C20" s="13">
        <v>2</v>
      </c>
      <c r="D20" s="13">
        <v>0</v>
      </c>
      <c r="E20" s="13">
        <v>4</v>
      </c>
      <c r="F20" s="13">
        <v>0</v>
      </c>
      <c r="G20" s="13">
        <v>2</v>
      </c>
      <c r="H20" s="13">
        <v>1</v>
      </c>
      <c r="I20" s="13">
        <v>4</v>
      </c>
      <c r="J20" s="13">
        <v>0</v>
      </c>
      <c r="K20" s="13">
        <v>0</v>
      </c>
    </row>
    <row r="21" spans="1:11" x14ac:dyDescent="0.3">
      <c r="A21" t="s">
        <v>8</v>
      </c>
      <c r="B21" s="13">
        <v>13</v>
      </c>
      <c r="C21" s="13">
        <v>7</v>
      </c>
      <c r="D21" s="13">
        <v>12</v>
      </c>
      <c r="E21" s="13">
        <v>1</v>
      </c>
      <c r="F21" s="13">
        <v>2</v>
      </c>
      <c r="G21" s="13">
        <v>0</v>
      </c>
      <c r="H21" s="13">
        <v>11</v>
      </c>
      <c r="I21" s="13">
        <v>13</v>
      </c>
      <c r="J21" s="13">
        <v>0</v>
      </c>
      <c r="K21" s="13">
        <v>0</v>
      </c>
    </row>
    <row r="22" spans="1:11" x14ac:dyDescent="0.3">
      <c r="A22" t="s">
        <v>9</v>
      </c>
      <c r="B22" s="13">
        <v>25</v>
      </c>
      <c r="C22" s="13">
        <v>28</v>
      </c>
      <c r="D22" s="13">
        <v>6</v>
      </c>
      <c r="E22" s="13">
        <v>8</v>
      </c>
      <c r="F22" s="13">
        <v>7</v>
      </c>
      <c r="G22" s="13">
        <v>4</v>
      </c>
      <c r="H22" s="13">
        <v>5</v>
      </c>
      <c r="I22" s="13">
        <v>0</v>
      </c>
      <c r="J22" s="13">
        <v>0</v>
      </c>
      <c r="K22" s="13">
        <v>1</v>
      </c>
    </row>
    <row r="23" spans="1:11" x14ac:dyDescent="0.3">
      <c r="A23" t="s">
        <v>5</v>
      </c>
      <c r="B23" s="13">
        <v>40</v>
      </c>
      <c r="C23" s="13">
        <v>29</v>
      </c>
      <c r="D23" s="13">
        <v>34</v>
      </c>
      <c r="E23" s="13">
        <v>5</v>
      </c>
      <c r="F23" s="13">
        <v>21</v>
      </c>
      <c r="G23" s="13">
        <v>2</v>
      </c>
      <c r="H23" s="13">
        <v>26</v>
      </c>
      <c r="I23" s="13">
        <v>32</v>
      </c>
      <c r="J23" s="13">
        <v>1</v>
      </c>
      <c r="K23" s="13">
        <v>7</v>
      </c>
    </row>
    <row r="24" spans="1:11" x14ac:dyDescent="0.3">
      <c r="A24" t="s">
        <v>10</v>
      </c>
      <c r="B24" s="13">
        <v>59</v>
      </c>
      <c r="C24" s="13">
        <v>13</v>
      </c>
      <c r="D24" s="13">
        <v>34</v>
      </c>
      <c r="E24" s="13">
        <v>1</v>
      </c>
      <c r="F24" s="13">
        <v>15</v>
      </c>
      <c r="G24" s="13">
        <v>2</v>
      </c>
      <c r="H24" s="13">
        <v>43</v>
      </c>
      <c r="I24" s="13">
        <v>59</v>
      </c>
      <c r="J24" s="13">
        <v>1</v>
      </c>
      <c r="K24" s="13">
        <v>6</v>
      </c>
    </row>
    <row r="25" spans="1:11" x14ac:dyDescent="0.3">
      <c r="A25" t="s">
        <v>2</v>
      </c>
      <c r="B25" s="13">
        <v>47</v>
      </c>
      <c r="C25" s="13">
        <v>146</v>
      </c>
      <c r="D25" s="13">
        <v>244</v>
      </c>
      <c r="E25" s="13">
        <v>48</v>
      </c>
      <c r="F25" s="13">
        <v>319</v>
      </c>
      <c r="G25" s="13">
        <v>69</v>
      </c>
      <c r="H25" s="13">
        <v>86</v>
      </c>
      <c r="I25" s="13">
        <v>5</v>
      </c>
      <c r="J25" s="13">
        <v>101</v>
      </c>
      <c r="K25" s="13">
        <v>131</v>
      </c>
    </row>
    <row r="26" spans="1:11" x14ac:dyDescent="0.3">
      <c r="A26" t="s">
        <v>4</v>
      </c>
      <c r="B26" s="13">
        <v>19</v>
      </c>
      <c r="C26" s="13">
        <v>29</v>
      </c>
      <c r="D26" s="13">
        <v>45</v>
      </c>
      <c r="E26" s="13">
        <v>32</v>
      </c>
      <c r="F26" s="13">
        <v>130</v>
      </c>
      <c r="G26" s="13">
        <v>30</v>
      </c>
      <c r="H26" s="13">
        <v>27</v>
      </c>
      <c r="I26" s="13">
        <v>6</v>
      </c>
      <c r="J26" s="13">
        <v>18</v>
      </c>
      <c r="K26" s="13">
        <v>77</v>
      </c>
    </row>
    <row r="28" spans="1:11" x14ac:dyDescent="0.3">
      <c r="A28" t="s">
        <v>0</v>
      </c>
      <c r="B28" t="s">
        <v>465</v>
      </c>
      <c r="C28" t="s">
        <v>466</v>
      </c>
      <c r="D28" t="s">
        <v>467</v>
      </c>
      <c r="E28" t="s">
        <v>468</v>
      </c>
      <c r="F28" t="s">
        <v>469</v>
      </c>
      <c r="G28" t="s">
        <v>470</v>
      </c>
      <c r="H28" t="s">
        <v>471</v>
      </c>
      <c r="I28" t="s">
        <v>472</v>
      </c>
      <c r="J28" t="s">
        <v>473</v>
      </c>
      <c r="K28" t="s">
        <v>474</v>
      </c>
    </row>
    <row r="29" spans="1:11" x14ac:dyDescent="0.3">
      <c r="A29" t="s">
        <v>1</v>
      </c>
      <c r="B29">
        <v>85</v>
      </c>
      <c r="C29">
        <v>47</v>
      </c>
      <c r="D29">
        <v>75</v>
      </c>
      <c r="E29">
        <v>3</v>
      </c>
      <c r="F29">
        <v>56</v>
      </c>
      <c r="G29">
        <v>12</v>
      </c>
      <c r="H29">
        <v>68</v>
      </c>
      <c r="I29">
        <v>78</v>
      </c>
      <c r="J29">
        <v>5</v>
      </c>
      <c r="K29">
        <v>18</v>
      </c>
    </row>
    <row r="30" spans="1:11" x14ac:dyDescent="0.3">
      <c r="A30" t="s">
        <v>7</v>
      </c>
      <c r="B30">
        <v>1</v>
      </c>
      <c r="C30">
        <v>0</v>
      </c>
      <c r="D30">
        <v>2</v>
      </c>
      <c r="E30">
        <v>2</v>
      </c>
      <c r="F30">
        <v>1</v>
      </c>
      <c r="G30">
        <v>0</v>
      </c>
      <c r="H30">
        <v>1</v>
      </c>
      <c r="I30">
        <v>1</v>
      </c>
      <c r="J30">
        <v>0</v>
      </c>
      <c r="K30">
        <v>0</v>
      </c>
    </row>
    <row r="31" spans="1:11" x14ac:dyDescent="0.3">
      <c r="A31" t="s">
        <v>6</v>
      </c>
      <c r="B31">
        <v>62</v>
      </c>
      <c r="C31">
        <v>148</v>
      </c>
      <c r="D31">
        <v>145</v>
      </c>
      <c r="E31">
        <v>74</v>
      </c>
      <c r="F31">
        <v>419</v>
      </c>
      <c r="G31">
        <v>200</v>
      </c>
      <c r="H31">
        <v>110</v>
      </c>
      <c r="I31">
        <v>4</v>
      </c>
      <c r="J31">
        <v>151</v>
      </c>
      <c r="K31">
        <v>297</v>
      </c>
    </row>
    <row r="32" spans="1:11" x14ac:dyDescent="0.3">
      <c r="A32" t="s">
        <v>3</v>
      </c>
      <c r="B32">
        <v>0</v>
      </c>
      <c r="C32">
        <v>2</v>
      </c>
      <c r="D32">
        <v>0</v>
      </c>
      <c r="E32">
        <v>4</v>
      </c>
      <c r="F32">
        <v>0</v>
      </c>
      <c r="G32">
        <v>2</v>
      </c>
      <c r="H32">
        <v>1</v>
      </c>
      <c r="I32">
        <v>4</v>
      </c>
      <c r="J32">
        <v>0</v>
      </c>
      <c r="K32">
        <v>0</v>
      </c>
    </row>
    <row r="33" spans="1:11" x14ac:dyDescent="0.3">
      <c r="A33" t="s">
        <v>8</v>
      </c>
      <c r="B33">
        <v>13</v>
      </c>
      <c r="C33">
        <v>7</v>
      </c>
      <c r="D33">
        <v>12</v>
      </c>
      <c r="E33">
        <v>1</v>
      </c>
      <c r="F33">
        <v>2</v>
      </c>
      <c r="G33">
        <v>0</v>
      </c>
      <c r="H33">
        <v>11</v>
      </c>
      <c r="I33">
        <v>13</v>
      </c>
      <c r="J33">
        <v>0</v>
      </c>
      <c r="K33">
        <v>0</v>
      </c>
    </row>
    <row r="34" spans="1:11" x14ac:dyDescent="0.3">
      <c r="A34" t="s">
        <v>9</v>
      </c>
      <c r="B34">
        <v>25</v>
      </c>
      <c r="C34">
        <v>28</v>
      </c>
      <c r="D34">
        <v>6</v>
      </c>
      <c r="E34">
        <v>8</v>
      </c>
      <c r="F34">
        <v>7</v>
      </c>
      <c r="G34">
        <v>4</v>
      </c>
      <c r="H34">
        <v>5</v>
      </c>
      <c r="I34">
        <v>0</v>
      </c>
      <c r="J34">
        <v>0</v>
      </c>
      <c r="K34">
        <v>1</v>
      </c>
    </row>
    <row r="35" spans="1:11" x14ac:dyDescent="0.3">
      <c r="A35" t="s">
        <v>5</v>
      </c>
      <c r="B35">
        <v>40</v>
      </c>
      <c r="C35">
        <v>29</v>
      </c>
      <c r="D35">
        <v>34</v>
      </c>
      <c r="E35">
        <v>5</v>
      </c>
      <c r="F35">
        <v>21</v>
      </c>
      <c r="G35">
        <v>2</v>
      </c>
      <c r="H35">
        <v>26</v>
      </c>
      <c r="I35">
        <v>32</v>
      </c>
      <c r="J35">
        <v>1</v>
      </c>
      <c r="K35">
        <v>7</v>
      </c>
    </row>
    <row r="36" spans="1:11" x14ac:dyDescent="0.3">
      <c r="A36" t="s">
        <v>10</v>
      </c>
      <c r="B36">
        <v>59</v>
      </c>
      <c r="C36">
        <v>13</v>
      </c>
      <c r="D36">
        <v>34</v>
      </c>
      <c r="E36">
        <v>1</v>
      </c>
      <c r="F36">
        <v>15</v>
      </c>
      <c r="G36">
        <v>2</v>
      </c>
      <c r="H36">
        <v>43</v>
      </c>
      <c r="I36">
        <v>59</v>
      </c>
      <c r="J36">
        <v>1</v>
      </c>
      <c r="K36">
        <v>6</v>
      </c>
    </row>
    <row r="37" spans="1:11" x14ac:dyDescent="0.3">
      <c r="A37" t="s">
        <v>2</v>
      </c>
      <c r="B37">
        <v>47</v>
      </c>
      <c r="C37">
        <v>146</v>
      </c>
      <c r="D37">
        <v>244</v>
      </c>
      <c r="E37">
        <v>48</v>
      </c>
      <c r="F37">
        <v>319</v>
      </c>
      <c r="G37">
        <v>69</v>
      </c>
      <c r="H37">
        <v>86</v>
      </c>
      <c r="I37">
        <v>5</v>
      </c>
      <c r="J37">
        <v>101</v>
      </c>
      <c r="K37">
        <v>131</v>
      </c>
    </row>
    <row r="38" spans="1:11" x14ac:dyDescent="0.3">
      <c r="A38" t="s">
        <v>4</v>
      </c>
      <c r="B38">
        <v>19</v>
      </c>
      <c r="C38">
        <v>29</v>
      </c>
      <c r="D38">
        <v>45</v>
      </c>
      <c r="E38">
        <v>32</v>
      </c>
      <c r="F38">
        <v>130</v>
      </c>
      <c r="G38">
        <v>30</v>
      </c>
      <c r="H38">
        <v>27</v>
      </c>
      <c r="I38">
        <v>6</v>
      </c>
      <c r="J38">
        <v>18</v>
      </c>
      <c r="K38">
        <v>77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831EA-7593-4ECC-B8B2-F91376CAFD3C}">
  <sheetPr codeName="Sheet7"/>
  <dimension ref="A3:K28"/>
  <sheetViews>
    <sheetView workbookViewId="0">
      <selection activeCell="AI104" sqref="T15:AI104"/>
    </sheetView>
  </sheetViews>
  <sheetFormatPr defaultRowHeight="14.4" x14ac:dyDescent="0.3"/>
  <cols>
    <col min="1" max="1" width="6.5546875" bestFit="1" customWidth="1"/>
    <col min="2" max="2" width="12.88671875" bestFit="1" customWidth="1"/>
    <col min="3" max="3" width="10.5546875" bestFit="1" customWidth="1"/>
    <col min="4" max="4" width="17.44140625" bestFit="1" customWidth="1"/>
    <col min="5" max="11" width="13.44140625" bestFit="1" customWidth="1"/>
    <col min="12" max="12" width="6" bestFit="1" customWidth="1"/>
    <col min="13" max="14" width="11.44140625" bestFit="1" customWidth="1"/>
  </cols>
  <sheetData>
    <row r="3" spans="1:4" x14ac:dyDescent="0.3">
      <c r="A3" s="4" t="s">
        <v>24</v>
      </c>
      <c r="B3" s="4" t="s">
        <v>0</v>
      </c>
      <c r="C3" t="s">
        <v>495</v>
      </c>
      <c r="D3" t="s">
        <v>496</v>
      </c>
    </row>
    <row r="4" spans="1:4" x14ac:dyDescent="0.3">
      <c r="A4" t="s">
        <v>85</v>
      </c>
      <c r="B4" t="s">
        <v>2</v>
      </c>
      <c r="C4" s="13">
        <v>117</v>
      </c>
      <c r="D4" s="13">
        <v>59.006999999999991</v>
      </c>
    </row>
    <row r="5" spans="1:4" x14ac:dyDescent="0.3">
      <c r="A5" t="s">
        <v>93</v>
      </c>
      <c r="B5" t="s">
        <v>6</v>
      </c>
      <c r="C5" s="13">
        <v>53</v>
      </c>
      <c r="D5" s="13">
        <v>42.456000000000003</v>
      </c>
    </row>
    <row r="6" spans="1:4" x14ac:dyDescent="0.3">
      <c r="A6" t="s">
        <v>97</v>
      </c>
      <c r="B6" t="s">
        <v>8</v>
      </c>
      <c r="C6" s="13">
        <v>147</v>
      </c>
      <c r="D6" s="13">
        <v>104.58900000000001</v>
      </c>
    </row>
    <row r="7" spans="1:4" x14ac:dyDescent="0.3">
      <c r="A7" t="s">
        <v>87</v>
      </c>
      <c r="B7" t="s">
        <v>3</v>
      </c>
      <c r="C7" s="13">
        <v>8</v>
      </c>
      <c r="D7" s="13">
        <v>20.589999999999996</v>
      </c>
    </row>
    <row r="8" spans="1:4" x14ac:dyDescent="0.3">
      <c r="A8" t="s">
        <v>95</v>
      </c>
      <c r="B8" t="s">
        <v>7</v>
      </c>
      <c r="C8" s="13">
        <v>22</v>
      </c>
      <c r="D8" s="13">
        <v>31.481999999999999</v>
      </c>
    </row>
    <row r="9" spans="1:4" x14ac:dyDescent="0.3">
      <c r="A9" t="s">
        <v>99</v>
      </c>
      <c r="B9" t="s">
        <v>9</v>
      </c>
      <c r="C9" s="13">
        <v>110</v>
      </c>
      <c r="D9" s="13">
        <v>56.544000000000004</v>
      </c>
    </row>
    <row r="10" spans="1:4" x14ac:dyDescent="0.3">
      <c r="A10" t="s">
        <v>101</v>
      </c>
      <c r="B10" t="s">
        <v>10</v>
      </c>
      <c r="C10" s="13">
        <v>112</v>
      </c>
      <c r="D10" s="13">
        <v>57.838999999999984</v>
      </c>
    </row>
    <row r="11" spans="1:4" x14ac:dyDescent="0.3">
      <c r="A11" t="s">
        <v>91</v>
      </c>
      <c r="B11" t="s">
        <v>5</v>
      </c>
      <c r="C11" s="13">
        <v>26</v>
      </c>
      <c r="D11" s="13">
        <v>33.097999999999999</v>
      </c>
    </row>
    <row r="12" spans="1:4" x14ac:dyDescent="0.3">
      <c r="A12" t="s">
        <v>83</v>
      </c>
      <c r="B12" t="s">
        <v>1</v>
      </c>
      <c r="C12" s="13">
        <v>85</v>
      </c>
      <c r="D12" s="13">
        <v>49.85799999999999</v>
      </c>
    </row>
    <row r="13" spans="1:4" x14ac:dyDescent="0.3">
      <c r="A13" t="s">
        <v>89</v>
      </c>
      <c r="B13" t="s">
        <v>4</v>
      </c>
      <c r="C13" s="13">
        <v>119</v>
      </c>
      <c r="D13" s="13">
        <v>59.788000000000011</v>
      </c>
    </row>
    <row r="16" spans="1:4" x14ac:dyDescent="0.3">
      <c r="B16" s="4" t="s">
        <v>24</v>
      </c>
      <c r="C16" s="4" t="s">
        <v>0</v>
      </c>
    </row>
    <row r="17" spans="1:11" x14ac:dyDescent="0.3">
      <c r="B17" t="s">
        <v>85</v>
      </c>
      <c r="C17" t="s">
        <v>93</v>
      </c>
      <c r="D17" t="s">
        <v>97</v>
      </c>
      <c r="E17" t="s">
        <v>87</v>
      </c>
      <c r="F17" t="s">
        <v>95</v>
      </c>
      <c r="G17" t="s">
        <v>99</v>
      </c>
      <c r="H17" t="s">
        <v>101</v>
      </c>
      <c r="I17" t="s">
        <v>91</v>
      </c>
      <c r="J17" t="s">
        <v>83</v>
      </c>
      <c r="K17" t="s">
        <v>89</v>
      </c>
    </row>
    <row r="18" spans="1:11" x14ac:dyDescent="0.3">
      <c r="A18" s="4" t="s">
        <v>498</v>
      </c>
      <c r="B18" t="s">
        <v>2</v>
      </c>
      <c r="C18" t="s">
        <v>6</v>
      </c>
      <c r="D18" t="s">
        <v>8</v>
      </c>
      <c r="E18" t="s">
        <v>3</v>
      </c>
      <c r="F18" t="s">
        <v>7</v>
      </c>
      <c r="G18" t="s">
        <v>9</v>
      </c>
      <c r="H18" t="s">
        <v>10</v>
      </c>
      <c r="I18" t="s">
        <v>5</v>
      </c>
      <c r="J18" t="s">
        <v>1</v>
      </c>
      <c r="K18" t="s">
        <v>4</v>
      </c>
    </row>
    <row r="19" spans="1:11" x14ac:dyDescent="0.3">
      <c r="A19" t="s">
        <v>485</v>
      </c>
      <c r="B19" s="13">
        <v>50.22</v>
      </c>
      <c r="C19" s="13">
        <v>40.53</v>
      </c>
      <c r="D19" s="13">
        <v>111.04</v>
      </c>
      <c r="E19" s="13">
        <v>40.04</v>
      </c>
      <c r="F19" s="13">
        <v>43.16</v>
      </c>
      <c r="G19" s="13">
        <v>58.14</v>
      </c>
      <c r="H19" s="13">
        <v>70.5</v>
      </c>
      <c r="I19" s="13">
        <v>59.3</v>
      </c>
      <c r="J19" s="13">
        <v>67.81</v>
      </c>
      <c r="K19" s="13">
        <v>64.900000000000006</v>
      </c>
    </row>
    <row r="20" spans="1:11" x14ac:dyDescent="0.3">
      <c r="A20" t="s">
        <v>486</v>
      </c>
      <c r="B20" s="13">
        <v>46.75</v>
      </c>
      <c r="C20" s="13">
        <v>39.68</v>
      </c>
      <c r="D20" s="13">
        <v>109.29</v>
      </c>
      <c r="E20" s="13">
        <v>36.369999999999997</v>
      </c>
      <c r="F20" s="13">
        <v>41.06</v>
      </c>
      <c r="G20" s="13">
        <v>58.28</v>
      </c>
      <c r="H20" s="13">
        <v>67.650000000000006</v>
      </c>
      <c r="I20" s="13">
        <v>60.99</v>
      </c>
      <c r="J20" s="13">
        <v>62.46</v>
      </c>
      <c r="K20" s="13">
        <v>59.38</v>
      </c>
    </row>
    <row r="21" spans="1:11" x14ac:dyDescent="0.3">
      <c r="A21" t="s">
        <v>487</v>
      </c>
      <c r="B21" s="13">
        <v>47.16</v>
      </c>
      <c r="C21" s="13">
        <v>43.07</v>
      </c>
      <c r="D21" s="13">
        <v>117.91</v>
      </c>
      <c r="E21" s="13">
        <v>0</v>
      </c>
      <c r="F21" s="13">
        <v>39.75</v>
      </c>
      <c r="G21" s="13">
        <v>59.79</v>
      </c>
      <c r="H21" s="13">
        <v>67.06</v>
      </c>
      <c r="I21" s="13">
        <v>59.72</v>
      </c>
      <c r="J21" s="13">
        <v>56.81</v>
      </c>
      <c r="K21" s="13">
        <v>57.49</v>
      </c>
    </row>
    <row r="22" spans="1:11" x14ac:dyDescent="0.3">
      <c r="A22" t="s">
        <v>488</v>
      </c>
      <c r="B22" s="13">
        <v>54.71</v>
      </c>
      <c r="C22" s="13">
        <v>43.45</v>
      </c>
      <c r="D22" s="13">
        <v>109.5</v>
      </c>
      <c r="E22" s="13">
        <v>0</v>
      </c>
      <c r="F22" s="13">
        <v>37.450000000000003</v>
      </c>
      <c r="G22" s="13">
        <v>59.83</v>
      </c>
      <c r="H22" s="13">
        <v>68.81</v>
      </c>
      <c r="I22" s="13">
        <v>54.27</v>
      </c>
      <c r="J22" s="13">
        <v>56.43</v>
      </c>
      <c r="K22" s="13">
        <v>57.04</v>
      </c>
    </row>
    <row r="23" spans="1:11" x14ac:dyDescent="0.3">
      <c r="A23" t="s">
        <v>489</v>
      </c>
      <c r="B23" s="13">
        <v>66.7</v>
      </c>
      <c r="C23" s="13">
        <v>42.98</v>
      </c>
      <c r="D23" s="13">
        <v>116.76</v>
      </c>
      <c r="E23" s="13">
        <v>0</v>
      </c>
      <c r="F23" s="13">
        <v>35.549999999999997</v>
      </c>
      <c r="G23" s="13">
        <v>59.36</v>
      </c>
      <c r="H23" s="13">
        <v>62.16</v>
      </c>
      <c r="I23" s="13">
        <v>49.02</v>
      </c>
      <c r="J23" s="13">
        <v>52.25</v>
      </c>
      <c r="K23" s="13">
        <v>61.81</v>
      </c>
    </row>
    <row r="24" spans="1:11" x14ac:dyDescent="0.3">
      <c r="A24" t="s">
        <v>490</v>
      </c>
      <c r="B24" s="13">
        <v>61.27</v>
      </c>
      <c r="C24" s="13">
        <v>39.79</v>
      </c>
      <c r="D24" s="13">
        <v>112.48</v>
      </c>
      <c r="E24" s="13">
        <v>0</v>
      </c>
      <c r="F24" s="13">
        <v>33.65</v>
      </c>
      <c r="G24" s="13">
        <v>57.69</v>
      </c>
      <c r="H24" s="13">
        <v>52</v>
      </c>
      <c r="I24" s="13">
        <v>47.68</v>
      </c>
      <c r="J24" s="13">
        <v>45.49</v>
      </c>
      <c r="K24" s="13">
        <v>67.42</v>
      </c>
    </row>
    <row r="25" spans="1:11" x14ac:dyDescent="0.3">
      <c r="A25" t="s">
        <v>491</v>
      </c>
      <c r="B25" s="13">
        <v>69.459999999999994</v>
      </c>
      <c r="C25" s="13">
        <v>42.2</v>
      </c>
      <c r="D25" s="13">
        <v>108.09</v>
      </c>
      <c r="E25" s="13">
        <v>33.78</v>
      </c>
      <c r="F25" s="13">
        <v>30.23</v>
      </c>
      <c r="G25" s="13">
        <v>52.85</v>
      </c>
      <c r="H25" s="13">
        <v>47.36</v>
      </c>
      <c r="I25" s="13">
        <v>0</v>
      </c>
      <c r="J25" s="13">
        <v>41.53</v>
      </c>
      <c r="K25" s="13">
        <v>61.34</v>
      </c>
    </row>
    <row r="26" spans="1:11" x14ac:dyDescent="0.3">
      <c r="A26" t="s">
        <v>492</v>
      </c>
      <c r="B26" s="13">
        <v>69.17</v>
      </c>
      <c r="C26" s="13">
        <v>43.61</v>
      </c>
      <c r="D26" s="13">
        <v>91.53</v>
      </c>
      <c r="E26" s="13">
        <v>30.54</v>
      </c>
      <c r="F26" s="13">
        <v>27.58</v>
      </c>
      <c r="G26" s="13">
        <v>57.68</v>
      </c>
      <c r="H26" s="13">
        <v>45.52</v>
      </c>
      <c r="I26" s="13">
        <v>0</v>
      </c>
      <c r="J26" s="13">
        <v>36.119999999999997</v>
      </c>
      <c r="K26" s="13">
        <v>59.12</v>
      </c>
    </row>
    <row r="27" spans="1:11" x14ac:dyDescent="0.3">
      <c r="A27" t="s">
        <v>493</v>
      </c>
      <c r="B27" s="13">
        <v>62.57</v>
      </c>
      <c r="C27" s="13">
        <v>44.18</v>
      </c>
      <c r="D27" s="13">
        <v>84.25</v>
      </c>
      <c r="E27" s="13">
        <v>32.17</v>
      </c>
      <c r="F27" s="13">
        <v>26.39</v>
      </c>
      <c r="G27" s="13">
        <v>47.22</v>
      </c>
      <c r="H27" s="13">
        <v>49.05</v>
      </c>
      <c r="I27" s="13">
        <v>0</v>
      </c>
      <c r="J27" s="13">
        <v>38.46</v>
      </c>
      <c r="K27" s="13">
        <v>58.44</v>
      </c>
    </row>
    <row r="28" spans="1:11" x14ac:dyDescent="0.3">
      <c r="A28" t="s">
        <v>494</v>
      </c>
      <c r="B28" s="13">
        <v>62.06</v>
      </c>
      <c r="C28" s="13">
        <v>45.07</v>
      </c>
      <c r="D28" s="13">
        <v>85.04</v>
      </c>
      <c r="E28" s="13">
        <v>33</v>
      </c>
      <c r="F28" s="13">
        <v>0</v>
      </c>
      <c r="G28" s="13">
        <v>54.6</v>
      </c>
      <c r="H28" s="13">
        <v>48.28</v>
      </c>
      <c r="I28" s="13">
        <v>0</v>
      </c>
      <c r="J28" s="13">
        <v>41.22</v>
      </c>
      <c r="K28" s="13">
        <v>50.94</v>
      </c>
    </row>
  </sheetData>
  <sortState xmlns:xlrd2="http://schemas.microsoft.com/office/spreadsheetml/2017/richdata2" columnSort="1" ref="A3:D13">
    <sortCondition descending="1" ref="C3"/>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FBEF9-5323-4CEC-99DC-F468A35A9B56}">
  <sheetPr codeName="Sheet8"/>
  <dimension ref="A1:BS11"/>
  <sheetViews>
    <sheetView workbookViewId="0">
      <selection activeCell="D1" activeCellId="1" sqref="B1:B11 D1:D11"/>
    </sheetView>
  </sheetViews>
  <sheetFormatPr defaultRowHeight="14.4" x14ac:dyDescent="0.3"/>
  <cols>
    <col min="3" max="3" width="10" customWidth="1"/>
    <col min="4" max="4" width="20.33203125" customWidth="1"/>
    <col min="5" max="5" width="10.88671875" customWidth="1"/>
    <col min="7" max="7" width="9" customWidth="1"/>
    <col min="10" max="10" width="10" customWidth="1"/>
    <col min="11" max="11" width="10.6640625" customWidth="1"/>
    <col min="12" max="12" width="13.109375" customWidth="1"/>
    <col min="13" max="13" width="9.33203125" customWidth="1"/>
    <col min="15" max="15" width="9" customWidth="1"/>
    <col min="17" max="17" width="17.33203125" customWidth="1"/>
    <col min="18" max="18" width="16.33203125" customWidth="1"/>
    <col min="19" max="19" width="17.5546875" customWidth="1"/>
    <col min="20" max="20" width="17.88671875" customWidth="1"/>
    <col min="21" max="21" width="17.44140625" customWidth="1"/>
    <col min="22" max="22" width="22.5546875" customWidth="1"/>
    <col min="23" max="23" width="16.109375" customWidth="1"/>
    <col min="24" max="24" width="16" customWidth="1"/>
    <col min="25" max="25" width="21.6640625" customWidth="1"/>
    <col min="26" max="26" width="9.6640625" customWidth="1"/>
    <col min="27" max="27" width="11.33203125" customWidth="1"/>
    <col min="28" max="28" width="17.88671875" customWidth="1"/>
    <col min="29" max="29" width="13.88671875" customWidth="1"/>
    <col min="30" max="30" width="17" customWidth="1"/>
    <col min="31" max="31" width="17.33203125" customWidth="1"/>
    <col min="32" max="32" width="11" customWidth="1"/>
    <col min="33" max="33" width="10.109375" customWidth="1"/>
    <col min="34" max="34" width="18.109375" customWidth="1"/>
    <col min="35" max="35" width="15.33203125" customWidth="1"/>
    <col min="36" max="36" width="10.6640625" customWidth="1"/>
    <col min="47" max="47" width="18.6640625" customWidth="1"/>
    <col min="48" max="48" width="12" customWidth="1"/>
  </cols>
  <sheetData>
    <row r="1" spans="1:71" x14ac:dyDescent="0.3">
      <c r="A1" s="7" t="s">
        <v>24</v>
      </c>
      <c r="B1" s="7" t="s">
        <v>0</v>
      </c>
      <c r="C1" s="7" t="s">
        <v>25</v>
      </c>
      <c r="D1" s="7" t="s">
        <v>26</v>
      </c>
      <c r="E1" s="7" t="s">
        <v>27</v>
      </c>
      <c r="F1" s="7" t="s">
        <v>28</v>
      </c>
      <c r="G1" s="7" t="s">
        <v>29</v>
      </c>
      <c r="H1" s="7" t="s">
        <v>30</v>
      </c>
      <c r="I1" s="7" t="s">
        <v>31</v>
      </c>
      <c r="J1" s="7" t="s">
        <v>32</v>
      </c>
      <c r="K1" s="7" t="s">
        <v>33</v>
      </c>
      <c r="L1" s="7" t="s">
        <v>34</v>
      </c>
      <c r="M1" s="7" t="s">
        <v>35</v>
      </c>
      <c r="N1" s="7" t="s">
        <v>36</v>
      </c>
      <c r="O1" s="7" t="s">
        <v>37</v>
      </c>
      <c r="P1" s="7" t="s">
        <v>38</v>
      </c>
      <c r="Q1" s="7" t="s">
        <v>39</v>
      </c>
      <c r="R1" s="7" t="s">
        <v>40</v>
      </c>
      <c r="S1" s="7" t="s">
        <v>41</v>
      </c>
      <c r="T1" s="7" t="s">
        <v>42</v>
      </c>
      <c r="U1" s="8" t="s">
        <v>43</v>
      </c>
      <c r="V1" s="8" t="s">
        <v>44</v>
      </c>
      <c r="W1" s="8" t="s">
        <v>45</v>
      </c>
      <c r="X1" s="8" t="s">
        <v>46</v>
      </c>
      <c r="Y1" s="7" t="s">
        <v>47</v>
      </c>
      <c r="Z1" s="7" t="s">
        <v>48</v>
      </c>
      <c r="AA1" s="7" t="s">
        <v>49</v>
      </c>
      <c r="AB1" s="7" t="s">
        <v>50</v>
      </c>
      <c r="AC1" s="7" t="s">
        <v>51</v>
      </c>
      <c r="AD1" s="7" t="s">
        <v>52</v>
      </c>
      <c r="AE1" s="7" t="s">
        <v>53</v>
      </c>
      <c r="AF1" s="7" t="s">
        <v>54</v>
      </c>
      <c r="AG1" s="7" t="s">
        <v>55</v>
      </c>
      <c r="AH1" s="7" t="s">
        <v>56</v>
      </c>
      <c r="AI1" s="7" t="s">
        <v>57</v>
      </c>
      <c r="AJ1" s="7" t="s">
        <v>58</v>
      </c>
      <c r="AK1" s="7" t="s">
        <v>59</v>
      </c>
      <c r="AL1" s="7" t="s">
        <v>60</v>
      </c>
      <c r="AM1" s="7" t="s">
        <v>61</v>
      </c>
      <c r="AN1" s="7" t="s">
        <v>62</v>
      </c>
      <c r="AO1" s="7" t="s">
        <v>63</v>
      </c>
      <c r="AP1" s="7" t="s">
        <v>64</v>
      </c>
      <c r="AQ1" s="7" t="s">
        <v>65</v>
      </c>
      <c r="AR1" s="7" t="s">
        <v>66</v>
      </c>
      <c r="AS1" s="7" t="s">
        <v>67</v>
      </c>
      <c r="AT1" s="7" t="s">
        <v>68</v>
      </c>
      <c r="AU1" s="7" t="s">
        <v>69</v>
      </c>
      <c r="AV1" s="7" t="s">
        <v>70</v>
      </c>
      <c r="AW1" s="7" t="s">
        <v>71</v>
      </c>
      <c r="AX1" s="7" t="s">
        <v>72</v>
      </c>
      <c r="AY1" s="7" t="s">
        <v>73</v>
      </c>
      <c r="AZ1" s="7" t="s">
        <v>74</v>
      </c>
      <c r="BA1" s="7" t="s">
        <v>75</v>
      </c>
      <c r="BB1" s="7" t="s">
        <v>76</v>
      </c>
      <c r="BC1" s="7" t="s">
        <v>77</v>
      </c>
      <c r="BD1" s="7" t="s">
        <v>78</v>
      </c>
      <c r="BE1" s="7" t="s">
        <v>79</v>
      </c>
      <c r="BF1" s="7" t="s">
        <v>80</v>
      </c>
      <c r="BG1" s="7" t="s">
        <v>81</v>
      </c>
      <c r="BH1" s="7" t="s">
        <v>82</v>
      </c>
      <c r="BI1" s="7" t="s">
        <v>475</v>
      </c>
      <c r="BJ1" s="7" t="s">
        <v>476</v>
      </c>
      <c r="BK1" s="7" t="s">
        <v>477</v>
      </c>
      <c r="BL1" s="7" t="s">
        <v>478</v>
      </c>
      <c r="BM1" s="7" t="s">
        <v>479</v>
      </c>
      <c r="BN1" s="7" t="s">
        <v>480</v>
      </c>
      <c r="BO1" s="7" t="s">
        <v>481</v>
      </c>
      <c r="BP1" s="7" t="s">
        <v>482</v>
      </c>
      <c r="BQ1" s="7" t="s">
        <v>483</v>
      </c>
      <c r="BR1" s="7" t="s">
        <v>484</v>
      </c>
      <c r="BS1" s="7" t="s">
        <v>18</v>
      </c>
    </row>
    <row r="2" spans="1:71" x14ac:dyDescent="0.3">
      <c r="A2" s="2" t="s">
        <v>83</v>
      </c>
      <c r="B2" s="2" t="s">
        <v>1</v>
      </c>
      <c r="C2" s="2" t="s">
        <v>84</v>
      </c>
      <c r="D2" s="2">
        <v>2</v>
      </c>
      <c r="E2" s="2">
        <v>781</v>
      </c>
      <c r="F2" s="2">
        <v>218</v>
      </c>
      <c r="G2" s="2">
        <v>113</v>
      </c>
      <c r="H2" s="2">
        <v>864</v>
      </c>
      <c r="I2" s="2">
        <v>277</v>
      </c>
      <c r="J2" s="2">
        <v>405</v>
      </c>
      <c r="K2" s="2">
        <v>92</v>
      </c>
      <c r="L2" s="2">
        <v>150</v>
      </c>
      <c r="M2" s="2">
        <v>31</v>
      </c>
      <c r="N2" s="2">
        <v>360</v>
      </c>
      <c r="O2" s="2">
        <v>17</v>
      </c>
      <c r="P2" s="2">
        <v>45</v>
      </c>
      <c r="Q2" s="2">
        <f>SUM(Complete_data[[#This Row],[American]:[Indian]])</f>
        <v>3353</v>
      </c>
      <c r="R2" s="2">
        <f>_xlfn.RANK.EQ(Complete_data[[#This Row],[Restaurant count]],Complete_data[Restaurant count],0)</f>
        <v>23</v>
      </c>
      <c r="S2" s="2">
        <v>50</v>
      </c>
      <c r="T2" s="2">
        <v>85</v>
      </c>
      <c r="U2" s="5">
        <v>68.416666666666671</v>
      </c>
      <c r="V2" s="5">
        <f>_xlfn.RANK.EQ(Complete_data[[#This Row],[Max Temperature]],Complete_data[Max Temperature],0)</f>
        <v>8</v>
      </c>
      <c r="W2" s="5">
        <f>_xlfn.RANK.EQ(Complete_data[[#This Row],[Min Temperature]],Complete_data[Min Temperature],0)</f>
        <v>19</v>
      </c>
      <c r="X2" s="5">
        <f>_xlfn.RANK.EQ(Complete_data[[#This Row],[Avg Temperature]],Complete_data[Avg Temperature],0)</f>
        <v>17</v>
      </c>
      <c r="Y2" s="2">
        <v>12</v>
      </c>
      <c r="Z2" s="2">
        <v>2</v>
      </c>
      <c r="AA2" s="2">
        <v>1</v>
      </c>
      <c r="AB2" s="2">
        <v>2</v>
      </c>
      <c r="AC2" s="2">
        <v>6</v>
      </c>
      <c r="AD2" s="2">
        <v>3</v>
      </c>
      <c r="AE2" s="2">
        <v>0</v>
      </c>
      <c r="AF2" s="2">
        <v>1</v>
      </c>
      <c r="AG2" s="2">
        <v>0</v>
      </c>
      <c r="AH2" s="2">
        <v>0</v>
      </c>
      <c r="AI2" s="2">
        <f>SUM(Complete_data[[#This Row],[GENERAL ACUTE CARE]:[CHRONIC DISEASE]])</f>
        <v>27</v>
      </c>
      <c r="AJ2" s="2">
        <f>_xlfn.RANK.EQ(Complete_data[[#This Row],[Hospital Count]],Complete_data[Hospital Count],0)</f>
        <v>8</v>
      </c>
      <c r="AK2" s="2">
        <v>67.81</v>
      </c>
      <c r="AL2" s="2">
        <v>62.46</v>
      </c>
      <c r="AM2" s="2">
        <v>56.81</v>
      </c>
      <c r="AN2" s="2">
        <v>56.43</v>
      </c>
      <c r="AO2" s="2">
        <v>52.25</v>
      </c>
      <c r="AP2" s="2">
        <v>45.49</v>
      </c>
      <c r="AQ2" s="2">
        <v>41.53</v>
      </c>
      <c r="AR2" s="2">
        <v>36.119999999999997</v>
      </c>
      <c r="AS2" s="2">
        <v>38.46</v>
      </c>
      <c r="AT2" s="2">
        <v>41.22</v>
      </c>
      <c r="AU2" s="2">
        <f>AVERAGE(Complete_data[[#This Row],[2009]:[2019]])</f>
        <v>49.85799999999999</v>
      </c>
      <c r="AV2" s="2">
        <f>_xlfn.RANK.EQ(Complete_data[[#This Row],[Average crime rate]],Complete_data[Average crime rate],1)</f>
        <v>85</v>
      </c>
      <c r="AW2" s="11">
        <v>50</v>
      </c>
      <c r="AX2" s="11">
        <v>54</v>
      </c>
      <c r="AY2" s="11">
        <v>62</v>
      </c>
      <c r="AZ2" s="11">
        <v>69</v>
      </c>
      <c r="BA2" s="11">
        <v>75</v>
      </c>
      <c r="BB2" s="11">
        <v>82</v>
      </c>
      <c r="BC2" s="11">
        <v>84</v>
      </c>
      <c r="BD2" s="11">
        <v>85</v>
      </c>
      <c r="BE2" s="11">
        <v>79</v>
      </c>
      <c r="BF2" s="11">
        <v>70</v>
      </c>
      <c r="BG2" s="11">
        <v>59</v>
      </c>
      <c r="BH2" s="11">
        <v>52</v>
      </c>
      <c r="BI2" s="11">
        <v>85</v>
      </c>
      <c r="BJ2" s="11">
        <v>47</v>
      </c>
      <c r="BK2" s="11">
        <v>75</v>
      </c>
      <c r="BL2" s="11">
        <v>3</v>
      </c>
      <c r="BM2" s="11">
        <v>56</v>
      </c>
      <c r="BN2" s="11">
        <v>12</v>
      </c>
      <c r="BO2" s="11">
        <v>68</v>
      </c>
      <c r="BP2" s="11">
        <v>78</v>
      </c>
      <c r="BQ2" s="11">
        <v>5</v>
      </c>
      <c r="BR2" s="11">
        <v>18</v>
      </c>
      <c r="BS2" s="11">
        <v>447</v>
      </c>
    </row>
    <row r="3" spans="1:71" x14ac:dyDescent="0.3">
      <c r="A3" s="3" t="s">
        <v>85</v>
      </c>
      <c r="B3" s="3" t="s">
        <v>2</v>
      </c>
      <c r="C3" s="3" t="s">
        <v>86</v>
      </c>
      <c r="D3" s="3">
        <v>2.2000000000000002</v>
      </c>
      <c r="E3" s="3">
        <v>1813</v>
      </c>
      <c r="F3" s="3">
        <v>829</v>
      </c>
      <c r="G3" s="3">
        <v>350</v>
      </c>
      <c r="H3" s="3">
        <v>2756</v>
      </c>
      <c r="I3" s="3">
        <v>871</v>
      </c>
      <c r="J3" s="3">
        <v>620</v>
      </c>
      <c r="K3" s="3">
        <v>104</v>
      </c>
      <c r="L3" s="3">
        <v>304</v>
      </c>
      <c r="M3" s="3">
        <v>39</v>
      </c>
      <c r="N3" s="3">
        <v>1846</v>
      </c>
      <c r="O3" s="3">
        <v>52</v>
      </c>
      <c r="P3" s="3">
        <v>191</v>
      </c>
      <c r="Q3" s="3">
        <f>SUM(Complete_data[[#This Row],[American]:[Indian]])</f>
        <v>9775</v>
      </c>
      <c r="R3" s="3">
        <f>_xlfn.RANK.EQ(Complete_data[[#This Row],[Restaurant count]],Complete_data[Restaurant count],0)</f>
        <v>5</v>
      </c>
      <c r="S3" s="3">
        <v>52</v>
      </c>
      <c r="T3" s="3">
        <v>64</v>
      </c>
      <c r="U3" s="6">
        <v>57.916666666666664</v>
      </c>
      <c r="V3" s="6">
        <f>_xlfn.RANK.EQ(Complete_data[[#This Row],[Max Temperature]],Complete_data[Max Temperature],0)</f>
        <v>145</v>
      </c>
      <c r="W3" s="6">
        <f>_xlfn.RANK.EQ(Complete_data[[#This Row],[Min Temperature]],Complete_data[Min Temperature],0)</f>
        <v>15</v>
      </c>
      <c r="X3" s="6">
        <f>_xlfn.RANK.EQ(Complete_data[[#This Row],[Avg Temperature]],Complete_data[Avg Temperature],0)</f>
        <v>64</v>
      </c>
      <c r="Y3" s="3">
        <v>13</v>
      </c>
      <c r="Z3" s="3">
        <v>0</v>
      </c>
      <c r="AA3" s="3">
        <v>0</v>
      </c>
      <c r="AB3" s="3">
        <v>1</v>
      </c>
      <c r="AC3" s="3">
        <v>2</v>
      </c>
      <c r="AD3" s="3">
        <v>0</v>
      </c>
      <c r="AE3" s="3">
        <v>0</v>
      </c>
      <c r="AF3" s="3">
        <v>1</v>
      </c>
      <c r="AG3" s="3">
        <v>0</v>
      </c>
      <c r="AH3" s="3">
        <v>0</v>
      </c>
      <c r="AI3" s="3">
        <f>SUM(Complete_data[[#This Row],[GENERAL ACUTE CARE]:[CHRONIC DISEASE]])</f>
        <v>17</v>
      </c>
      <c r="AJ3" s="3">
        <f>_xlfn.RANK.EQ(Complete_data[[#This Row],[Hospital Count]],Complete_data[Hospital Count],0)</f>
        <v>21</v>
      </c>
      <c r="AK3" s="3">
        <v>50.22</v>
      </c>
      <c r="AL3" s="3">
        <v>46.75</v>
      </c>
      <c r="AM3" s="3">
        <v>47.16</v>
      </c>
      <c r="AN3" s="3">
        <v>54.71</v>
      </c>
      <c r="AO3" s="3">
        <v>66.7</v>
      </c>
      <c r="AP3" s="3">
        <v>61.27</v>
      </c>
      <c r="AQ3" s="3">
        <v>69.459999999999994</v>
      </c>
      <c r="AR3" s="3">
        <v>69.17</v>
      </c>
      <c r="AS3" s="3">
        <v>62.57</v>
      </c>
      <c r="AT3" s="3">
        <v>62.06</v>
      </c>
      <c r="AU3" s="3">
        <f>AVERAGE(Complete_data[[#This Row],[2009]:[2019]])</f>
        <v>59.006999999999991</v>
      </c>
      <c r="AV3" s="3">
        <f>_xlfn.RANK.EQ(Complete_data[[#This Row],[Average crime rate]],Complete_data[Average crime rate],1)</f>
        <v>117</v>
      </c>
      <c r="AW3" s="3">
        <v>52</v>
      </c>
      <c r="AX3" s="3">
        <v>53</v>
      </c>
      <c r="AY3" s="3">
        <v>55</v>
      </c>
      <c r="AZ3" s="3">
        <v>57</v>
      </c>
      <c r="BA3" s="3">
        <v>58</v>
      </c>
      <c r="BB3" s="3">
        <v>61</v>
      </c>
      <c r="BC3" s="3">
        <v>62</v>
      </c>
      <c r="BD3" s="3">
        <v>63</v>
      </c>
      <c r="BE3" s="3">
        <v>64</v>
      </c>
      <c r="BF3" s="3">
        <v>62</v>
      </c>
      <c r="BG3" s="3">
        <v>56</v>
      </c>
      <c r="BH3" s="3">
        <v>52</v>
      </c>
      <c r="BI3" s="3">
        <v>47</v>
      </c>
      <c r="BJ3" s="3">
        <v>146</v>
      </c>
      <c r="BK3" s="3">
        <v>244</v>
      </c>
      <c r="BL3" s="3">
        <v>48</v>
      </c>
      <c r="BM3" s="3">
        <v>319</v>
      </c>
      <c r="BN3" s="3">
        <v>69</v>
      </c>
      <c r="BO3" s="3">
        <v>86</v>
      </c>
      <c r="BP3" s="3">
        <v>5</v>
      </c>
      <c r="BQ3" s="3">
        <v>101</v>
      </c>
      <c r="BR3" s="3">
        <v>131</v>
      </c>
      <c r="BS3" s="3">
        <v>1196</v>
      </c>
    </row>
    <row r="4" spans="1:71" x14ac:dyDescent="0.3">
      <c r="A4" s="2" t="s">
        <v>87</v>
      </c>
      <c r="B4" s="2" t="s">
        <v>3</v>
      </c>
      <c r="C4" s="2" t="s">
        <v>88</v>
      </c>
      <c r="D4" s="2">
        <v>2.4</v>
      </c>
      <c r="E4" s="2">
        <v>528</v>
      </c>
      <c r="F4" s="2">
        <v>154</v>
      </c>
      <c r="G4" s="2">
        <v>81</v>
      </c>
      <c r="H4" s="2">
        <v>545</v>
      </c>
      <c r="I4" s="2">
        <v>131</v>
      </c>
      <c r="J4" s="2">
        <v>62</v>
      </c>
      <c r="K4" s="2">
        <v>46</v>
      </c>
      <c r="L4" s="2">
        <v>59</v>
      </c>
      <c r="M4" s="2">
        <v>19</v>
      </c>
      <c r="N4" s="2">
        <v>673</v>
      </c>
      <c r="O4" s="2">
        <v>2</v>
      </c>
      <c r="P4" s="2">
        <v>15</v>
      </c>
      <c r="Q4" s="2">
        <f>SUM(Complete_data[[#This Row],[American]:[Indian]])</f>
        <v>2315</v>
      </c>
      <c r="R4" s="2">
        <f>_xlfn.RANK.EQ(Complete_data[[#This Row],[Restaurant count]],Complete_data[Restaurant count],0)</f>
        <v>33</v>
      </c>
      <c r="S4" s="2">
        <v>74</v>
      </c>
      <c r="T4" s="2">
        <v>81</v>
      </c>
      <c r="U4" s="5">
        <v>77.583333333333329</v>
      </c>
      <c r="V4" s="5">
        <f>_xlfn.RANK.EQ(Complete_data[[#This Row],[Max Temperature]],Complete_data[Max Temperature],0)</f>
        <v>39</v>
      </c>
      <c r="W4" s="5">
        <f>_xlfn.RANK.EQ(Complete_data[[#This Row],[Min Temperature]],Complete_data[Min Temperature],0)</f>
        <v>1</v>
      </c>
      <c r="X4" s="5">
        <f>_xlfn.RANK.EQ(Complete_data[[#This Row],[Avg Temperature]],Complete_data[Avg Temperature],0)</f>
        <v>1</v>
      </c>
      <c r="Y4" s="2">
        <v>4</v>
      </c>
      <c r="Z4" s="2">
        <v>1</v>
      </c>
      <c r="AA4" s="2">
        <v>2</v>
      </c>
      <c r="AB4" s="2">
        <v>0</v>
      </c>
      <c r="AC4" s="2">
        <v>0</v>
      </c>
      <c r="AD4" s="2">
        <v>1</v>
      </c>
      <c r="AE4" s="2">
        <v>0</v>
      </c>
      <c r="AF4" s="2">
        <v>1</v>
      </c>
      <c r="AG4" s="2">
        <v>0</v>
      </c>
      <c r="AH4" s="2">
        <v>0</v>
      </c>
      <c r="AI4" s="2">
        <f>SUM(Complete_data[[#This Row],[GENERAL ACUTE CARE]:[CHRONIC DISEASE]])</f>
        <v>9</v>
      </c>
      <c r="AJ4" s="2">
        <f>_xlfn.RANK.EQ(Complete_data[[#This Row],[Hospital Count]],Complete_data[Hospital Count],0)</f>
        <v>61</v>
      </c>
      <c r="AK4" s="2">
        <v>40.04</v>
      </c>
      <c r="AL4" s="2">
        <v>36.369999999999997</v>
      </c>
      <c r="AM4" s="2">
        <v>0</v>
      </c>
      <c r="AN4" s="2">
        <v>0</v>
      </c>
      <c r="AO4" s="2">
        <v>0</v>
      </c>
      <c r="AP4" s="2">
        <v>0</v>
      </c>
      <c r="AQ4" s="2">
        <v>33.78</v>
      </c>
      <c r="AR4" s="2">
        <v>30.54</v>
      </c>
      <c r="AS4" s="2">
        <v>32.17</v>
      </c>
      <c r="AT4" s="2">
        <v>33</v>
      </c>
      <c r="AU4" s="2">
        <f>AVERAGE(Complete_data[[#This Row],[2009]:[2019]])</f>
        <v>20.589999999999996</v>
      </c>
      <c r="AV4" s="2">
        <f>_xlfn.RANK.EQ(Complete_data[[#This Row],[Average crime rate]],Complete_data[Average crime rate],1)</f>
        <v>8</v>
      </c>
      <c r="AW4" s="3">
        <v>74</v>
      </c>
      <c r="AX4" s="3">
        <v>74</v>
      </c>
      <c r="AY4" s="3">
        <v>74</v>
      </c>
      <c r="AZ4" s="3">
        <v>76</v>
      </c>
      <c r="BA4" s="3">
        <v>78</v>
      </c>
      <c r="BB4" s="3">
        <v>79</v>
      </c>
      <c r="BC4" s="3">
        <v>81</v>
      </c>
      <c r="BD4" s="3">
        <v>81</v>
      </c>
      <c r="BE4" s="3">
        <v>81</v>
      </c>
      <c r="BF4" s="3">
        <v>80</v>
      </c>
      <c r="BG4" s="3">
        <v>78</v>
      </c>
      <c r="BH4" s="3">
        <v>75</v>
      </c>
      <c r="BI4" s="3">
        <v>0</v>
      </c>
      <c r="BJ4" s="3">
        <v>2</v>
      </c>
      <c r="BK4" s="3">
        <v>0</v>
      </c>
      <c r="BL4" s="3">
        <v>4</v>
      </c>
      <c r="BM4" s="3">
        <v>0</v>
      </c>
      <c r="BN4" s="3">
        <v>2</v>
      </c>
      <c r="BO4" s="3">
        <v>1</v>
      </c>
      <c r="BP4" s="3">
        <v>4</v>
      </c>
      <c r="BQ4" s="3">
        <v>0</v>
      </c>
      <c r="BR4" s="3">
        <v>0</v>
      </c>
      <c r="BS4" s="3">
        <v>13</v>
      </c>
    </row>
    <row r="5" spans="1:71" x14ac:dyDescent="0.3">
      <c r="A5" s="3" t="s">
        <v>89</v>
      </c>
      <c r="B5" s="3" t="s">
        <v>4</v>
      </c>
      <c r="C5" s="3" t="s">
        <v>90</v>
      </c>
      <c r="D5" s="3">
        <v>2.4</v>
      </c>
      <c r="E5" s="3">
        <v>1549</v>
      </c>
      <c r="F5" s="3">
        <v>545</v>
      </c>
      <c r="G5" s="3">
        <v>214</v>
      </c>
      <c r="H5" s="3">
        <v>1625</v>
      </c>
      <c r="I5" s="3">
        <v>584</v>
      </c>
      <c r="J5" s="3">
        <v>438</v>
      </c>
      <c r="K5" s="3">
        <v>60</v>
      </c>
      <c r="L5" s="3">
        <v>344</v>
      </c>
      <c r="M5" s="3">
        <v>35</v>
      </c>
      <c r="N5" s="3">
        <v>1364</v>
      </c>
      <c r="O5" s="3">
        <v>17</v>
      </c>
      <c r="P5" s="3">
        <v>107</v>
      </c>
      <c r="Q5" s="3">
        <f>SUM(Complete_data[[#This Row],[American]:[Indian]])</f>
        <v>6882</v>
      </c>
      <c r="R5" s="3">
        <f>_xlfn.RANK.EQ(Complete_data[[#This Row],[Restaurant count]],Complete_data[Restaurant count],0)</f>
        <v>11</v>
      </c>
      <c r="S5" s="3">
        <v>42</v>
      </c>
      <c r="T5" s="3">
        <v>68</v>
      </c>
      <c r="U5" s="6">
        <v>53.333333333333336</v>
      </c>
      <c r="V5" s="6">
        <f>_xlfn.RANK.EQ(Complete_data[[#This Row],[Max Temperature]],Complete_data[Max Temperature],0)</f>
        <v>141</v>
      </c>
      <c r="W5" s="6">
        <f>_xlfn.RANK.EQ(Complete_data[[#This Row],[Min Temperature]],Complete_data[Min Temperature],0)</f>
        <v>40</v>
      </c>
      <c r="X5" s="6">
        <f>_xlfn.RANK.EQ(Complete_data[[#This Row],[Avg Temperature]],Complete_data[Avg Temperature],0)</f>
        <v>90</v>
      </c>
      <c r="Y5" s="3">
        <v>8</v>
      </c>
      <c r="Z5" s="3">
        <v>1</v>
      </c>
      <c r="AA5" s="3">
        <v>1</v>
      </c>
      <c r="AB5" s="3">
        <v>1</v>
      </c>
      <c r="AC5" s="3">
        <v>2</v>
      </c>
      <c r="AD5" s="3">
        <v>0</v>
      </c>
      <c r="AE5" s="3">
        <v>0</v>
      </c>
      <c r="AF5" s="3">
        <v>2</v>
      </c>
      <c r="AG5" s="3">
        <v>0</v>
      </c>
      <c r="AH5" s="3">
        <v>0</v>
      </c>
      <c r="AI5" s="3">
        <f>SUM(Complete_data[[#This Row],[GENERAL ACUTE CARE]:[CHRONIC DISEASE]])</f>
        <v>15</v>
      </c>
      <c r="AJ5" s="3">
        <f>_xlfn.RANK.EQ(Complete_data[[#This Row],[Hospital Count]],Complete_data[Hospital Count],0)</f>
        <v>32</v>
      </c>
      <c r="AK5" s="3">
        <v>64.900000000000006</v>
      </c>
      <c r="AL5" s="3">
        <v>59.38</v>
      </c>
      <c r="AM5" s="3">
        <v>57.49</v>
      </c>
      <c r="AN5" s="3">
        <v>57.04</v>
      </c>
      <c r="AO5" s="3">
        <v>61.81</v>
      </c>
      <c r="AP5" s="3">
        <v>67.42</v>
      </c>
      <c r="AQ5" s="3">
        <v>61.34</v>
      </c>
      <c r="AR5" s="3">
        <v>59.12</v>
      </c>
      <c r="AS5" s="3">
        <v>58.44</v>
      </c>
      <c r="AT5" s="3">
        <v>50.94</v>
      </c>
      <c r="AU5" s="3">
        <f>AVERAGE(Complete_data[[#This Row],[2009]:[2019]])</f>
        <v>59.788000000000011</v>
      </c>
      <c r="AV5" s="3">
        <f>_xlfn.RANK.EQ(Complete_data[[#This Row],[Average crime rate]],Complete_data[Average crime rate],1)</f>
        <v>119</v>
      </c>
      <c r="AW5" s="3">
        <v>43</v>
      </c>
      <c r="AX5" s="3">
        <v>43</v>
      </c>
      <c r="AY5" s="3">
        <v>47</v>
      </c>
      <c r="AZ5" s="3">
        <v>51</v>
      </c>
      <c r="BA5" s="3">
        <v>57</v>
      </c>
      <c r="BB5" s="3">
        <v>61</v>
      </c>
      <c r="BC5" s="3">
        <v>67</v>
      </c>
      <c r="BD5" s="3">
        <v>68</v>
      </c>
      <c r="BE5" s="3">
        <v>62</v>
      </c>
      <c r="BF5" s="3">
        <v>53</v>
      </c>
      <c r="BG5" s="3">
        <v>46</v>
      </c>
      <c r="BH5" s="3">
        <v>42</v>
      </c>
      <c r="BI5" s="3">
        <v>19</v>
      </c>
      <c r="BJ5" s="3">
        <v>29</v>
      </c>
      <c r="BK5" s="3">
        <v>45</v>
      </c>
      <c r="BL5" s="3">
        <v>32</v>
      </c>
      <c r="BM5" s="3">
        <v>130</v>
      </c>
      <c r="BN5" s="3">
        <v>30</v>
      </c>
      <c r="BO5" s="3">
        <v>27</v>
      </c>
      <c r="BP5" s="3">
        <v>6</v>
      </c>
      <c r="BQ5" s="3">
        <v>18</v>
      </c>
      <c r="BR5" s="3">
        <v>77</v>
      </c>
      <c r="BS5" s="3">
        <v>413</v>
      </c>
    </row>
    <row r="6" spans="1:71" x14ac:dyDescent="0.3">
      <c r="A6" s="2" t="s">
        <v>91</v>
      </c>
      <c r="B6" s="2" t="s">
        <v>5</v>
      </c>
      <c r="C6" s="2" t="s">
        <v>92</v>
      </c>
      <c r="D6" s="2">
        <v>2.5</v>
      </c>
      <c r="E6" s="2">
        <v>990</v>
      </c>
      <c r="F6" s="2">
        <v>159</v>
      </c>
      <c r="G6" s="2">
        <v>107</v>
      </c>
      <c r="H6" s="2">
        <v>528</v>
      </c>
      <c r="I6" s="2">
        <v>252</v>
      </c>
      <c r="J6" s="2">
        <v>225</v>
      </c>
      <c r="K6" s="2">
        <v>60</v>
      </c>
      <c r="L6" s="2">
        <v>120</v>
      </c>
      <c r="M6" s="2">
        <v>21</v>
      </c>
      <c r="N6" s="2">
        <v>244</v>
      </c>
      <c r="O6" s="2">
        <v>10</v>
      </c>
      <c r="P6" s="2">
        <v>19</v>
      </c>
      <c r="Q6" s="2">
        <f>SUM(Complete_data[[#This Row],[American]:[Indian]])</f>
        <v>2735</v>
      </c>
      <c r="R6" s="2">
        <f>_xlfn.RANK.EQ(Complete_data[[#This Row],[Restaurant count]],Complete_data[Restaurant count],0)</f>
        <v>28</v>
      </c>
      <c r="S6" s="2">
        <v>39</v>
      </c>
      <c r="T6" s="2">
        <v>80</v>
      </c>
      <c r="U6" s="5">
        <v>60.833333333333336</v>
      </c>
      <c r="V6" s="5">
        <f>_xlfn.RANK.EQ(Complete_data[[#This Row],[Max Temperature]],Complete_data[Max Temperature],0)</f>
        <v>50</v>
      </c>
      <c r="W6" s="5">
        <f>_xlfn.RANK.EQ(Complete_data[[#This Row],[Min Temperature]],Complete_data[Min Temperature],0)</f>
        <v>53</v>
      </c>
      <c r="X6" s="5">
        <f>_xlfn.RANK.EQ(Complete_data[[#This Row],[Avg Temperature]],Complete_data[Avg Temperature],0)</f>
        <v>51</v>
      </c>
      <c r="Y6" s="2">
        <v>8</v>
      </c>
      <c r="Z6" s="2">
        <v>0</v>
      </c>
      <c r="AA6" s="2">
        <v>0</v>
      </c>
      <c r="AB6" s="2">
        <v>2</v>
      </c>
      <c r="AC6" s="2">
        <v>0</v>
      </c>
      <c r="AD6" s="2">
        <v>1</v>
      </c>
      <c r="AE6" s="2">
        <v>0</v>
      </c>
      <c r="AF6" s="2">
        <v>1</v>
      </c>
      <c r="AG6" s="2">
        <v>1</v>
      </c>
      <c r="AH6" s="2">
        <v>0</v>
      </c>
      <c r="AI6" s="2">
        <f>SUM(Complete_data[[#This Row],[GENERAL ACUTE CARE]:[CHRONIC DISEASE]])</f>
        <v>13</v>
      </c>
      <c r="AJ6" s="2">
        <f>_xlfn.RANK.EQ(Complete_data[[#This Row],[Hospital Count]],Complete_data[Hospital Count],0)</f>
        <v>41</v>
      </c>
      <c r="AK6" s="2">
        <v>59.3</v>
      </c>
      <c r="AL6" s="2">
        <v>60.99</v>
      </c>
      <c r="AM6" s="2">
        <v>59.72</v>
      </c>
      <c r="AN6" s="2">
        <v>54.27</v>
      </c>
      <c r="AO6" s="2">
        <v>49.02</v>
      </c>
      <c r="AP6" s="2">
        <v>47.68</v>
      </c>
      <c r="AQ6" s="2">
        <v>0</v>
      </c>
      <c r="AR6" s="2">
        <v>0</v>
      </c>
      <c r="AS6" s="2">
        <v>0</v>
      </c>
      <c r="AT6" s="2">
        <v>0</v>
      </c>
      <c r="AU6" s="2">
        <f>AVERAGE(Complete_data[[#This Row],[2009]:[2019]])</f>
        <v>33.097999999999999</v>
      </c>
      <c r="AV6" s="2">
        <f>_xlfn.RANK.EQ(Complete_data[[#This Row],[Average crime rate]],Complete_data[Average crime rate],1)</f>
        <v>26</v>
      </c>
      <c r="AW6" s="3">
        <v>39</v>
      </c>
      <c r="AX6" s="3">
        <v>43</v>
      </c>
      <c r="AY6" s="3">
        <v>52</v>
      </c>
      <c r="AZ6" s="3">
        <v>61</v>
      </c>
      <c r="BA6" s="3">
        <v>69</v>
      </c>
      <c r="BB6" s="3">
        <v>78</v>
      </c>
      <c r="BC6" s="3">
        <v>80</v>
      </c>
      <c r="BD6" s="3">
        <v>79</v>
      </c>
      <c r="BE6" s="3">
        <v>73</v>
      </c>
      <c r="BF6" s="3">
        <v>62</v>
      </c>
      <c r="BG6" s="3">
        <v>50</v>
      </c>
      <c r="BH6" s="3">
        <v>44</v>
      </c>
      <c r="BI6" s="3">
        <v>40</v>
      </c>
      <c r="BJ6" s="3">
        <v>29</v>
      </c>
      <c r="BK6" s="3">
        <v>34</v>
      </c>
      <c r="BL6" s="3">
        <v>5</v>
      </c>
      <c r="BM6" s="3">
        <v>21</v>
      </c>
      <c r="BN6" s="3">
        <v>2</v>
      </c>
      <c r="BO6" s="3">
        <v>26</v>
      </c>
      <c r="BP6" s="3">
        <v>32</v>
      </c>
      <c r="BQ6" s="3">
        <v>1</v>
      </c>
      <c r="BR6" s="3">
        <v>7</v>
      </c>
      <c r="BS6" s="3">
        <v>197</v>
      </c>
    </row>
    <row r="7" spans="1:71" x14ac:dyDescent="0.3">
      <c r="A7" s="3" t="s">
        <v>93</v>
      </c>
      <c r="B7" s="3" t="s">
        <v>6</v>
      </c>
      <c r="C7" s="3" t="s">
        <v>94</v>
      </c>
      <c r="D7" s="3">
        <v>2.6</v>
      </c>
      <c r="E7" s="3">
        <v>1371</v>
      </c>
      <c r="F7" s="3">
        <v>326</v>
      </c>
      <c r="G7" s="3">
        <v>195</v>
      </c>
      <c r="H7" s="3">
        <v>1105</v>
      </c>
      <c r="I7" s="3">
        <v>496</v>
      </c>
      <c r="J7" s="3">
        <v>552</v>
      </c>
      <c r="K7" s="3">
        <v>53</v>
      </c>
      <c r="L7" s="3">
        <v>239</v>
      </c>
      <c r="M7" s="3">
        <v>29</v>
      </c>
      <c r="N7" s="3">
        <v>636</v>
      </c>
      <c r="O7" s="3">
        <v>7</v>
      </c>
      <c r="P7" s="3">
        <v>68</v>
      </c>
      <c r="Q7" s="3">
        <f>SUM(Complete_data[[#This Row],[American]:[Indian]])</f>
        <v>5077</v>
      </c>
      <c r="R7" s="3">
        <f>_xlfn.RANK.EQ(Complete_data[[#This Row],[Restaurant count]],Complete_data[Restaurant count],0)</f>
        <v>15</v>
      </c>
      <c r="S7" s="3">
        <v>31</v>
      </c>
      <c r="T7" s="3">
        <v>75</v>
      </c>
      <c r="U7" s="6">
        <v>51.166666666666664</v>
      </c>
      <c r="V7" s="6">
        <f>_xlfn.RANK.EQ(Complete_data[[#This Row],[Max Temperature]],Complete_data[Max Temperature],0)</f>
        <v>94</v>
      </c>
      <c r="W7" s="6">
        <f>_xlfn.RANK.EQ(Complete_data[[#This Row],[Min Temperature]],Complete_data[Min Temperature],0)</f>
        <v>83</v>
      </c>
      <c r="X7" s="6">
        <f>_xlfn.RANK.EQ(Complete_data[[#This Row],[Avg Temperature]],Complete_data[Avg Temperature],0)</f>
        <v>105</v>
      </c>
      <c r="Y7" s="3">
        <v>7</v>
      </c>
      <c r="Z7" s="3">
        <v>1</v>
      </c>
      <c r="AA7" s="3">
        <v>0</v>
      </c>
      <c r="AB7" s="3">
        <v>2</v>
      </c>
      <c r="AC7" s="3">
        <v>4</v>
      </c>
      <c r="AD7" s="3">
        <v>0</v>
      </c>
      <c r="AE7" s="3">
        <v>0</v>
      </c>
      <c r="AF7" s="3">
        <v>1</v>
      </c>
      <c r="AG7" s="3">
        <v>0</v>
      </c>
      <c r="AH7" s="3">
        <v>0</v>
      </c>
      <c r="AI7" s="3">
        <f>SUM(Complete_data[[#This Row],[GENERAL ACUTE CARE]:[CHRONIC DISEASE]])</f>
        <v>15</v>
      </c>
      <c r="AJ7" s="3">
        <f>_xlfn.RANK.EQ(Complete_data[[#This Row],[Hospital Count]],Complete_data[Hospital Count],0)</f>
        <v>32</v>
      </c>
      <c r="AK7" s="3">
        <v>40.53</v>
      </c>
      <c r="AL7" s="3">
        <v>39.68</v>
      </c>
      <c r="AM7" s="3">
        <v>43.07</v>
      </c>
      <c r="AN7" s="3">
        <v>43.45</v>
      </c>
      <c r="AO7" s="3">
        <v>42.98</v>
      </c>
      <c r="AP7" s="3">
        <v>39.79</v>
      </c>
      <c r="AQ7" s="3">
        <v>42.2</v>
      </c>
      <c r="AR7" s="3">
        <v>43.61</v>
      </c>
      <c r="AS7" s="3">
        <v>44.18</v>
      </c>
      <c r="AT7" s="3">
        <v>45.07</v>
      </c>
      <c r="AU7" s="3">
        <f>AVERAGE(Complete_data[[#This Row],[2009]:[2019]])</f>
        <v>42.456000000000003</v>
      </c>
      <c r="AV7" s="3">
        <f>_xlfn.RANK.EQ(Complete_data[[#This Row],[Average crime rate]],Complete_data[Average crime rate],1)</f>
        <v>53</v>
      </c>
      <c r="AW7" s="3">
        <v>32</v>
      </c>
      <c r="AX7" s="3">
        <v>31</v>
      </c>
      <c r="AY7" s="3">
        <v>42</v>
      </c>
      <c r="AZ7" s="3">
        <v>48</v>
      </c>
      <c r="BA7" s="3">
        <v>55</v>
      </c>
      <c r="BB7" s="3">
        <v>70</v>
      </c>
      <c r="BC7" s="3">
        <v>75</v>
      </c>
      <c r="BD7" s="3">
        <v>73</v>
      </c>
      <c r="BE7" s="3">
        <v>66</v>
      </c>
      <c r="BF7" s="3">
        <v>51</v>
      </c>
      <c r="BG7" s="3">
        <v>40</v>
      </c>
      <c r="BH7" s="3">
        <v>31</v>
      </c>
      <c r="BI7" s="3">
        <v>62</v>
      </c>
      <c r="BJ7" s="3">
        <v>148</v>
      </c>
      <c r="BK7" s="3">
        <v>145</v>
      </c>
      <c r="BL7" s="3">
        <v>74</v>
      </c>
      <c r="BM7" s="3">
        <v>419</v>
      </c>
      <c r="BN7" s="3">
        <v>200</v>
      </c>
      <c r="BO7" s="3">
        <v>110</v>
      </c>
      <c r="BP7" s="3">
        <v>4</v>
      </c>
      <c r="BQ7" s="3">
        <v>151</v>
      </c>
      <c r="BR7" s="3">
        <v>297</v>
      </c>
      <c r="BS7" s="3">
        <v>1610</v>
      </c>
    </row>
    <row r="8" spans="1:71" x14ac:dyDescent="0.3">
      <c r="A8" s="2" t="s">
        <v>95</v>
      </c>
      <c r="B8" s="2" t="s">
        <v>7</v>
      </c>
      <c r="C8" s="2" t="s">
        <v>96</v>
      </c>
      <c r="D8" s="2">
        <v>2.7</v>
      </c>
      <c r="E8" s="2">
        <v>2525</v>
      </c>
      <c r="F8" s="2">
        <v>583</v>
      </c>
      <c r="G8" s="2">
        <v>370</v>
      </c>
      <c r="H8" s="2">
        <v>1907</v>
      </c>
      <c r="I8" s="2">
        <v>1709</v>
      </c>
      <c r="J8" s="2">
        <v>366</v>
      </c>
      <c r="K8" s="2">
        <v>58</v>
      </c>
      <c r="L8" s="2">
        <v>244</v>
      </c>
      <c r="M8" s="2">
        <v>44</v>
      </c>
      <c r="N8" s="2">
        <v>1150</v>
      </c>
      <c r="O8" s="2">
        <v>36</v>
      </c>
      <c r="P8" s="2">
        <v>97</v>
      </c>
      <c r="Q8" s="2">
        <f>SUM(Complete_data[[#This Row],[American]:[Indian]])</f>
        <v>9089</v>
      </c>
      <c r="R8" s="2">
        <f>_xlfn.RANK.EQ(Complete_data[[#This Row],[Restaurant count]],Complete_data[Restaurant count],0)</f>
        <v>7</v>
      </c>
      <c r="S8" s="2">
        <v>31</v>
      </c>
      <c r="T8" s="2">
        <v>75</v>
      </c>
      <c r="U8" s="5">
        <v>52.5</v>
      </c>
      <c r="V8" s="5">
        <f>_xlfn.RANK.EQ(Complete_data[[#This Row],[Max Temperature]],Complete_data[Max Temperature],0)</f>
        <v>94</v>
      </c>
      <c r="W8" s="5">
        <f>_xlfn.RANK.EQ(Complete_data[[#This Row],[Min Temperature]],Complete_data[Min Temperature],0)</f>
        <v>83</v>
      </c>
      <c r="X8" s="5">
        <f>_xlfn.RANK.EQ(Complete_data[[#This Row],[Avg Temperature]],Complete_data[Avg Temperature],0)</f>
        <v>96</v>
      </c>
      <c r="Y8" s="2">
        <v>14</v>
      </c>
      <c r="Z8" s="2">
        <v>0</v>
      </c>
      <c r="AA8" s="2">
        <v>2</v>
      </c>
      <c r="AB8" s="2">
        <v>1</v>
      </c>
      <c r="AC8" s="2">
        <v>3</v>
      </c>
      <c r="AD8" s="2">
        <v>2</v>
      </c>
      <c r="AE8" s="2">
        <v>0</v>
      </c>
      <c r="AF8" s="2">
        <v>0</v>
      </c>
      <c r="AG8" s="2">
        <v>0</v>
      </c>
      <c r="AH8" s="2">
        <v>0</v>
      </c>
      <c r="AI8" s="2">
        <f>SUM(Complete_data[[#This Row],[GENERAL ACUTE CARE]:[CHRONIC DISEASE]])</f>
        <v>22</v>
      </c>
      <c r="AJ8" s="2">
        <f>_xlfn.RANK.EQ(Complete_data[[#This Row],[Hospital Count]],Complete_data[Hospital Count],0)</f>
        <v>14</v>
      </c>
      <c r="AK8" s="2">
        <v>43.16</v>
      </c>
      <c r="AL8" s="2">
        <v>41.06</v>
      </c>
      <c r="AM8" s="2">
        <v>39.75</v>
      </c>
      <c r="AN8" s="2">
        <v>37.450000000000003</v>
      </c>
      <c r="AO8" s="2">
        <v>35.549999999999997</v>
      </c>
      <c r="AP8" s="2">
        <v>33.65</v>
      </c>
      <c r="AQ8" s="2">
        <v>30.23</v>
      </c>
      <c r="AR8" s="2">
        <v>27.58</v>
      </c>
      <c r="AS8" s="2">
        <v>26.39</v>
      </c>
      <c r="AT8" s="2">
        <v>0</v>
      </c>
      <c r="AU8" s="2">
        <f>AVERAGE(Complete_data[[#This Row],[2009]:[2019]])</f>
        <v>31.481999999999999</v>
      </c>
      <c r="AV8" s="2">
        <f>_xlfn.RANK.EQ(Complete_data[[#This Row],[Average crime rate]],Complete_data[Average crime rate],1)</f>
        <v>22</v>
      </c>
      <c r="AW8" s="3">
        <v>31</v>
      </c>
      <c r="AX8" s="3">
        <v>33</v>
      </c>
      <c r="AY8" s="3">
        <v>39</v>
      </c>
      <c r="AZ8" s="3">
        <v>49</v>
      </c>
      <c r="BA8" s="3">
        <v>58</v>
      </c>
      <c r="BB8" s="3">
        <v>67</v>
      </c>
      <c r="BC8" s="3">
        <v>75</v>
      </c>
      <c r="BD8" s="3">
        <v>73</v>
      </c>
      <c r="BE8" s="3">
        <v>67</v>
      </c>
      <c r="BF8" s="3">
        <v>56</v>
      </c>
      <c r="BG8" s="3">
        <v>45</v>
      </c>
      <c r="BH8" s="3">
        <v>37</v>
      </c>
      <c r="BI8" s="3">
        <v>1</v>
      </c>
      <c r="BJ8" s="3">
        <v>0</v>
      </c>
      <c r="BK8" s="3">
        <v>2</v>
      </c>
      <c r="BL8" s="3">
        <v>2</v>
      </c>
      <c r="BM8" s="3">
        <v>1</v>
      </c>
      <c r="BN8" s="3">
        <v>0</v>
      </c>
      <c r="BO8" s="3">
        <v>1</v>
      </c>
      <c r="BP8" s="3">
        <v>1</v>
      </c>
      <c r="BQ8" s="3">
        <v>0</v>
      </c>
      <c r="BR8" s="3">
        <v>0</v>
      </c>
      <c r="BS8" s="3">
        <v>8</v>
      </c>
    </row>
    <row r="9" spans="1:71" x14ac:dyDescent="0.3">
      <c r="A9" s="3" t="s">
        <v>97</v>
      </c>
      <c r="B9" s="3" t="s">
        <v>8</v>
      </c>
      <c r="C9" s="3" t="s">
        <v>98</v>
      </c>
      <c r="D9" s="3">
        <v>2.8</v>
      </c>
      <c r="E9" s="3">
        <v>3061</v>
      </c>
      <c r="F9" s="3">
        <v>730</v>
      </c>
      <c r="G9" s="3">
        <v>556</v>
      </c>
      <c r="H9" s="3">
        <v>2798</v>
      </c>
      <c r="I9" s="3">
        <v>1549</v>
      </c>
      <c r="J9" s="3">
        <v>955</v>
      </c>
      <c r="K9" s="3">
        <v>118</v>
      </c>
      <c r="L9" s="3">
        <v>409</v>
      </c>
      <c r="M9" s="3">
        <v>159</v>
      </c>
      <c r="N9" s="3">
        <v>1160</v>
      </c>
      <c r="O9" s="3">
        <v>27</v>
      </c>
      <c r="P9" s="3">
        <v>67</v>
      </c>
      <c r="Q9" s="3">
        <f>SUM(Complete_data[[#This Row],[American]:[Indian]])</f>
        <v>11589</v>
      </c>
      <c r="R9" s="3">
        <f>_xlfn.RANK.EQ(Complete_data[[#This Row],[Restaurant count]],Complete_data[Restaurant count],0)</f>
        <v>4</v>
      </c>
      <c r="S9" s="3">
        <v>69</v>
      </c>
      <c r="T9" s="3">
        <v>84</v>
      </c>
      <c r="U9" s="6">
        <v>77.583333333333329</v>
      </c>
      <c r="V9" s="6">
        <f>_xlfn.RANK.EQ(Complete_data[[#This Row],[Max Temperature]],Complete_data[Max Temperature],0)</f>
        <v>15</v>
      </c>
      <c r="W9" s="6">
        <f>_xlfn.RANK.EQ(Complete_data[[#This Row],[Min Temperature]],Complete_data[Min Temperature],0)</f>
        <v>2</v>
      </c>
      <c r="X9" s="6">
        <f>_xlfn.RANK.EQ(Complete_data[[#This Row],[Avg Temperature]],Complete_data[Avg Temperature],0)</f>
        <v>1</v>
      </c>
      <c r="Y9" s="3">
        <v>1</v>
      </c>
      <c r="Z9" s="3">
        <v>0</v>
      </c>
      <c r="AA9" s="3">
        <v>0</v>
      </c>
      <c r="AB9" s="3">
        <v>0</v>
      </c>
      <c r="AC9" s="3">
        <v>0</v>
      </c>
      <c r="AD9" s="3">
        <v>0</v>
      </c>
      <c r="AE9" s="3">
        <v>0</v>
      </c>
      <c r="AF9" s="3">
        <v>0</v>
      </c>
      <c r="AG9" s="3">
        <v>0</v>
      </c>
      <c r="AH9" s="3">
        <v>0</v>
      </c>
      <c r="AI9" s="3">
        <f>SUM(Complete_data[[#This Row],[GENERAL ACUTE CARE]:[CHRONIC DISEASE]])</f>
        <v>1</v>
      </c>
      <c r="AJ9" s="3">
        <f>_xlfn.RANK.EQ(Complete_data[[#This Row],[Hospital Count]],Complete_data[Hospital Count],0)</f>
        <v>137</v>
      </c>
      <c r="AK9" s="3">
        <v>111.04</v>
      </c>
      <c r="AL9" s="3">
        <v>109.29</v>
      </c>
      <c r="AM9" s="3">
        <v>117.91</v>
      </c>
      <c r="AN9" s="3">
        <v>109.5</v>
      </c>
      <c r="AO9" s="3">
        <v>116.76</v>
      </c>
      <c r="AP9" s="3">
        <v>112.48</v>
      </c>
      <c r="AQ9" s="3">
        <v>108.09</v>
      </c>
      <c r="AR9" s="3">
        <v>91.53</v>
      </c>
      <c r="AS9" s="3">
        <v>84.25</v>
      </c>
      <c r="AT9" s="3">
        <v>85.04</v>
      </c>
      <c r="AU9" s="3">
        <f>AVERAGE(Complete_data[[#This Row],[2009]:[2019]])</f>
        <v>104.58900000000001</v>
      </c>
      <c r="AV9" s="3">
        <f>_xlfn.RANK.EQ(Complete_data[[#This Row],[Average crime rate]],Complete_data[Average crime rate],1)</f>
        <v>147</v>
      </c>
      <c r="AW9" s="3">
        <v>69</v>
      </c>
      <c r="AX9" s="3">
        <v>71</v>
      </c>
      <c r="AY9" s="3">
        <v>73</v>
      </c>
      <c r="AZ9" s="3">
        <v>77</v>
      </c>
      <c r="BA9" s="3">
        <v>80</v>
      </c>
      <c r="BB9" s="3">
        <v>83</v>
      </c>
      <c r="BC9" s="3">
        <v>84</v>
      </c>
      <c r="BD9" s="3">
        <v>84</v>
      </c>
      <c r="BE9" s="3">
        <v>83</v>
      </c>
      <c r="BF9" s="3">
        <v>80</v>
      </c>
      <c r="BG9" s="3">
        <v>75</v>
      </c>
      <c r="BH9" s="3">
        <v>72</v>
      </c>
      <c r="BI9" s="3">
        <v>13</v>
      </c>
      <c r="BJ9" s="3">
        <v>7</v>
      </c>
      <c r="BK9" s="3">
        <v>12</v>
      </c>
      <c r="BL9" s="3">
        <v>1</v>
      </c>
      <c r="BM9" s="3">
        <v>2</v>
      </c>
      <c r="BN9" s="3">
        <v>0</v>
      </c>
      <c r="BO9" s="3">
        <v>11</v>
      </c>
      <c r="BP9" s="3">
        <v>13</v>
      </c>
      <c r="BQ9" s="3">
        <v>0</v>
      </c>
      <c r="BR9" s="3">
        <v>0</v>
      </c>
      <c r="BS9" s="3">
        <v>59</v>
      </c>
    </row>
    <row r="10" spans="1:71" x14ac:dyDescent="0.3">
      <c r="A10" s="2" t="s">
        <v>99</v>
      </c>
      <c r="B10" s="2" t="s">
        <v>9</v>
      </c>
      <c r="C10" s="2" t="s">
        <v>100</v>
      </c>
      <c r="D10" s="2">
        <v>2.8</v>
      </c>
      <c r="E10" s="2">
        <v>1483</v>
      </c>
      <c r="F10" s="2">
        <v>256</v>
      </c>
      <c r="G10" s="2">
        <v>178</v>
      </c>
      <c r="H10" s="2">
        <v>729</v>
      </c>
      <c r="I10" s="2">
        <v>457</v>
      </c>
      <c r="J10" s="2">
        <v>251</v>
      </c>
      <c r="K10" s="2">
        <v>23</v>
      </c>
      <c r="L10" s="2">
        <v>143</v>
      </c>
      <c r="M10" s="2">
        <v>17</v>
      </c>
      <c r="N10" s="2">
        <v>570</v>
      </c>
      <c r="O10" s="2">
        <v>7</v>
      </c>
      <c r="P10" s="2">
        <v>41</v>
      </c>
      <c r="Q10" s="2">
        <f>SUM(Complete_data[[#This Row],[American]:[Indian]])</f>
        <v>4155</v>
      </c>
      <c r="R10" s="2">
        <f>_xlfn.RANK.EQ(Complete_data[[#This Row],[Restaurant count]],Complete_data[Restaurant count],0)</f>
        <v>18</v>
      </c>
      <c r="S10" s="2">
        <v>17</v>
      </c>
      <c r="T10" s="2">
        <v>76</v>
      </c>
      <c r="U10" s="5">
        <v>47.5</v>
      </c>
      <c r="V10" s="5">
        <f>_xlfn.RANK.EQ(Complete_data[[#This Row],[Max Temperature]],Complete_data[Max Temperature],0)</f>
        <v>82</v>
      </c>
      <c r="W10" s="5">
        <f>_xlfn.RANK.EQ(Complete_data[[#This Row],[Min Temperature]],Complete_data[Min Temperature],0)</f>
        <v>143</v>
      </c>
      <c r="X10" s="5">
        <f>_xlfn.RANK.EQ(Complete_data[[#This Row],[Avg Temperature]],Complete_data[Avg Temperature],0)</f>
        <v>132</v>
      </c>
      <c r="Y10" s="2">
        <v>6</v>
      </c>
      <c r="Z10" s="2">
        <v>0</v>
      </c>
      <c r="AA10" s="2">
        <v>1</v>
      </c>
      <c r="AB10" s="2">
        <v>0</v>
      </c>
      <c r="AC10" s="2">
        <v>0</v>
      </c>
      <c r="AD10" s="2">
        <v>0</v>
      </c>
      <c r="AE10" s="2">
        <v>0</v>
      </c>
      <c r="AF10" s="2">
        <v>0</v>
      </c>
      <c r="AG10" s="2">
        <v>0</v>
      </c>
      <c r="AH10" s="2">
        <v>0</v>
      </c>
      <c r="AI10" s="2">
        <f>SUM(Complete_data[[#This Row],[GENERAL ACUTE CARE]:[CHRONIC DISEASE]])</f>
        <v>7</v>
      </c>
      <c r="AJ10" s="2">
        <f>_xlfn.RANK.EQ(Complete_data[[#This Row],[Hospital Count]],Complete_data[Hospital Count],0)</f>
        <v>80</v>
      </c>
      <c r="AK10" s="2">
        <v>58.14</v>
      </c>
      <c r="AL10" s="2">
        <v>58.28</v>
      </c>
      <c r="AM10" s="2">
        <v>59.79</v>
      </c>
      <c r="AN10" s="2">
        <v>59.83</v>
      </c>
      <c r="AO10" s="2">
        <v>59.36</v>
      </c>
      <c r="AP10" s="2">
        <v>57.69</v>
      </c>
      <c r="AQ10" s="2">
        <v>52.85</v>
      </c>
      <c r="AR10" s="2">
        <v>57.68</v>
      </c>
      <c r="AS10" s="2">
        <v>47.22</v>
      </c>
      <c r="AT10" s="2">
        <v>54.6</v>
      </c>
      <c r="AU10" s="2">
        <f>AVERAGE(Complete_data[[#This Row],[2009]:[2019]])</f>
        <v>56.544000000000004</v>
      </c>
      <c r="AV10" s="2">
        <f>_xlfn.RANK.EQ(Complete_data[[#This Row],[Average crime rate]],Complete_data[Average crime rate],1)</f>
        <v>110</v>
      </c>
      <c r="AW10" s="3">
        <v>17</v>
      </c>
      <c r="AX10" s="3">
        <v>19</v>
      </c>
      <c r="AY10" s="3">
        <v>35</v>
      </c>
      <c r="AZ10" s="3">
        <v>47</v>
      </c>
      <c r="BA10" s="3">
        <v>60</v>
      </c>
      <c r="BB10" s="3">
        <v>70</v>
      </c>
      <c r="BC10" s="3">
        <v>76</v>
      </c>
      <c r="BD10" s="3">
        <v>73</v>
      </c>
      <c r="BE10" s="3">
        <v>65</v>
      </c>
      <c r="BF10" s="3">
        <v>50</v>
      </c>
      <c r="BG10" s="3">
        <v>35</v>
      </c>
      <c r="BH10" s="3">
        <v>23</v>
      </c>
      <c r="BI10" s="3">
        <v>25</v>
      </c>
      <c r="BJ10" s="3">
        <v>28</v>
      </c>
      <c r="BK10" s="3">
        <v>6</v>
      </c>
      <c r="BL10" s="3">
        <v>8</v>
      </c>
      <c r="BM10" s="3">
        <v>7</v>
      </c>
      <c r="BN10" s="3">
        <v>4</v>
      </c>
      <c r="BO10" s="3">
        <v>5</v>
      </c>
      <c r="BP10" s="3">
        <v>0</v>
      </c>
      <c r="BQ10" s="3">
        <v>0</v>
      </c>
      <c r="BR10" s="3">
        <v>1</v>
      </c>
      <c r="BS10" s="3">
        <v>84</v>
      </c>
    </row>
    <row r="11" spans="1:71" x14ac:dyDescent="0.3">
      <c r="A11" s="9" t="s">
        <v>101</v>
      </c>
      <c r="B11" s="9" t="s">
        <v>10</v>
      </c>
      <c r="C11" s="9" t="s">
        <v>102</v>
      </c>
      <c r="D11" s="9">
        <v>3</v>
      </c>
      <c r="E11" s="9">
        <v>508</v>
      </c>
      <c r="F11" s="9">
        <v>102</v>
      </c>
      <c r="G11" s="9">
        <v>55</v>
      </c>
      <c r="H11" s="9">
        <v>363</v>
      </c>
      <c r="I11" s="9">
        <v>153</v>
      </c>
      <c r="J11" s="9">
        <v>168</v>
      </c>
      <c r="K11" s="9">
        <v>29</v>
      </c>
      <c r="L11" s="9">
        <v>54</v>
      </c>
      <c r="M11" s="9">
        <v>8</v>
      </c>
      <c r="N11" s="9">
        <v>189</v>
      </c>
      <c r="O11" s="9"/>
      <c r="P11" s="9">
        <v>14</v>
      </c>
      <c r="Q11" s="9">
        <f>SUM(Complete_data[[#This Row],[American]:[Indian]])</f>
        <v>1643</v>
      </c>
      <c r="R11" s="9">
        <f>_xlfn.RANK.EQ(Complete_data[[#This Row],[Restaurant count]],Complete_data[Restaurant count],0)</f>
        <v>46</v>
      </c>
      <c r="S11" s="9">
        <v>39</v>
      </c>
      <c r="T11" s="9">
        <v>83</v>
      </c>
      <c r="U11" s="10">
        <v>61.166666666666664</v>
      </c>
      <c r="V11" s="10">
        <f>_xlfn.RANK.EQ(Complete_data[[#This Row],[Max Temperature]],Complete_data[Max Temperature],0)</f>
        <v>21</v>
      </c>
      <c r="W11" s="10">
        <f>_xlfn.RANK.EQ(Complete_data[[#This Row],[Min Temperature]],Complete_data[Min Temperature],0)</f>
        <v>53</v>
      </c>
      <c r="X11" s="10">
        <f>_xlfn.RANK.EQ(Complete_data[[#This Row],[Avg Temperature]],Complete_data[Avg Temperature],0)</f>
        <v>48</v>
      </c>
      <c r="Y11" s="9">
        <v>11</v>
      </c>
      <c r="Z11" s="9">
        <v>6</v>
      </c>
      <c r="AA11" s="9">
        <v>1</v>
      </c>
      <c r="AB11" s="9">
        <v>1</v>
      </c>
      <c r="AC11" s="9">
        <v>2</v>
      </c>
      <c r="AD11" s="9">
        <v>2</v>
      </c>
      <c r="AE11" s="9">
        <v>0</v>
      </c>
      <c r="AF11" s="9">
        <v>1</v>
      </c>
      <c r="AG11" s="9">
        <v>0</v>
      </c>
      <c r="AH11" s="9">
        <v>0</v>
      </c>
      <c r="AI11" s="9">
        <f>SUM(Complete_data[[#This Row],[GENERAL ACUTE CARE]:[CHRONIC DISEASE]])</f>
        <v>24</v>
      </c>
      <c r="AJ11" s="9">
        <f>_xlfn.RANK.EQ(Complete_data[[#This Row],[Hospital Count]],Complete_data[Hospital Count],0)</f>
        <v>10</v>
      </c>
      <c r="AK11" s="9">
        <v>70.5</v>
      </c>
      <c r="AL11" s="9">
        <v>67.650000000000006</v>
      </c>
      <c r="AM11" s="9">
        <v>67.06</v>
      </c>
      <c r="AN11" s="9">
        <v>68.81</v>
      </c>
      <c r="AO11" s="9">
        <v>62.16</v>
      </c>
      <c r="AP11" s="9">
        <v>52</v>
      </c>
      <c r="AQ11" s="9">
        <v>47.36</v>
      </c>
      <c r="AR11" s="9">
        <v>45.52</v>
      </c>
      <c r="AS11" s="9">
        <v>49.05</v>
      </c>
      <c r="AT11" s="9">
        <v>48.28</v>
      </c>
      <c r="AU11" s="9">
        <f>AVERAGE(Complete_data[[#This Row],[2009]:[2019]])</f>
        <v>57.838999999999984</v>
      </c>
      <c r="AV11" s="9">
        <f>_xlfn.RANK.EQ(Complete_data[[#This Row],[Average crime rate]],Complete_data[Average crime rate],1)</f>
        <v>112</v>
      </c>
      <c r="AW11" s="9">
        <v>39</v>
      </c>
      <c r="AX11" s="9">
        <v>42</v>
      </c>
      <c r="AY11" s="9">
        <v>52</v>
      </c>
      <c r="AZ11" s="9">
        <v>61</v>
      </c>
      <c r="BA11" s="9">
        <v>68</v>
      </c>
      <c r="BB11" s="9">
        <v>79</v>
      </c>
      <c r="BC11" s="9">
        <v>83</v>
      </c>
      <c r="BD11" s="9">
        <v>82</v>
      </c>
      <c r="BE11" s="9">
        <v>75</v>
      </c>
      <c r="BF11" s="9">
        <v>62</v>
      </c>
      <c r="BG11" s="9">
        <v>50</v>
      </c>
      <c r="BH11" s="9">
        <v>41</v>
      </c>
      <c r="BI11" s="9">
        <v>59</v>
      </c>
      <c r="BJ11" s="9">
        <v>13</v>
      </c>
      <c r="BK11" s="9">
        <v>34</v>
      </c>
      <c r="BL11" s="9">
        <v>1</v>
      </c>
      <c r="BM11" s="9">
        <v>15</v>
      </c>
      <c r="BN11" s="9">
        <v>2</v>
      </c>
      <c r="BO11" s="9">
        <v>43</v>
      </c>
      <c r="BP11" s="9">
        <v>59</v>
      </c>
      <c r="BQ11" s="9">
        <v>1</v>
      </c>
      <c r="BR11" s="9">
        <v>6</v>
      </c>
      <c r="BS11" s="9">
        <v>233</v>
      </c>
    </row>
  </sheetData>
  <phoneticPr fontId="18"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Dashboard</vt:lpstr>
      <vt:lpstr>Data</vt:lpstr>
      <vt:lpstr>Temp Pivot </vt:lpstr>
      <vt:lpstr>Rest Pivot</vt:lpstr>
      <vt:lpstr>Hosp Pivot </vt:lpstr>
      <vt:lpstr>Rec Pivot</vt:lpstr>
      <vt:lpstr>Crime Pivot</vt:lpstr>
      <vt:lpstr>Top 10 Data</vt:lpstr>
      <vt:lpstr>Columns</vt:lpstr>
      <vt:lpstr>Rows</vt:lpstr>
      <vt:lpstr>Start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Rahul Addagatla</dc:creator>
  <cp:keywords/>
  <dc:description/>
  <cp:lastModifiedBy>Tarun Sai Ghanta</cp:lastModifiedBy>
  <cp:revision/>
  <dcterms:created xsi:type="dcterms:W3CDTF">2023-05-10T21:27:06Z</dcterms:created>
  <dcterms:modified xsi:type="dcterms:W3CDTF">2023-05-11T18:27:02Z</dcterms:modified>
  <cp:category/>
  <cp:contentStatus/>
</cp:coreProperties>
</file>